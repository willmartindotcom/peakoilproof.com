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bookViews>
    <workbookView xWindow="480" yWindow="120" windowWidth="23520" windowHeight="10005" activeTab="2"/>
  </bookViews>
  <sheets>
    <sheet name="Substitution" sheetId="9" r:id="rId1"/>
    <sheet name="SubstitutionCurve" sheetId="10" r:id="rId2"/>
    <sheet name="WillMartinModel" sheetId="4" r:id="rId3"/>
    <sheet name="SolarLCOEChart" sheetId="5" r:id="rId4"/>
    <sheet name="GasolinePrice" sheetId="6" r:id="rId5"/>
    <sheet name="SolarVsGas" sheetId="7" r:id="rId6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"NGJ1JMH37WU41NKZ67MUSN2G"</definedName>
    <definedName name="_xlnm.Print_Area" localSheetId="0">Substitution!$A$1:$BH$10</definedName>
    <definedName name="_xlnm.Print_Area" localSheetId="2">WillMartinModel!$A$1:$BK$22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52511"/>
  <fileRecoveryPr repairLoad="1"/>
</workbook>
</file>

<file path=xl/calcChain.xml><?xml version="1.0" encoding="utf-8"?>
<calcChain xmlns="http://schemas.openxmlformats.org/spreadsheetml/2006/main">
  <c r="G7" i="9" l="1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Z7" i="9" s="1"/>
  <c r="BA7" i="9" s="1"/>
  <c r="BB7" i="9" s="1"/>
  <c r="BC7" i="9" s="1"/>
  <c r="BD7" i="9" s="1"/>
  <c r="BE7" i="9" s="1"/>
  <c r="F7" i="9"/>
  <c r="F8" i="9"/>
  <c r="BH16" i="4"/>
  <c r="BC16" i="4"/>
  <c r="AX16" i="4"/>
  <c r="AS16" i="4"/>
  <c r="AN16" i="4"/>
  <c r="AI16" i="4"/>
  <c r="AD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E8" i="9"/>
  <c r="BH20" i="4" l="1"/>
  <c r="BC20" i="4"/>
  <c r="AX20" i="4"/>
  <c r="AS20" i="4"/>
  <c r="AN20" i="4"/>
  <c r="AI20" i="4"/>
  <c r="AD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X18" i="4"/>
  <c r="X19" i="4" s="1"/>
  <c r="BD15" i="4"/>
  <c r="BD16" i="4" s="1"/>
  <c r="BD20" i="4" s="1"/>
  <c r="AY15" i="4"/>
  <c r="AY16" i="4" s="1"/>
  <c r="AY20" i="4" s="1"/>
  <c r="AT15" i="4"/>
  <c r="AT16" i="4" s="1"/>
  <c r="AT20" i="4" s="1"/>
  <c r="AO15" i="4"/>
  <c r="AO16" i="4" s="1"/>
  <c r="AO20" i="4" s="1"/>
  <c r="AJ15" i="4"/>
  <c r="AJ16" i="4" s="1"/>
  <c r="AJ20" i="4" s="1"/>
  <c r="AE15" i="4"/>
  <c r="AE16" i="4" s="1"/>
  <c r="AE20" i="4" s="1"/>
  <c r="AA15" i="4"/>
  <c r="AA16" i="4" s="1"/>
  <c r="AA20" i="4" s="1"/>
  <c r="G8" i="9" l="1"/>
  <c r="AF15" i="4"/>
  <c r="Y18" i="4"/>
  <c r="AZ15" i="4"/>
  <c r="AP15" i="4"/>
  <c r="AK15" i="4"/>
  <c r="AU15" i="4"/>
  <c r="BE15" i="4"/>
  <c r="AB15" i="4"/>
  <c r="H8" i="9" l="1"/>
  <c r="BE16" i="4"/>
  <c r="BE20" i="4" s="1"/>
  <c r="BF15" i="4"/>
  <c r="AP16" i="4"/>
  <c r="AP20" i="4" s="1"/>
  <c r="AQ15" i="4"/>
  <c r="AB16" i="4"/>
  <c r="AB20" i="4" s="1"/>
  <c r="AC15" i="4"/>
  <c r="AC16" i="4" s="1"/>
  <c r="AC20" i="4" s="1"/>
  <c r="AK16" i="4"/>
  <c r="AK20" i="4" s="1"/>
  <c r="AL15" i="4"/>
  <c r="Y19" i="4"/>
  <c r="Z18" i="4"/>
  <c r="AU16" i="4"/>
  <c r="AU20" i="4" s="1"/>
  <c r="AV15" i="4"/>
  <c r="AZ16" i="4"/>
  <c r="AZ20" i="4" s="1"/>
  <c r="BA15" i="4"/>
  <c r="AF16" i="4"/>
  <c r="AF20" i="4" s="1"/>
  <c r="AG15" i="4"/>
  <c r="I8" i="9" l="1"/>
  <c r="AG16" i="4"/>
  <c r="AG20" i="4" s="1"/>
  <c r="AH15" i="4"/>
  <c r="AH16" i="4" s="1"/>
  <c r="AH20" i="4" s="1"/>
  <c r="BA16" i="4"/>
  <c r="BA20" i="4" s="1"/>
  <c r="BB15" i="4"/>
  <c r="BB16" i="4" s="1"/>
  <c r="BB20" i="4" s="1"/>
  <c r="AL16" i="4"/>
  <c r="AL20" i="4" s="1"/>
  <c r="AM15" i="4"/>
  <c r="AM16" i="4" s="1"/>
  <c r="AM20" i="4" s="1"/>
  <c r="AV16" i="4"/>
  <c r="AV20" i="4" s="1"/>
  <c r="AW15" i="4"/>
  <c r="AW16" i="4" s="1"/>
  <c r="AW20" i="4" s="1"/>
  <c r="AA18" i="4"/>
  <c r="Z19" i="4"/>
  <c r="BF16" i="4"/>
  <c r="BF20" i="4" s="1"/>
  <c r="BG15" i="4"/>
  <c r="BG16" i="4" s="1"/>
  <c r="BG20" i="4" s="1"/>
  <c r="AQ16" i="4"/>
  <c r="AQ20" i="4" s="1"/>
  <c r="AR15" i="4"/>
  <c r="AR16" i="4" s="1"/>
  <c r="AR20" i="4" s="1"/>
  <c r="J8" i="9" l="1"/>
  <c r="AB18" i="4"/>
  <c r="AA19" i="4"/>
  <c r="K8" i="9" l="1"/>
  <c r="AC18" i="4"/>
  <c r="AB19" i="4"/>
  <c r="L8" i="9" l="1"/>
  <c r="AD18" i="4"/>
  <c r="AC19" i="4"/>
  <c r="M8" i="9" l="1"/>
  <c r="AE18" i="4"/>
  <c r="AD19" i="4"/>
  <c r="N8" i="9" l="1"/>
  <c r="AE19" i="4"/>
  <c r="AF18" i="4"/>
  <c r="O8" i="9" l="1"/>
  <c r="AF19" i="4"/>
  <c r="AG18" i="4"/>
  <c r="P8" i="9" l="1"/>
  <c r="AG19" i="4"/>
  <c r="AH18" i="4"/>
  <c r="Q8" i="9" l="1"/>
  <c r="AH19" i="4"/>
  <c r="AI18" i="4"/>
  <c r="R8" i="9" l="1"/>
  <c r="AJ18" i="4"/>
  <c r="AI19" i="4"/>
  <c r="S8" i="9" l="1"/>
  <c r="AK18" i="4"/>
  <c r="AJ19" i="4"/>
  <c r="T8" i="9" l="1"/>
  <c r="AL18" i="4"/>
  <c r="AK19" i="4"/>
  <c r="U8" i="9" l="1"/>
  <c r="AM18" i="4"/>
  <c r="AL19" i="4"/>
  <c r="V8" i="9" l="1"/>
  <c r="AM19" i="4"/>
  <c r="AN18" i="4"/>
  <c r="W8" i="9" l="1"/>
  <c r="AN19" i="4"/>
  <c r="AO18" i="4"/>
  <c r="X8" i="9" l="1"/>
  <c r="AO19" i="4"/>
  <c r="AP18" i="4"/>
  <c r="Y8" i="9" l="1"/>
  <c r="AP19" i="4"/>
  <c r="AQ18" i="4"/>
  <c r="Z8" i="9" l="1"/>
  <c r="AR18" i="4"/>
  <c r="AQ19" i="4"/>
  <c r="AA8" i="9" l="1"/>
  <c r="AS18" i="4"/>
  <c r="AR19" i="4"/>
  <c r="AB8" i="9" l="1"/>
  <c r="AT18" i="4"/>
  <c r="AS19" i="4"/>
  <c r="AC8" i="9" l="1"/>
  <c r="AT19" i="4"/>
  <c r="AU18" i="4"/>
  <c r="AD8" i="9" l="1"/>
  <c r="AV18" i="4"/>
  <c r="AU19" i="4"/>
  <c r="AE8" i="9" l="1"/>
  <c r="AV19" i="4"/>
  <c r="AW18" i="4"/>
  <c r="AF8" i="9" l="1"/>
  <c r="AW19" i="4"/>
  <c r="AX18" i="4"/>
  <c r="AG8" i="9" l="1"/>
  <c r="AX19" i="4"/>
  <c r="AY18" i="4"/>
  <c r="AH8" i="9" l="1"/>
  <c r="AZ18" i="4"/>
  <c r="AY19" i="4"/>
  <c r="AI8" i="9" l="1"/>
  <c r="BA18" i="4"/>
  <c r="AZ19" i="4"/>
  <c r="AJ8" i="9" l="1"/>
  <c r="BB18" i="4"/>
  <c r="BA19" i="4"/>
  <c r="AK8" i="9" l="1"/>
  <c r="BC18" i="4"/>
  <c r="BB19" i="4"/>
  <c r="AL8" i="9" l="1"/>
  <c r="BC19" i="4"/>
  <c r="BD18" i="4"/>
  <c r="AM8" i="9" l="1"/>
  <c r="BD19" i="4"/>
  <c r="BE18" i="4"/>
  <c r="AN8" i="9" l="1"/>
  <c r="BE19" i="4"/>
  <c r="BF18" i="4"/>
  <c r="AO8" i="9" l="1"/>
  <c r="BF19" i="4"/>
  <c r="BG18" i="4"/>
  <c r="AP8" i="9" l="1"/>
  <c r="BH18" i="4"/>
  <c r="BH19" i="4" s="1"/>
  <c r="BG19" i="4"/>
  <c r="AQ8" i="9" l="1"/>
  <c r="AR8" i="9" l="1"/>
  <c r="AS8" i="9" l="1"/>
  <c r="AT8" i="9" l="1"/>
  <c r="AU8" i="9" l="1"/>
  <c r="AV8" i="9" l="1"/>
  <c r="AW8" i="9" l="1"/>
  <c r="AX8" i="9" l="1"/>
  <c r="AY8" i="9" l="1"/>
  <c r="AZ8" i="9" l="1"/>
  <c r="BA8" i="9" l="1"/>
  <c r="BB8" i="9" l="1"/>
  <c r="BC8" i="9" l="1"/>
  <c r="BE8" i="9" l="1"/>
  <c r="BD8" i="9"/>
</calcChain>
</file>

<file path=xl/sharedStrings.xml><?xml version="1.0" encoding="utf-8"?>
<sst xmlns="http://schemas.openxmlformats.org/spreadsheetml/2006/main" count="47" uniqueCount="34">
  <si>
    <t>Key:</t>
  </si>
  <si>
    <t>Assumptions:</t>
  </si>
  <si>
    <t>Category</t>
  </si>
  <si>
    <t>Unit</t>
  </si>
  <si>
    <t>Prepared by Will Martin</t>
  </si>
  <si>
    <t>Green: Inputs</t>
  </si>
  <si>
    <t>Blue: Outputs</t>
  </si>
  <si>
    <t>Historic Residential Solar PV Levelized Cost of Energy (LCOE) ($/kWh)</t>
  </si>
  <si>
    <t>Source</t>
  </si>
  <si>
    <t>Source URL</t>
  </si>
  <si>
    <t>LBNL</t>
  </si>
  <si>
    <t>AEO 2009</t>
  </si>
  <si>
    <t>AEO 2011</t>
  </si>
  <si>
    <t>Black and Veatch 2012</t>
  </si>
  <si>
    <t>http://en.openei.org/apps/TCDB/</t>
  </si>
  <si>
    <t>Forecast Residential Solar PV Levelized Cost of Energy (LCOE) ($/kWh)</t>
  </si>
  <si>
    <t>Historic Average US Gasoline Price</t>
  </si>
  <si>
    <t>$/kWh</t>
  </si>
  <si>
    <t>$/Gallon</t>
  </si>
  <si>
    <t>http://www.eia.gov/dnav/pet/hist/LeafHandler.ashx?n=pet&amp;s=emm_epm0_pte_nus_dpg&amp;f=a</t>
  </si>
  <si>
    <t>Forecast Gasoline Price Based on 5-Year CAGR</t>
  </si>
  <si>
    <t>Solar LCOE Price for Calculation</t>
  </si>
  <si>
    <t>Gasoline Price</t>
  </si>
  <si>
    <t>Home Solar eGallon Price</t>
  </si>
  <si>
    <t>Home residential solar price will be the average of multiple forecasts</t>
  </si>
  <si>
    <t>Gasoline prices will continue to rise at the historic 5-year CAGR</t>
  </si>
  <si>
    <t>http://energy.gov/sites/prod/files/2013/06/f1/eGallon-methodology-final.pdf</t>
  </si>
  <si>
    <t>Energy Department Calc</t>
  </si>
  <si>
    <t>Home Solar eGallon Price Versus Gasoline</t>
  </si>
  <si>
    <t>Gray: Info</t>
  </si>
  <si>
    <t>Substitution Curve</t>
  </si>
  <si>
    <t>Renewable Energy Price</t>
  </si>
  <si>
    <t>Fossil Fuel Energy Price</t>
  </si>
  <si>
    <t>Market Energy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</si>
</sst>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??0.0%"/>
    <numFmt numFmtId="165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0"/>
      <name val="Arial"/>
      <family val="2"/>
    </font>
    <font>
      <b/>
      <sz val="16"/>
      <color theme="0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0050AA"/>
        <bgColor indexed="64"/>
      </patternFill>
    </fill>
    <fill>
      <patternFill patternType="solid">
        <fgColor rgb="FFB8E2F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8CCE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1" tint="0.34998626667073579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ck">
        <color theme="1" tint="0.34998626667073579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ck">
        <color theme="1" tint="0.34998626667073579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1" tint="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ck">
        <color theme="1" tint="0.34998626667073579"/>
      </right>
      <top/>
      <bottom style="thick">
        <color theme="1" tint="0.34998626667073579"/>
      </bottom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5" fillId="0" borderId="0"/>
    <xf numFmtId="0" fontId="5" fillId="0" borderId="0"/>
  </cellStyleXfs>
  <cellXfs count="31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1" xfId="2" applyFont="1" applyFill="1" applyBorder="1"/>
    <xf numFmtId="0" fontId="5" fillId="0" borderId="0" xfId="3"/>
    <xf numFmtId="0" fontId="3" fillId="2" borderId="2" xfId="2" applyFont="1" applyFill="1" applyBorder="1"/>
    <xf numFmtId="0" fontId="3" fillId="2" borderId="3" xfId="2" applyFont="1" applyFill="1" applyBorder="1"/>
    <xf numFmtId="0" fontId="3" fillId="2" borderId="4" xfId="2" applyFont="1" applyFill="1" applyBorder="1"/>
    <xf numFmtId="0" fontId="6" fillId="3" borderId="5" xfId="2" applyFont="1" applyFill="1" applyBorder="1" applyAlignment="1"/>
    <xf numFmtId="0" fontId="6" fillId="3" borderId="6" xfId="2" applyFont="1" applyFill="1" applyBorder="1" applyAlignment="1"/>
    <xf numFmtId="0" fontId="6" fillId="3" borderId="7" xfId="2" applyFont="1" applyFill="1" applyBorder="1" applyAlignment="1"/>
    <xf numFmtId="0" fontId="7" fillId="3" borderId="8" xfId="2" applyFont="1" applyFill="1" applyBorder="1" applyAlignment="1"/>
    <xf numFmtId="0" fontId="7" fillId="3" borderId="9" xfId="2" applyFont="1" applyFill="1" applyBorder="1" applyAlignment="1"/>
    <xf numFmtId="0" fontId="7" fillId="3" borderId="10" xfId="2" applyFont="1" applyFill="1" applyBorder="1" applyAlignment="1"/>
    <xf numFmtId="0" fontId="3" fillId="2" borderId="11" xfId="2" applyFont="1" applyFill="1" applyBorder="1"/>
    <xf numFmtId="0" fontId="3" fillId="2" borderId="0" xfId="2" applyFont="1" applyFill="1" applyBorder="1"/>
    <xf numFmtId="0" fontId="3" fillId="2" borderId="12" xfId="2" applyFont="1" applyFill="1" applyBorder="1"/>
    <xf numFmtId="0" fontId="8" fillId="4" borderId="13" xfId="4" applyFont="1" applyFill="1" applyBorder="1" applyAlignment="1">
      <alignment horizontal="center" vertical="center" wrapText="1" readingOrder="1"/>
    </xf>
    <xf numFmtId="10" fontId="2" fillId="5" borderId="14" xfId="2" applyNumberFormat="1" applyFill="1" applyBorder="1" applyAlignment="1">
      <alignment horizontal="left"/>
    </xf>
    <xf numFmtId="164" fontId="2" fillId="6" borderId="15" xfId="2" applyNumberFormat="1" applyFill="1" applyBorder="1" applyAlignment="1">
      <alignment horizontal="left" vertical="top"/>
    </xf>
    <xf numFmtId="0" fontId="3" fillId="2" borderId="16" xfId="2" applyFont="1" applyFill="1" applyBorder="1"/>
    <xf numFmtId="0" fontId="3" fillId="2" borderId="17" xfId="2" applyFont="1" applyFill="1" applyBorder="1"/>
    <xf numFmtId="0" fontId="3" fillId="2" borderId="18" xfId="2" applyFont="1" applyFill="1" applyBorder="1"/>
    <xf numFmtId="14" fontId="2" fillId="2" borderId="19" xfId="2" applyNumberFormat="1" applyFont="1" applyFill="1" applyBorder="1" applyAlignment="1">
      <alignment vertical="center" readingOrder="1"/>
    </xf>
    <xf numFmtId="14" fontId="2" fillId="2" borderId="15" xfId="2" applyNumberFormat="1" applyFont="1" applyFill="1" applyBorder="1" applyAlignment="1">
      <alignment vertical="center" readingOrder="1"/>
    </xf>
    <xf numFmtId="165" fontId="2" fillId="5" borderId="14" xfId="1" applyNumberFormat="1" applyFont="1" applyFill="1" applyBorder="1" applyAlignment="1">
      <alignment vertical="center"/>
    </xf>
    <xf numFmtId="1" fontId="8" fillId="4" borderId="13" xfId="4" applyNumberFormat="1" applyFont="1" applyFill="1" applyBorder="1" applyAlignment="1">
      <alignment horizontal="center" vertical="center" wrapText="1" readingOrder="1"/>
    </xf>
    <xf numFmtId="44" fontId="2" fillId="5" borderId="14" xfId="1" applyNumberFormat="1" applyFont="1" applyFill="1" applyBorder="1" applyAlignment="1">
      <alignment vertical="center"/>
    </xf>
    <xf numFmtId="14" fontId="2" fillId="2" borderId="15" xfId="2" applyNumberFormat="1" applyFont="1" applyFill="1" applyBorder="1" applyAlignment="1">
      <alignment horizontal="center" vertical="center" readingOrder="1"/>
    </xf>
    <xf numFmtId="44" fontId="2" fillId="6" borderId="15" xfId="1" applyFont="1" applyFill="1" applyBorder="1" applyAlignment="1">
      <alignment horizontal="left" vertical="top"/>
    </xf>
    <xf numFmtId="0" fontId="8" fillId="4" borderId="20" xfId="4" applyFont="1" applyFill="1" applyBorder="1" applyAlignment="1">
      <alignment horizontal="center" vertical="center" wrapText="1" readingOrder="1"/>
    </xf>
  </cellXfs>
  <cellStyles count="10">
    <cellStyle name="Comma 3" xfId="6"/>
    <cellStyle name="Currency" xfId="1" builtinId="4"/>
    <cellStyle name="Currency 2" xfId="5"/>
    <cellStyle name="Hyperlink 2" xfId="7"/>
    <cellStyle name="Normal" xfId="0" builtinId="0"/>
    <cellStyle name="Normal 2" xfId="3"/>
    <cellStyle name="Normal 2 2" xfId="2"/>
    <cellStyle name="Normal 2 2 2" xfId="8"/>
    <cellStyle name="Normal 3" xfId="4"/>
    <cellStyle name="Normal 3 2" xfId="9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/>
              <a:t>Substitution Curve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Substitution!$D$7</c:f>
              <c:strCache>
                <c:ptCount val="1"/>
                <c:pt idx="0">
                  <c:v>Fossil Fuel Energy Price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Substitution!$E$7:$AU$7</c:f>
              <c:numCache>
                <c:formatCode>_("$"* #,##0.00_);_("$"* \(#,##0.00\);_("$"* "-"??_);_(@_)</c:formatCode>
                <c:ptCount val="43"/>
                <c:pt idx="0">
                  <c:v>0.1</c:v>
                </c:pt>
                <c:pt idx="1">
                  <c:v>0.10700000000000001</c:v>
                </c:pt>
                <c:pt idx="2">
                  <c:v>0.11449000000000002</c:v>
                </c:pt>
                <c:pt idx="3">
                  <c:v>0.12250430000000002</c:v>
                </c:pt>
                <c:pt idx="4">
                  <c:v>0.13107960100000005</c:v>
                </c:pt>
                <c:pt idx="5">
                  <c:v>0.14025517307000004</c:v>
                </c:pt>
                <c:pt idx="6">
                  <c:v>0.15007303518490006</c:v>
                </c:pt>
                <c:pt idx="7">
                  <c:v>0.16057814764784306</c:v>
                </c:pt>
                <c:pt idx="8">
                  <c:v>0.17181861798319209</c:v>
                </c:pt>
                <c:pt idx="9">
                  <c:v>0.18384592124201554</c:v>
                </c:pt>
                <c:pt idx="10">
                  <c:v>0.19671513572895663</c:v>
                </c:pt>
                <c:pt idx="11">
                  <c:v>0.2104851952299836</c:v>
                </c:pt>
                <c:pt idx="12">
                  <c:v>0.22521915889608246</c:v>
                </c:pt>
                <c:pt idx="13">
                  <c:v>0.24098450001880825</c:v>
                </c:pt>
                <c:pt idx="14">
                  <c:v>0.25785341502012482</c:v>
                </c:pt>
                <c:pt idx="15">
                  <c:v>0.2759031540715336</c:v>
                </c:pt>
                <c:pt idx="16">
                  <c:v>0.29521637485654095</c:v>
                </c:pt>
                <c:pt idx="17">
                  <c:v>0.31588152109649886</c:v>
                </c:pt>
                <c:pt idx="18">
                  <c:v>0.33799322757325378</c:v>
                </c:pt>
                <c:pt idx="19">
                  <c:v>0.36165275350338155</c:v>
                </c:pt>
                <c:pt idx="20">
                  <c:v>0.38696844624861826</c:v>
                </c:pt>
                <c:pt idx="21">
                  <c:v>0.41405623748602155</c:v>
                </c:pt>
                <c:pt idx="22">
                  <c:v>0.44304017411004309</c:v>
                </c:pt>
                <c:pt idx="23">
                  <c:v>0.47405298629774612</c:v>
                </c:pt>
                <c:pt idx="24">
                  <c:v>0.50723669533858839</c:v>
                </c:pt>
                <c:pt idx="25">
                  <c:v>0.54274326401228956</c:v>
                </c:pt>
                <c:pt idx="26">
                  <c:v>0.58073529249314981</c:v>
                </c:pt>
                <c:pt idx="27">
                  <c:v>0.62138676296767037</c:v>
                </c:pt>
                <c:pt idx="28">
                  <c:v>0.66488383637540738</c:v>
                </c:pt>
                <c:pt idx="29">
                  <c:v>0.71142570492168589</c:v>
                </c:pt>
                <c:pt idx="30">
                  <c:v>0.76122550426620395</c:v>
                </c:pt>
                <c:pt idx="31">
                  <c:v>0.81451128956483831</c:v>
                </c:pt>
                <c:pt idx="32">
                  <c:v>0.87152707983437705</c:v>
                </c:pt>
                <c:pt idx="33">
                  <c:v>0.93253397542278349</c:v>
                </c:pt>
                <c:pt idx="34">
                  <c:v>0.99781135370237839</c:v>
                </c:pt>
                <c:pt idx="35">
                  <c:v>1.0676581484615448</c:v>
                </c:pt>
                <c:pt idx="36">
                  <c:v>1.1423942188538529</c:v>
                </c:pt>
                <c:pt idx="37">
                  <c:v>1.2223618141736228</c:v>
                </c:pt>
                <c:pt idx="38">
                  <c:v>1.3079271411657765</c:v>
                </c:pt>
                <c:pt idx="39">
                  <c:v>1.3994820410473809</c:v>
                </c:pt>
                <c:pt idx="40">
                  <c:v>1.4974457839206976</c:v>
                </c:pt>
                <c:pt idx="41">
                  <c:v>1.6022669887951466</c:v>
                </c:pt>
                <c:pt idx="42">
                  <c:v>1.7144256780108069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Substitution!$D$6</c:f>
              <c:strCache>
                <c:ptCount val="1"/>
                <c:pt idx="0">
                  <c:v>Renewable Energy Price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Substitution!$E$6:$AU$6</c:f>
              <c:numCache>
                <c:formatCode>_("$"* #,##0.00_);_("$"* \(#,##0.00\);_("$"* "-"??_);_(@_)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Substitution!$D$8</c:f>
              <c:strCache>
                <c:ptCount val="1"/>
                <c:pt idx="0">
                  <c:v>Market Energy Price</c:v>
                </c:pt>
              </c:strCache>
            </c:strRef>
          </c:tx>
          <c:spPr>
            <a:ln w="571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Substitution!$E$8:$AU$8</c:f>
              <c:numCache>
                <c:formatCode>_("$"* #,##0.00_);_("$"* \(#,##0.00\);_("$"* "-"??_);_(@_)</c:formatCode>
                <c:ptCount val="43"/>
                <c:pt idx="0">
                  <c:v>0.1</c:v>
                </c:pt>
                <c:pt idx="1">
                  <c:v>0.10700000000000001</c:v>
                </c:pt>
                <c:pt idx="2">
                  <c:v>0.11449000000000002</c:v>
                </c:pt>
                <c:pt idx="3">
                  <c:v>0.12250430000000002</c:v>
                </c:pt>
                <c:pt idx="4">
                  <c:v>0.13107960100000005</c:v>
                </c:pt>
                <c:pt idx="5">
                  <c:v>0.14025517307000004</c:v>
                </c:pt>
                <c:pt idx="6">
                  <c:v>0.15007303518490006</c:v>
                </c:pt>
                <c:pt idx="7">
                  <c:v>0.16057814764784306</c:v>
                </c:pt>
                <c:pt idx="8">
                  <c:v>0.17181861798319209</c:v>
                </c:pt>
                <c:pt idx="9">
                  <c:v>0.18384592124201554</c:v>
                </c:pt>
                <c:pt idx="10">
                  <c:v>0.19671513572895663</c:v>
                </c:pt>
                <c:pt idx="11">
                  <c:v>0.2104851952299836</c:v>
                </c:pt>
                <c:pt idx="12">
                  <c:v>0.22521915889608246</c:v>
                </c:pt>
                <c:pt idx="13">
                  <c:v>0.24098450001880825</c:v>
                </c:pt>
                <c:pt idx="14">
                  <c:v>0.25785341502012482</c:v>
                </c:pt>
                <c:pt idx="15">
                  <c:v>0.2759031540715336</c:v>
                </c:pt>
                <c:pt idx="16">
                  <c:v>0.29521637485654095</c:v>
                </c:pt>
                <c:pt idx="17">
                  <c:v>0.31588152109649886</c:v>
                </c:pt>
                <c:pt idx="18">
                  <c:v>0.33799322757325378</c:v>
                </c:pt>
                <c:pt idx="19">
                  <c:v>0.36165275350338155</c:v>
                </c:pt>
                <c:pt idx="20">
                  <c:v>0.38696844624861826</c:v>
                </c:pt>
                <c:pt idx="21">
                  <c:v>0.41405623748602155</c:v>
                </c:pt>
                <c:pt idx="22">
                  <c:v>0.44304017411004309</c:v>
                </c:pt>
                <c:pt idx="23">
                  <c:v>0.47405298629774612</c:v>
                </c:pt>
                <c:pt idx="24">
                  <c:v>0.50723669533858839</c:v>
                </c:pt>
                <c:pt idx="25">
                  <c:v>0.54274326401228956</c:v>
                </c:pt>
                <c:pt idx="26">
                  <c:v>0.58073529249314981</c:v>
                </c:pt>
                <c:pt idx="27">
                  <c:v>0.62138676296767037</c:v>
                </c:pt>
                <c:pt idx="28">
                  <c:v>0.66488383637540738</c:v>
                </c:pt>
                <c:pt idx="29">
                  <c:v>0.71142570492168589</c:v>
                </c:pt>
                <c:pt idx="30">
                  <c:v>0.76122550426620395</c:v>
                </c:pt>
                <c:pt idx="31">
                  <c:v>0.81451128956483831</c:v>
                </c:pt>
                <c:pt idx="32">
                  <c:v>0.87152707983437705</c:v>
                </c:pt>
                <c:pt idx="33">
                  <c:v>0.93253397542278349</c:v>
                </c:pt>
                <c:pt idx="34">
                  <c:v>0.99781135370237839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647248"/>
        <c:axId val="359647640"/>
      </c:lineChart>
      <c:catAx>
        <c:axId val="3596472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359647640"/>
        <c:crosses val="autoZero"/>
        <c:auto val="1"/>
        <c:lblAlgn val="ctr"/>
        <c:lblOffset val="100"/>
        <c:noMultiLvlLbl val="0"/>
      </c:catAx>
      <c:valAx>
        <c:axId val="35964764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Price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35964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WillMartinModel!$E$12</c:f>
              <c:strCache>
                <c:ptCount val="1"/>
                <c:pt idx="0">
                  <c:v>LBNL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WillMartinModel!$H$12:$BH$12</c:f>
              <c:numCache>
                <c:formatCode>_("$"* #,##0.00_);_("$"* \(#,##0.00\);_("$"* "-"??_);_(@_)</c:formatCode>
                <c:ptCount val="53"/>
                <c:pt idx="0">
                  <c:v>0.79700000000000004</c:v>
                </c:pt>
                <c:pt idx="1">
                  <c:v>0.80600000000000005</c:v>
                </c:pt>
                <c:pt idx="2">
                  <c:v>0.751</c:v>
                </c:pt>
                <c:pt idx="3">
                  <c:v>0.70899999999999996</c:v>
                </c:pt>
                <c:pt idx="4">
                  <c:v>0.71099999999999997</c:v>
                </c:pt>
                <c:pt idx="5">
                  <c:v>0.63800000000000001</c:v>
                </c:pt>
                <c:pt idx="6">
                  <c:v>0.59599999999999997</c:v>
                </c:pt>
                <c:pt idx="7">
                  <c:v>0.57299999999999995</c:v>
                </c:pt>
                <c:pt idx="8">
                  <c:v>0.56599999999999995</c:v>
                </c:pt>
                <c:pt idx="9">
                  <c:v>0.58299999999999996</c:v>
                </c:pt>
                <c:pt idx="10">
                  <c:v>0.56299999999999994</c:v>
                </c:pt>
                <c:pt idx="11">
                  <c:v>0.54200000000000004</c:v>
                </c:pt>
                <c:pt idx="12">
                  <c:v>0.45400000000000001</c:v>
                </c:pt>
                <c:pt idx="13">
                  <c:v>0.39600000000000002</c:v>
                </c:pt>
                <c:pt idx="14">
                  <c:v>0.34599999999999997</c:v>
                </c:pt>
                <c:pt idx="15">
                  <c:v>0.29899999999999999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WillMartinModel!$E$13</c:f>
              <c:strCache>
                <c:ptCount val="1"/>
                <c:pt idx="0">
                  <c:v>AEO 2009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WillMartinModel!$H$13:$BH$13</c:f>
              <c:numCache>
                <c:formatCode>_("$"* #,##0.00_);_("$"* \(#,##0.00\);_("$"* "-"??_);_(@_)</c:formatCode>
                <c:ptCount val="53"/>
                <c:pt idx="16">
                  <c:v>0.28699999999999998</c:v>
                </c:pt>
                <c:pt idx="17">
                  <c:v>0.28499999999999998</c:v>
                </c:pt>
                <c:pt idx="18">
                  <c:v>0.27900000000000003</c:v>
                </c:pt>
                <c:pt idx="19">
                  <c:v>0.27300000000000002</c:v>
                </c:pt>
                <c:pt idx="20">
                  <c:v>0.26800000000000002</c:v>
                </c:pt>
                <c:pt idx="21">
                  <c:v>0.26100000000000001</c:v>
                </c:pt>
                <c:pt idx="22">
                  <c:v>0.254</c:v>
                </c:pt>
                <c:pt idx="23">
                  <c:v>0.247</c:v>
                </c:pt>
                <c:pt idx="24">
                  <c:v>0.23799999999999999</c:v>
                </c:pt>
                <c:pt idx="25">
                  <c:v>0.22900000000000001</c:v>
                </c:pt>
                <c:pt idx="26">
                  <c:v>0.221</c:v>
                </c:pt>
                <c:pt idx="27">
                  <c:v>0.214</c:v>
                </c:pt>
                <c:pt idx="28">
                  <c:v>0.20599999999999999</c:v>
                </c:pt>
                <c:pt idx="29">
                  <c:v>0.2</c:v>
                </c:pt>
                <c:pt idx="30">
                  <c:v>0.193</c:v>
                </c:pt>
                <c:pt idx="31">
                  <c:v>0.187</c:v>
                </c:pt>
                <c:pt idx="32">
                  <c:v>0.18099999999999999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WillMartinModel!$E$14</c:f>
              <c:strCache>
                <c:ptCount val="1"/>
                <c:pt idx="0">
                  <c:v>AEO 2011</c:v>
                </c:pt>
              </c:strCache>
            </c:strRef>
          </c:tx>
          <c:spPr>
            <a:ln w="571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WillMartinModel!$H$14:$BH$14</c:f>
              <c:numCache>
                <c:formatCode>_("$"* #,##0.00_);_("$"* \(#,##0.00\);_("$"* "-"??_);_(@_)</c:formatCode>
                <c:ptCount val="53"/>
                <c:pt idx="16">
                  <c:v>0.31900000000000001</c:v>
                </c:pt>
                <c:pt idx="17">
                  <c:v>0.314</c:v>
                </c:pt>
                <c:pt idx="18">
                  <c:v>0.30499999999999999</c:v>
                </c:pt>
                <c:pt idx="19">
                  <c:v>0.28499999999999998</c:v>
                </c:pt>
                <c:pt idx="20">
                  <c:v>0.27800000000000002</c:v>
                </c:pt>
                <c:pt idx="21">
                  <c:v>0.27100000000000002</c:v>
                </c:pt>
                <c:pt idx="22">
                  <c:v>0.26400000000000001</c:v>
                </c:pt>
                <c:pt idx="23">
                  <c:v>0.25700000000000001</c:v>
                </c:pt>
                <c:pt idx="24">
                  <c:v>0.249</c:v>
                </c:pt>
                <c:pt idx="25">
                  <c:v>0.24199999999999999</c:v>
                </c:pt>
                <c:pt idx="26">
                  <c:v>0.23499999999999999</c:v>
                </c:pt>
                <c:pt idx="27">
                  <c:v>0.22800000000000001</c:v>
                </c:pt>
                <c:pt idx="28">
                  <c:v>0.222</c:v>
                </c:pt>
                <c:pt idx="29">
                  <c:v>0.215</c:v>
                </c:pt>
                <c:pt idx="30">
                  <c:v>0.20799999999999999</c:v>
                </c:pt>
                <c:pt idx="31">
                  <c:v>0.20200000000000001</c:v>
                </c:pt>
                <c:pt idx="32">
                  <c:v>0.19500000000000001</c:v>
                </c:pt>
                <c:pt idx="33">
                  <c:v>0.189</c:v>
                </c:pt>
                <c:pt idx="34">
                  <c:v>0.183</c:v>
                </c:pt>
                <c:pt idx="35">
                  <c:v>0.17699999999999999</c:v>
                </c:pt>
                <c:pt idx="36">
                  <c:v>0.17</c:v>
                </c:pt>
                <c:pt idx="37">
                  <c:v>0.16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WillMartinModel!$E$15</c:f>
              <c:strCache>
                <c:ptCount val="1"/>
                <c:pt idx="0">
                  <c:v>Black and Veatch 2012</c:v>
                </c:pt>
              </c:strCache>
            </c:strRef>
          </c:tx>
          <c:spPr>
            <a:ln w="571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WillMartinModel!$H$15:$BH$15</c:f>
              <c:numCache>
                <c:formatCode>_("$"* #,##0.00_);_("$"* \(#,##0.00\);_("$"* "-"??_);_(@_)</c:formatCode>
                <c:ptCount val="53"/>
                <c:pt idx="18">
                  <c:v>0.27600000000000002</c:v>
                </c:pt>
                <c:pt idx="19">
                  <c:v>0.26680015170760768</c:v>
                </c:pt>
                <c:pt idx="20">
                  <c:v>0.2579069599681249</c:v>
                </c:pt>
                <c:pt idx="21">
                  <c:v>0.24931020306501314</c:v>
                </c:pt>
                <c:pt idx="22">
                  <c:v>0.24099999999999999</c:v>
                </c:pt>
                <c:pt idx="23">
                  <c:v>0.23728736117923319</c:v>
                </c:pt>
                <c:pt idx="24">
                  <c:v>0.23363191608051395</c:v>
                </c:pt>
                <c:pt idx="25">
                  <c:v>0.23003278362652785</c:v>
                </c:pt>
                <c:pt idx="26">
                  <c:v>0.22648909631308015</c:v>
                </c:pt>
                <c:pt idx="27">
                  <c:v>0.223</c:v>
                </c:pt>
                <c:pt idx="28">
                  <c:v>0.2209631289591566</c:v>
                </c:pt>
                <c:pt idx="29">
                  <c:v>0.21894486259829984</c:v>
                </c:pt>
                <c:pt idx="30">
                  <c:v>0.21694503098319709</c:v>
                </c:pt>
                <c:pt idx="31">
                  <c:v>0.21496346573178654</c:v>
                </c:pt>
                <c:pt idx="32">
                  <c:v>0.21299999999999999</c:v>
                </c:pt>
                <c:pt idx="33">
                  <c:v>0.21137540608906799</c:v>
                </c:pt>
                <c:pt idx="34">
                  <c:v>0.20976320328318498</c:v>
                </c:pt>
                <c:pt idx="35">
                  <c:v>0.20816329707289646</c:v>
                </c:pt>
                <c:pt idx="36">
                  <c:v>0.20657559366959055</c:v>
                </c:pt>
                <c:pt idx="37">
                  <c:v>0.20499999999999999</c:v>
                </c:pt>
                <c:pt idx="38">
                  <c:v>0.20378569933953736</c:v>
                </c:pt>
                <c:pt idx="39">
                  <c:v>0.20257859148928936</c:v>
                </c:pt>
                <c:pt idx="40">
                  <c:v>0.20137863384323554</c:v>
                </c:pt>
                <c:pt idx="41">
                  <c:v>0.20018578404772872</c:v>
                </c:pt>
                <c:pt idx="42">
                  <c:v>0.19900000000000001</c:v>
                </c:pt>
                <c:pt idx="43">
                  <c:v>0.19778526017119838</c:v>
                </c:pt>
                <c:pt idx="44">
                  <c:v>0.19657793538185242</c:v>
                </c:pt>
                <c:pt idx="45">
                  <c:v>0.19537798036892817</c:v>
                </c:pt>
                <c:pt idx="46">
                  <c:v>0.19418535014568716</c:v>
                </c:pt>
                <c:pt idx="47">
                  <c:v>0.193</c:v>
                </c:pt>
                <c:pt idx="48">
                  <c:v>0.19178479317319164</c:v>
                </c:pt>
                <c:pt idx="49">
                  <c:v>0.19057723778489064</c:v>
                </c:pt>
                <c:pt idx="50">
                  <c:v>0.18937728565851508</c:v>
                </c:pt>
                <c:pt idx="51">
                  <c:v>0.18818488892082252</c:v>
                </c:pt>
                <c:pt idx="52">
                  <c:v>0.187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WillMartinModel!$D$16</c:f>
              <c:strCache>
                <c:ptCount val="1"/>
                <c:pt idx="0">
                  <c:v>Solar LCOE Price for Calculation</c:v>
                </c:pt>
              </c:strCache>
            </c:strRef>
          </c:tx>
          <c:spPr>
            <a:ln w="571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WillMartinModel!$H$16:$BH$16</c:f>
              <c:numCache>
                <c:formatCode>_("$"* #,##0.00_);_("$"* \(#,##0.00\);_("$"* "-"??_);_(@_)</c:formatCode>
                <c:ptCount val="53"/>
                <c:pt idx="0">
                  <c:v>0.79700000000000004</c:v>
                </c:pt>
                <c:pt idx="1">
                  <c:v>0.80600000000000005</c:v>
                </c:pt>
                <c:pt idx="2">
                  <c:v>0.751</c:v>
                </c:pt>
                <c:pt idx="3">
                  <c:v>0.70899999999999996</c:v>
                </c:pt>
                <c:pt idx="4">
                  <c:v>0.71099999999999997</c:v>
                </c:pt>
                <c:pt idx="5">
                  <c:v>0.63800000000000001</c:v>
                </c:pt>
                <c:pt idx="6">
                  <c:v>0.59599999999999997</c:v>
                </c:pt>
                <c:pt idx="7">
                  <c:v>0.57299999999999995</c:v>
                </c:pt>
                <c:pt idx="8">
                  <c:v>0.56599999999999995</c:v>
                </c:pt>
                <c:pt idx="9">
                  <c:v>0.58299999999999996</c:v>
                </c:pt>
                <c:pt idx="10">
                  <c:v>0.56299999999999994</c:v>
                </c:pt>
                <c:pt idx="11">
                  <c:v>0.54200000000000004</c:v>
                </c:pt>
                <c:pt idx="12">
                  <c:v>0.45400000000000001</c:v>
                </c:pt>
                <c:pt idx="13">
                  <c:v>0.39600000000000002</c:v>
                </c:pt>
                <c:pt idx="14">
                  <c:v>0.34599999999999997</c:v>
                </c:pt>
                <c:pt idx="15">
                  <c:v>0.29899999999999999</c:v>
                </c:pt>
                <c:pt idx="16">
                  <c:v>0.30299999999999999</c:v>
                </c:pt>
                <c:pt idx="17">
                  <c:v>0.29949999999999999</c:v>
                </c:pt>
                <c:pt idx="18">
                  <c:v>0.28666666666666668</c:v>
                </c:pt>
                <c:pt idx="19">
                  <c:v>0.27493338390253591</c:v>
                </c:pt>
                <c:pt idx="20">
                  <c:v>0.26796898665604169</c:v>
                </c:pt>
                <c:pt idx="21">
                  <c:v>0.26043673435500442</c:v>
                </c:pt>
                <c:pt idx="22">
                  <c:v>0.253</c:v>
                </c:pt>
                <c:pt idx="23">
                  <c:v>0.24709578705974442</c:v>
                </c:pt>
                <c:pt idx="24">
                  <c:v>0.24021063869350465</c:v>
                </c:pt>
                <c:pt idx="25">
                  <c:v>0.23367759454217593</c:v>
                </c:pt>
                <c:pt idx="26">
                  <c:v>0.22749636543769336</c:v>
                </c:pt>
                <c:pt idx="27">
                  <c:v>0.22166666666666668</c:v>
                </c:pt>
                <c:pt idx="28">
                  <c:v>0.21632104298638555</c:v>
                </c:pt>
                <c:pt idx="29">
                  <c:v>0.21131495419943327</c:v>
                </c:pt>
                <c:pt idx="30">
                  <c:v>0.20598167699439904</c:v>
                </c:pt>
                <c:pt idx="31">
                  <c:v>0.20132115524392882</c:v>
                </c:pt>
                <c:pt idx="32">
                  <c:v>0.19633333333333333</c:v>
                </c:pt>
                <c:pt idx="33">
                  <c:v>0.20018770304453398</c:v>
                </c:pt>
                <c:pt idx="34">
                  <c:v>0.19638160164159249</c:v>
                </c:pt>
                <c:pt idx="35">
                  <c:v>0.19258164853644821</c:v>
                </c:pt>
                <c:pt idx="36">
                  <c:v>0.1882877968347953</c:v>
                </c:pt>
                <c:pt idx="37">
                  <c:v>0.1825</c:v>
                </c:pt>
                <c:pt idx="38">
                  <c:v>0.20378569933953736</c:v>
                </c:pt>
                <c:pt idx="39">
                  <c:v>0.20257859148928936</c:v>
                </c:pt>
                <c:pt idx="40">
                  <c:v>0.20137863384323554</c:v>
                </c:pt>
                <c:pt idx="41">
                  <c:v>0.20018578404772872</c:v>
                </c:pt>
                <c:pt idx="42">
                  <c:v>0.19900000000000001</c:v>
                </c:pt>
                <c:pt idx="43">
                  <c:v>0.19778526017119838</c:v>
                </c:pt>
                <c:pt idx="44">
                  <c:v>0.19657793538185242</c:v>
                </c:pt>
                <c:pt idx="45">
                  <c:v>0.19537798036892817</c:v>
                </c:pt>
                <c:pt idx="46">
                  <c:v>0.19418535014568716</c:v>
                </c:pt>
                <c:pt idx="47">
                  <c:v>0.193</c:v>
                </c:pt>
                <c:pt idx="48">
                  <c:v>0.19178479317319164</c:v>
                </c:pt>
                <c:pt idx="49">
                  <c:v>0.19057723778489064</c:v>
                </c:pt>
                <c:pt idx="50">
                  <c:v>0.18937728565851508</c:v>
                </c:pt>
                <c:pt idx="51">
                  <c:v>0.18818488892082252</c:v>
                </c:pt>
                <c:pt idx="52">
                  <c:v>0.187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892448"/>
        <c:axId val="239894408"/>
      </c:lineChart>
      <c:catAx>
        <c:axId val="2398924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9894408"/>
        <c:crosses val="autoZero"/>
        <c:auto val="1"/>
        <c:lblAlgn val="ctr"/>
        <c:lblOffset val="100"/>
        <c:noMultiLvlLbl val="0"/>
      </c:catAx>
      <c:valAx>
        <c:axId val="239894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$/kWh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989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WillMartinModel!$D$17</c:f>
              <c:strCache>
                <c:ptCount val="1"/>
                <c:pt idx="0">
                  <c:v>Historic Average US Gasoline Price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WillMartinModel!$H$17:$BH$17</c:f>
              <c:numCache>
                <c:formatCode>_("$"* #,##0.00_);_("$"* \(#,##0.00\);_("$"* "-"??_);_(@_)</c:formatCode>
                <c:ptCount val="53"/>
                <c:pt idx="0">
                  <c:v>1.0720000000000001</c:v>
                </c:pt>
                <c:pt idx="1">
                  <c:v>1.1759999999999999</c:v>
                </c:pt>
                <c:pt idx="2">
                  <c:v>1.5229999999999999</c:v>
                </c:pt>
                <c:pt idx="3">
                  <c:v>1.46</c:v>
                </c:pt>
                <c:pt idx="4">
                  <c:v>1.3859999999999999</c:v>
                </c:pt>
                <c:pt idx="5">
                  <c:v>1.603</c:v>
                </c:pt>
                <c:pt idx="6">
                  <c:v>1.895</c:v>
                </c:pt>
                <c:pt idx="7">
                  <c:v>2.3140000000000001</c:v>
                </c:pt>
                <c:pt idx="8">
                  <c:v>2.6179999999999999</c:v>
                </c:pt>
                <c:pt idx="9">
                  <c:v>2.843</c:v>
                </c:pt>
                <c:pt idx="10">
                  <c:v>3.2989999999999999</c:v>
                </c:pt>
                <c:pt idx="11">
                  <c:v>2.4060000000000001</c:v>
                </c:pt>
                <c:pt idx="12">
                  <c:v>2.835</c:v>
                </c:pt>
                <c:pt idx="13">
                  <c:v>3.5760000000000001</c:v>
                </c:pt>
                <c:pt idx="14">
                  <c:v>3.68</c:v>
                </c:pt>
                <c:pt idx="15">
                  <c:v>3.5750000000000002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WillMartinModel!$D$18</c:f>
              <c:strCache>
                <c:ptCount val="1"/>
                <c:pt idx="0">
                  <c:v>Forecast Gasoline Price Based on 5-Year CAGR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WillMartinModel!$H$18:$BH$18</c:f>
              <c:numCache>
                <c:formatCode>_("$"* #,##0.00_);_("$"* \(#,##0.00\);_("$"* "-"??_);_(@_)</c:formatCode>
                <c:ptCount val="53"/>
                <c:pt idx="16">
                  <c:v>3.6329112820854501</c:v>
                </c:pt>
                <c:pt idx="17">
                  <c:v>3.6917606667143352</c:v>
                </c:pt>
                <c:pt idx="18">
                  <c:v>3.7515633501722547</c:v>
                </c:pt>
                <c:pt idx="19">
                  <c:v>3.8123347749088312</c:v>
                </c:pt>
                <c:pt idx="20">
                  <c:v>3.8740906335253111</c:v>
                </c:pt>
                <c:pt idx="21">
                  <c:v>3.9368468728267612</c:v>
                </c:pt>
                <c:pt idx="22">
                  <c:v>4.0006196979399062</c:v>
                </c:pt>
                <c:pt idx="23">
                  <c:v>4.0654255764976703</c:v>
                </c:pt>
                <c:pt idx="24">
                  <c:v>4.1312812428915056</c:v>
                </c:pt>
                <c:pt idx="25">
                  <c:v>4.1982037025926013</c:v>
                </c:pt>
                <c:pt idx="26">
                  <c:v>4.2662102365430963</c:v>
                </c:pt>
                <c:pt idx="27">
                  <c:v>4.3353184056184197</c:v>
                </c:pt>
                <c:pt idx="28">
                  <c:v>4.4055460551619197</c:v>
                </c:pt>
                <c:pt idx="29">
                  <c:v>4.4769113195929471</c:v>
                </c:pt>
                <c:pt idx="30">
                  <c:v>4.5494326270895877</c:v>
                </c:pt>
                <c:pt idx="31">
                  <c:v>4.6231287043472475</c:v>
                </c:pt>
                <c:pt idx="32">
                  <c:v>4.6980185814143232</c:v>
                </c:pt>
                <c:pt idx="33">
                  <c:v>4.7741215966062027</c:v>
                </c:pt>
                <c:pt idx="34">
                  <c:v>4.8514574014988741</c:v>
                </c:pt>
                <c:pt idx="35">
                  <c:v>4.9300459660034184</c:v>
                </c:pt>
                <c:pt idx="36">
                  <c:v>5.0099075835227076</c:v>
                </c:pt>
                <c:pt idx="37">
                  <c:v>5.0910628761916357</c:v>
                </c:pt>
                <c:pt idx="38">
                  <c:v>5.1735328002022358</c:v>
                </c:pt>
                <c:pt idx="39">
                  <c:v>5.2573386512150577</c:v>
                </c:pt>
                <c:pt idx="40">
                  <c:v>5.342502069858206</c:v>
                </c:pt>
                <c:pt idx="41">
                  <c:v>5.4290450473154532</c:v>
                </c:pt>
                <c:pt idx="42">
                  <c:v>5.51698993100488</c:v>
                </c:pt>
                <c:pt idx="43">
                  <c:v>5.6063594303494986</c:v>
                </c:pt>
                <c:pt idx="44">
                  <c:v>5.6971766226413569</c:v>
                </c:pt>
                <c:pt idx="45">
                  <c:v>5.7894649590006342</c:v>
                </c:pt>
                <c:pt idx="46">
                  <c:v>5.8832482704312676</c:v>
                </c:pt>
                <c:pt idx="47">
                  <c:v>5.9785507739746748</c:v>
                </c:pt>
                <c:pt idx="48">
                  <c:v>6.0753970789631593</c:v>
                </c:pt>
                <c:pt idx="49">
                  <c:v>6.1738121933746148</c:v>
                </c:pt>
                <c:pt idx="50">
                  <c:v>6.2738215302901699</c:v>
                </c:pt>
                <c:pt idx="51">
                  <c:v>6.3754509144564366</c:v>
                </c:pt>
                <c:pt idx="52">
                  <c:v>6.4787265889540668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9831344"/>
        <c:axId val="239831736"/>
      </c:lineChart>
      <c:catAx>
        <c:axId val="23983134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9831736"/>
        <c:crosses val="autoZero"/>
        <c:auto val="1"/>
        <c:lblAlgn val="ctr"/>
        <c:lblOffset val="100"/>
        <c:noMultiLvlLbl val="0"/>
      </c:catAx>
      <c:valAx>
        <c:axId val="239831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$/Gallon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398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WillMartinModel!$D$19</c:f>
              <c:strCache>
                <c:ptCount val="1"/>
                <c:pt idx="0">
                  <c:v>Gasoline Price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WillMartinModel!$H$19:$BH$19</c:f>
              <c:numCache>
                <c:formatCode>_("$"* #,##0.00_);_("$"* \(#,##0.00\);_("$"* "-"??_);_(@_)</c:formatCode>
                <c:ptCount val="53"/>
                <c:pt idx="0">
                  <c:v>1.0720000000000001</c:v>
                </c:pt>
                <c:pt idx="1">
                  <c:v>1.1759999999999999</c:v>
                </c:pt>
                <c:pt idx="2">
                  <c:v>1.5229999999999999</c:v>
                </c:pt>
                <c:pt idx="3">
                  <c:v>1.46</c:v>
                </c:pt>
                <c:pt idx="4">
                  <c:v>1.3859999999999999</c:v>
                </c:pt>
                <c:pt idx="5">
                  <c:v>1.603</c:v>
                </c:pt>
                <c:pt idx="6">
                  <c:v>1.895</c:v>
                </c:pt>
                <c:pt idx="7">
                  <c:v>2.3140000000000001</c:v>
                </c:pt>
                <c:pt idx="8">
                  <c:v>2.6179999999999999</c:v>
                </c:pt>
                <c:pt idx="9">
                  <c:v>2.843</c:v>
                </c:pt>
                <c:pt idx="10">
                  <c:v>3.2989999999999999</c:v>
                </c:pt>
                <c:pt idx="11">
                  <c:v>2.4060000000000001</c:v>
                </c:pt>
                <c:pt idx="12">
                  <c:v>2.835</c:v>
                </c:pt>
                <c:pt idx="13">
                  <c:v>3.5760000000000001</c:v>
                </c:pt>
                <c:pt idx="14">
                  <c:v>3.68</c:v>
                </c:pt>
                <c:pt idx="15">
                  <c:v>3.5750000000000002</c:v>
                </c:pt>
                <c:pt idx="16">
                  <c:v>3.6329112820854501</c:v>
                </c:pt>
                <c:pt idx="17">
                  <c:v>3.6917606667143352</c:v>
                </c:pt>
                <c:pt idx="18">
                  <c:v>3.7515633501722547</c:v>
                </c:pt>
                <c:pt idx="19">
                  <c:v>3.8123347749088312</c:v>
                </c:pt>
                <c:pt idx="20">
                  <c:v>3.8740906335253111</c:v>
                </c:pt>
                <c:pt idx="21">
                  <c:v>3.9368468728267612</c:v>
                </c:pt>
                <c:pt idx="22">
                  <c:v>4.0006196979399062</c:v>
                </c:pt>
                <c:pt idx="23">
                  <c:v>4.0654255764976703</c:v>
                </c:pt>
                <c:pt idx="24">
                  <c:v>4.1312812428915056</c:v>
                </c:pt>
                <c:pt idx="25">
                  <c:v>4.1982037025926013</c:v>
                </c:pt>
                <c:pt idx="26">
                  <c:v>4.2662102365430963</c:v>
                </c:pt>
                <c:pt idx="27">
                  <c:v>4.3353184056184197</c:v>
                </c:pt>
                <c:pt idx="28">
                  <c:v>4.4055460551619197</c:v>
                </c:pt>
                <c:pt idx="29">
                  <c:v>4.4769113195929471</c:v>
                </c:pt>
                <c:pt idx="30">
                  <c:v>4.5494326270895877</c:v>
                </c:pt>
                <c:pt idx="31">
                  <c:v>4.6231287043472475</c:v>
                </c:pt>
                <c:pt idx="32">
                  <c:v>4.6980185814143232</c:v>
                </c:pt>
                <c:pt idx="33">
                  <c:v>4.7741215966062027</c:v>
                </c:pt>
                <c:pt idx="34">
                  <c:v>4.8514574014988741</c:v>
                </c:pt>
                <c:pt idx="35">
                  <c:v>4.9300459660034184</c:v>
                </c:pt>
                <c:pt idx="36">
                  <c:v>5.0099075835227076</c:v>
                </c:pt>
                <c:pt idx="37">
                  <c:v>5.0910628761916357</c:v>
                </c:pt>
                <c:pt idx="38">
                  <c:v>5.1735328002022358</c:v>
                </c:pt>
                <c:pt idx="39">
                  <c:v>5.2573386512150577</c:v>
                </c:pt>
                <c:pt idx="40">
                  <c:v>5.342502069858206</c:v>
                </c:pt>
                <c:pt idx="41">
                  <c:v>5.4290450473154532</c:v>
                </c:pt>
                <c:pt idx="42">
                  <c:v>5.51698993100488</c:v>
                </c:pt>
                <c:pt idx="43">
                  <c:v>5.6063594303494986</c:v>
                </c:pt>
                <c:pt idx="44">
                  <c:v>5.6971766226413569</c:v>
                </c:pt>
                <c:pt idx="45">
                  <c:v>5.7894649590006342</c:v>
                </c:pt>
                <c:pt idx="46">
                  <c:v>5.8832482704312676</c:v>
                </c:pt>
                <c:pt idx="47">
                  <c:v>5.9785507739746748</c:v>
                </c:pt>
                <c:pt idx="48">
                  <c:v>6.0753970789631593</c:v>
                </c:pt>
                <c:pt idx="49">
                  <c:v>6.1738121933746148</c:v>
                </c:pt>
                <c:pt idx="50">
                  <c:v>6.2738215302901699</c:v>
                </c:pt>
                <c:pt idx="51">
                  <c:v>6.3754509144564366</c:v>
                </c:pt>
                <c:pt idx="52">
                  <c:v>6.4787265889540668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WillMartinModel!$D$20</c:f>
              <c:strCache>
                <c:ptCount val="1"/>
                <c:pt idx="0">
                  <c:v>Home Solar eGallon Price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WillMartinModel!$H$11:$BH$11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WillMartinModel!$H$20:$BH$20</c:f>
              <c:numCache>
                <c:formatCode>_("$"* #,##0.00_);_("$"* \(#,##0.00\);_("$"* "-"??_);_(@_)</c:formatCode>
                <c:ptCount val="53"/>
                <c:pt idx="0">
                  <c:v>7.86639</c:v>
                </c:pt>
                <c:pt idx="1">
                  <c:v>7.9552199999999997</c:v>
                </c:pt>
                <c:pt idx="2">
                  <c:v>7.4123699999999992</c:v>
                </c:pt>
                <c:pt idx="3">
                  <c:v>6.9978299999999987</c:v>
                </c:pt>
                <c:pt idx="4">
                  <c:v>7.0175699999999992</c:v>
                </c:pt>
                <c:pt idx="5">
                  <c:v>6.2970599999999992</c:v>
                </c:pt>
                <c:pt idx="6">
                  <c:v>5.8825199999999995</c:v>
                </c:pt>
                <c:pt idx="7">
                  <c:v>5.6555099999999987</c:v>
                </c:pt>
                <c:pt idx="8">
                  <c:v>5.5864199999999986</c:v>
                </c:pt>
                <c:pt idx="9">
                  <c:v>5.7542099999999996</c:v>
                </c:pt>
                <c:pt idx="10">
                  <c:v>5.5568099999999987</c:v>
                </c:pt>
                <c:pt idx="11">
                  <c:v>5.3495400000000002</c:v>
                </c:pt>
                <c:pt idx="12">
                  <c:v>4.4809799999999997</c:v>
                </c:pt>
                <c:pt idx="13">
                  <c:v>3.9085199999999998</c:v>
                </c:pt>
                <c:pt idx="14">
                  <c:v>3.4150199999999993</c:v>
                </c:pt>
                <c:pt idx="15">
                  <c:v>2.9511299999999996</c:v>
                </c:pt>
                <c:pt idx="16">
                  <c:v>2.9906099999999998</c:v>
                </c:pt>
                <c:pt idx="17">
                  <c:v>2.9560649999999997</c:v>
                </c:pt>
                <c:pt idx="18">
                  <c:v>2.8293999999999997</c:v>
                </c:pt>
                <c:pt idx="19">
                  <c:v>2.7135924991180294</c:v>
                </c:pt>
                <c:pt idx="20">
                  <c:v>2.6448538982951311</c:v>
                </c:pt>
                <c:pt idx="21">
                  <c:v>2.5705105680838933</c:v>
                </c:pt>
                <c:pt idx="22">
                  <c:v>2.4971099999999997</c:v>
                </c:pt>
                <c:pt idx="23">
                  <c:v>2.4388354182796772</c:v>
                </c:pt>
                <c:pt idx="24">
                  <c:v>2.3708790039048906</c:v>
                </c:pt>
                <c:pt idx="25">
                  <c:v>2.3063978581312763</c:v>
                </c:pt>
                <c:pt idx="26">
                  <c:v>2.2453891268700334</c:v>
                </c:pt>
                <c:pt idx="27">
                  <c:v>2.1878500000000001</c:v>
                </c:pt>
                <c:pt idx="28">
                  <c:v>2.1350886942756251</c:v>
                </c:pt>
                <c:pt idx="29">
                  <c:v>2.085678597948406</c:v>
                </c:pt>
                <c:pt idx="30">
                  <c:v>2.0330391519347182</c:v>
                </c:pt>
                <c:pt idx="31">
                  <c:v>1.9870398022575773</c:v>
                </c:pt>
                <c:pt idx="32">
                  <c:v>1.9378099999999998</c:v>
                </c:pt>
                <c:pt idx="33">
                  <c:v>1.9758526290495502</c:v>
                </c:pt>
                <c:pt idx="34">
                  <c:v>1.9382864082025177</c:v>
                </c:pt>
                <c:pt idx="35">
                  <c:v>1.9007808710547438</c:v>
                </c:pt>
                <c:pt idx="36">
                  <c:v>1.8584005547594293</c:v>
                </c:pt>
                <c:pt idx="37">
                  <c:v>1.8012749999999997</c:v>
                </c:pt>
                <c:pt idx="38">
                  <c:v>2.0113648524812335</c:v>
                </c:pt>
                <c:pt idx="39">
                  <c:v>1.9994506979992859</c:v>
                </c:pt>
                <c:pt idx="40">
                  <c:v>1.9876071160327347</c:v>
                </c:pt>
                <c:pt idx="41">
                  <c:v>1.9758336885510823</c:v>
                </c:pt>
                <c:pt idx="42">
                  <c:v>1.9641299999999999</c:v>
                </c:pt>
                <c:pt idx="43">
                  <c:v>1.9521405178897278</c:v>
                </c:pt>
                <c:pt idx="44">
                  <c:v>1.9402242222188832</c:v>
                </c:pt>
                <c:pt idx="45">
                  <c:v>1.928380666241321</c:v>
                </c:pt>
                <c:pt idx="46">
                  <c:v>1.9166094059379322</c:v>
                </c:pt>
                <c:pt idx="47">
                  <c:v>1.9049099999999999</c:v>
                </c:pt>
                <c:pt idx="48">
                  <c:v>1.8929159086194014</c:v>
                </c:pt>
                <c:pt idx="49">
                  <c:v>1.8809973369368704</c:v>
                </c:pt>
                <c:pt idx="50">
                  <c:v>1.8691538094495437</c:v>
                </c:pt>
                <c:pt idx="51">
                  <c:v>1.8573848536485182</c:v>
                </c:pt>
                <c:pt idx="52">
                  <c:v>1.8456899999999998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783584"/>
        <c:axId val="248783976"/>
      </c:lineChart>
      <c:catAx>
        <c:axId val="2487835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48783976"/>
        <c:crosses val="autoZero"/>
        <c:auto val="1"/>
        <c:lblAlgn val="ctr"/>
        <c:lblOffset val="100"/>
        <c:noMultiLvlLbl val="0"/>
      </c:catAx>
      <c:valAx>
        <c:axId val="248783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$/Gallon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487835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0.49584</cdr:x>
      <cdr:y>0.38168</cdr:y>
    </cdr:from>
    <cdr:to>
      <cdr:x>0.54017</cdr:x>
      <cdr:y>0.48346</cdr:y>
    </cdr:to>
    <cdr:cxnSp macro="">
      <cdr:nvCxnSpPr>
        <cdr:cNvPr id="4" name="Straight Arrow Connector 3"/>
        <cdr:cNvCxnSpPr/>
      </cdr:nvCxnSpPr>
      <cdr:spPr>
        <a:xfrm xmlns:a="http://schemas.openxmlformats.org/drawingml/2006/main">
          <a:off x="4298256" y="2401260"/>
          <a:ext cx="384202" cy="640338"/>
        </a:xfrm>
        <a:prstGeom xmlns:a="http://schemas.openxmlformats.org/drawingml/2006/main" prst="straightConnector1">
          <a:avLst/>
        </a:prstGeom>
        <a:ln xmlns:a="http://schemas.openxmlformats.org/drawingml/2006/main" w="539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0.38091</cdr:x>
      <cdr:y>0.303</cdr:y>
    </cdr:from>
    <cdr:to>
      <cdr:x>0.63513</cdr:x>
      <cdr:y>0.35145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301944" y="1906267"/>
          <a:ext cx="2203722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dirty="0">
              <a:solidFill>
                <a:srgbClr val="5B5E5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"Parity Point"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MH9822"/>
  <sheetViews>
    <sheetView zoomScale="80" zoomScaleNormal="80" workbookViewId="0">
      <selection activeCell="D8" sqref="D8"/>
    </sheetView>
  </sheetViews>
  <sheetFormatPr defaultColWidth="0" defaultRowHeight="0" customHeight="1" zeroHeight="1" x14ac:dyDescent="0.2"/>
  <cols>
    <col min="1" max="3" width="3.140625" style="4" customWidth="1"/>
    <col min="4" max="4" width="70.7109375" style="4" bestFit="1" customWidth="1"/>
    <col min="5" max="7" width="12.7109375" style="4" bestFit="1" customWidth="1"/>
    <col min="8" max="57" width="12.7109375" style="4" customWidth="1"/>
    <col min="58" max="60" width="3.140625" style="4" customWidth="1"/>
    <col min="61" max="346" width="0" style="4" hidden="1" customWidth="1"/>
    <col min="347" max="16384" width="9.140625" style="4" hidden="1"/>
  </cols>
  <sheetData>
    <row r="1" spans="1:60" ht="16.5" thickBot="1" x14ac:dyDescent="0.3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"/>
      <c r="BG1" s="3"/>
      <c r="BH1" s="1"/>
    </row>
    <row r="2" spans="1:60" ht="16.5" thickTop="1" x14ac:dyDescent="0.25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7"/>
      <c r="BH2" s="1"/>
    </row>
    <row r="3" spans="1:60" ht="20.25" x14ac:dyDescent="0.3">
      <c r="A3" s="1"/>
      <c r="B3" s="8"/>
      <c r="C3" s="9"/>
      <c r="D3" s="9" t="s">
        <v>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10"/>
      <c r="BH3" s="1"/>
    </row>
    <row r="4" spans="1:60" ht="15.75" x14ac:dyDescent="0.25">
      <c r="A4" s="1"/>
      <c r="B4" s="11"/>
      <c r="C4" s="12"/>
      <c r="D4" s="12" t="s">
        <v>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3"/>
      <c r="BH4" s="1"/>
    </row>
    <row r="5" spans="1:60" ht="15.75" x14ac:dyDescent="0.25">
      <c r="A5" s="1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6"/>
      <c r="BH5" s="1"/>
    </row>
    <row r="6" spans="1:60" ht="16.5" customHeight="1" x14ac:dyDescent="0.25">
      <c r="A6" s="1"/>
      <c r="B6" s="14"/>
      <c r="C6" s="15"/>
      <c r="D6" s="24" t="s">
        <v>31</v>
      </c>
      <c r="E6" s="27">
        <v>1</v>
      </c>
      <c r="F6" s="27">
        <v>1</v>
      </c>
      <c r="G6" s="27">
        <v>1</v>
      </c>
      <c r="H6" s="27">
        <v>1</v>
      </c>
      <c r="I6" s="27">
        <v>1</v>
      </c>
      <c r="J6" s="27">
        <v>1</v>
      </c>
      <c r="K6" s="27">
        <v>1</v>
      </c>
      <c r="L6" s="27">
        <v>1</v>
      </c>
      <c r="M6" s="27">
        <v>1</v>
      </c>
      <c r="N6" s="27">
        <v>1</v>
      </c>
      <c r="O6" s="27">
        <v>1</v>
      </c>
      <c r="P6" s="27">
        <v>1</v>
      </c>
      <c r="Q6" s="27">
        <v>1</v>
      </c>
      <c r="R6" s="27">
        <v>1</v>
      </c>
      <c r="S6" s="27">
        <v>1</v>
      </c>
      <c r="T6" s="27">
        <v>1</v>
      </c>
      <c r="U6" s="27">
        <v>1</v>
      </c>
      <c r="V6" s="27">
        <v>1</v>
      </c>
      <c r="W6" s="27">
        <v>1</v>
      </c>
      <c r="X6" s="27">
        <v>1</v>
      </c>
      <c r="Y6" s="27">
        <v>1</v>
      </c>
      <c r="Z6" s="27">
        <v>1</v>
      </c>
      <c r="AA6" s="27">
        <v>1</v>
      </c>
      <c r="AB6" s="27">
        <v>1</v>
      </c>
      <c r="AC6" s="27">
        <v>1</v>
      </c>
      <c r="AD6" s="27">
        <v>1</v>
      </c>
      <c r="AE6" s="27">
        <v>1</v>
      </c>
      <c r="AF6" s="27">
        <v>1</v>
      </c>
      <c r="AG6" s="27">
        <v>1</v>
      </c>
      <c r="AH6" s="27">
        <v>1</v>
      </c>
      <c r="AI6" s="27">
        <v>1</v>
      </c>
      <c r="AJ6" s="27">
        <v>1</v>
      </c>
      <c r="AK6" s="27">
        <v>1</v>
      </c>
      <c r="AL6" s="27">
        <v>1</v>
      </c>
      <c r="AM6" s="27">
        <v>1</v>
      </c>
      <c r="AN6" s="27">
        <v>1</v>
      </c>
      <c r="AO6" s="27">
        <v>1</v>
      </c>
      <c r="AP6" s="27">
        <v>1</v>
      </c>
      <c r="AQ6" s="27">
        <v>1</v>
      </c>
      <c r="AR6" s="27">
        <v>1</v>
      </c>
      <c r="AS6" s="27">
        <v>1</v>
      </c>
      <c r="AT6" s="27">
        <v>1</v>
      </c>
      <c r="AU6" s="27">
        <v>1</v>
      </c>
      <c r="AV6" s="27">
        <v>1</v>
      </c>
      <c r="AW6" s="27">
        <v>1</v>
      </c>
      <c r="AX6" s="27">
        <v>1</v>
      </c>
      <c r="AY6" s="27">
        <v>1</v>
      </c>
      <c r="AZ6" s="27">
        <v>1</v>
      </c>
      <c r="BA6" s="27">
        <v>1</v>
      </c>
      <c r="BB6" s="27">
        <v>1</v>
      </c>
      <c r="BC6" s="27">
        <v>1</v>
      </c>
      <c r="BD6" s="27">
        <v>1</v>
      </c>
      <c r="BE6" s="27">
        <v>1</v>
      </c>
      <c r="BF6" s="15"/>
      <c r="BG6" s="16"/>
      <c r="BH6" s="1"/>
    </row>
    <row r="7" spans="1:60" ht="15.75" x14ac:dyDescent="0.25">
      <c r="A7" s="1"/>
      <c r="B7" s="14"/>
      <c r="C7" s="15"/>
      <c r="D7" s="24" t="s">
        <v>32</v>
      </c>
      <c r="E7" s="27">
        <v>0.1</v>
      </c>
      <c r="F7" s="27">
        <f>E7*1.07</f>
        <v>0.10700000000000001</v>
      </c>
      <c r="G7" s="27">
        <f t="shared" ref="G7:BE7" si="0">F7*1.07</f>
        <v>0.11449000000000002</v>
      </c>
      <c r="H7" s="27">
        <f t="shared" si="0"/>
        <v>0.12250430000000002</v>
      </c>
      <c r="I7" s="27">
        <f t="shared" si="0"/>
        <v>0.13107960100000005</v>
      </c>
      <c r="J7" s="27">
        <f t="shared" si="0"/>
        <v>0.14025517307000004</v>
      </c>
      <c r="K7" s="27">
        <f t="shared" si="0"/>
        <v>0.15007303518490006</v>
      </c>
      <c r="L7" s="27">
        <f t="shared" si="0"/>
        <v>0.16057814764784306</v>
      </c>
      <c r="M7" s="27">
        <f t="shared" si="0"/>
        <v>0.17181861798319209</v>
      </c>
      <c r="N7" s="27">
        <f t="shared" si="0"/>
        <v>0.18384592124201554</v>
      </c>
      <c r="O7" s="27">
        <f t="shared" si="0"/>
        <v>0.19671513572895663</v>
      </c>
      <c r="P7" s="27">
        <f t="shared" si="0"/>
        <v>0.2104851952299836</v>
      </c>
      <c r="Q7" s="27">
        <f t="shared" si="0"/>
        <v>0.22521915889608246</v>
      </c>
      <c r="R7" s="27">
        <f t="shared" si="0"/>
        <v>0.24098450001880825</v>
      </c>
      <c r="S7" s="27">
        <f t="shared" si="0"/>
        <v>0.25785341502012482</v>
      </c>
      <c r="T7" s="27">
        <f t="shared" si="0"/>
        <v>0.2759031540715336</v>
      </c>
      <c r="U7" s="27">
        <f t="shared" si="0"/>
        <v>0.29521637485654095</v>
      </c>
      <c r="V7" s="27">
        <f t="shared" si="0"/>
        <v>0.31588152109649886</v>
      </c>
      <c r="W7" s="27">
        <f t="shared" si="0"/>
        <v>0.33799322757325378</v>
      </c>
      <c r="X7" s="27">
        <f t="shared" si="0"/>
        <v>0.36165275350338155</v>
      </c>
      <c r="Y7" s="27">
        <f t="shared" si="0"/>
        <v>0.38696844624861826</v>
      </c>
      <c r="Z7" s="27">
        <f t="shared" si="0"/>
        <v>0.41405623748602155</v>
      </c>
      <c r="AA7" s="27">
        <f t="shared" si="0"/>
        <v>0.44304017411004309</v>
      </c>
      <c r="AB7" s="27">
        <f t="shared" si="0"/>
        <v>0.47405298629774612</v>
      </c>
      <c r="AC7" s="27">
        <f t="shared" si="0"/>
        <v>0.50723669533858839</v>
      </c>
      <c r="AD7" s="27">
        <f t="shared" si="0"/>
        <v>0.54274326401228956</v>
      </c>
      <c r="AE7" s="27">
        <f t="shared" si="0"/>
        <v>0.58073529249314981</v>
      </c>
      <c r="AF7" s="27">
        <f t="shared" si="0"/>
        <v>0.62138676296767037</v>
      </c>
      <c r="AG7" s="27">
        <f t="shared" si="0"/>
        <v>0.66488383637540738</v>
      </c>
      <c r="AH7" s="27">
        <f t="shared" si="0"/>
        <v>0.71142570492168589</v>
      </c>
      <c r="AI7" s="27">
        <f t="shared" si="0"/>
        <v>0.76122550426620395</v>
      </c>
      <c r="AJ7" s="27">
        <f t="shared" si="0"/>
        <v>0.81451128956483831</v>
      </c>
      <c r="AK7" s="27">
        <f t="shared" si="0"/>
        <v>0.87152707983437705</v>
      </c>
      <c r="AL7" s="27">
        <f t="shared" si="0"/>
        <v>0.93253397542278349</v>
      </c>
      <c r="AM7" s="27">
        <f t="shared" si="0"/>
        <v>0.99781135370237839</v>
      </c>
      <c r="AN7" s="27">
        <f t="shared" si="0"/>
        <v>1.0676581484615448</v>
      </c>
      <c r="AO7" s="27">
        <f t="shared" si="0"/>
        <v>1.1423942188538529</v>
      </c>
      <c r="AP7" s="27">
        <f t="shared" si="0"/>
        <v>1.2223618141736228</v>
      </c>
      <c r="AQ7" s="27">
        <f t="shared" si="0"/>
        <v>1.3079271411657765</v>
      </c>
      <c r="AR7" s="27">
        <f t="shared" si="0"/>
        <v>1.3994820410473809</v>
      </c>
      <c r="AS7" s="27">
        <f t="shared" si="0"/>
        <v>1.4974457839206976</v>
      </c>
      <c r="AT7" s="27">
        <f t="shared" si="0"/>
        <v>1.6022669887951466</v>
      </c>
      <c r="AU7" s="27">
        <f t="shared" si="0"/>
        <v>1.7144256780108069</v>
      </c>
      <c r="AV7" s="27">
        <f t="shared" si="0"/>
        <v>1.8344354754715635</v>
      </c>
      <c r="AW7" s="27">
        <f t="shared" si="0"/>
        <v>1.962845958754573</v>
      </c>
      <c r="AX7" s="27">
        <f t="shared" si="0"/>
        <v>2.1002451758673932</v>
      </c>
      <c r="AY7" s="27">
        <f t="shared" si="0"/>
        <v>2.2472623381781109</v>
      </c>
      <c r="AZ7" s="27">
        <f t="shared" si="0"/>
        <v>2.4045707018505786</v>
      </c>
      <c r="BA7" s="27">
        <f t="shared" si="0"/>
        <v>2.5728906509801193</v>
      </c>
      <c r="BB7" s="27">
        <f t="shared" si="0"/>
        <v>2.7529929965487279</v>
      </c>
      <c r="BC7" s="27">
        <f t="shared" si="0"/>
        <v>2.9457025063071391</v>
      </c>
      <c r="BD7" s="27">
        <f t="shared" si="0"/>
        <v>3.1519016817486389</v>
      </c>
      <c r="BE7" s="27">
        <f t="shared" si="0"/>
        <v>3.372534799471044</v>
      </c>
      <c r="BF7" s="15"/>
      <c r="BG7" s="16"/>
      <c r="BH7" s="1"/>
    </row>
    <row r="8" spans="1:60" ht="15.75" x14ac:dyDescent="0.25">
      <c r="A8" s="1"/>
      <c r="B8" s="14"/>
      <c r="C8" s="15"/>
      <c r="D8" s="24" t="s">
        <v>33</v>
      </c>
      <c r="E8" s="27">
        <f>MIN(E6:E7)</f>
        <v>0.1</v>
      </c>
      <c r="F8" s="27">
        <f t="shared" ref="F8:BE8" si="1">MIN(F6:F7)</f>
        <v>0.10700000000000001</v>
      </c>
      <c r="G8" s="27">
        <f t="shared" si="1"/>
        <v>0.11449000000000002</v>
      </c>
      <c r="H8" s="27">
        <f t="shared" si="1"/>
        <v>0.12250430000000002</v>
      </c>
      <c r="I8" s="27">
        <f t="shared" si="1"/>
        <v>0.13107960100000005</v>
      </c>
      <c r="J8" s="27">
        <f t="shared" si="1"/>
        <v>0.14025517307000004</v>
      </c>
      <c r="K8" s="27">
        <f t="shared" si="1"/>
        <v>0.15007303518490006</v>
      </c>
      <c r="L8" s="27">
        <f t="shared" si="1"/>
        <v>0.16057814764784306</v>
      </c>
      <c r="M8" s="27">
        <f t="shared" si="1"/>
        <v>0.17181861798319209</v>
      </c>
      <c r="N8" s="27">
        <f t="shared" si="1"/>
        <v>0.18384592124201554</v>
      </c>
      <c r="O8" s="27">
        <f t="shared" si="1"/>
        <v>0.19671513572895663</v>
      </c>
      <c r="P8" s="27">
        <f t="shared" si="1"/>
        <v>0.2104851952299836</v>
      </c>
      <c r="Q8" s="27">
        <f t="shared" si="1"/>
        <v>0.22521915889608246</v>
      </c>
      <c r="R8" s="27">
        <f t="shared" si="1"/>
        <v>0.24098450001880825</v>
      </c>
      <c r="S8" s="27">
        <f t="shared" si="1"/>
        <v>0.25785341502012482</v>
      </c>
      <c r="T8" s="27">
        <f t="shared" si="1"/>
        <v>0.2759031540715336</v>
      </c>
      <c r="U8" s="27">
        <f t="shared" si="1"/>
        <v>0.29521637485654095</v>
      </c>
      <c r="V8" s="27">
        <f t="shared" si="1"/>
        <v>0.31588152109649886</v>
      </c>
      <c r="W8" s="27">
        <f t="shared" si="1"/>
        <v>0.33799322757325378</v>
      </c>
      <c r="X8" s="27">
        <f t="shared" si="1"/>
        <v>0.36165275350338155</v>
      </c>
      <c r="Y8" s="27">
        <f t="shared" si="1"/>
        <v>0.38696844624861826</v>
      </c>
      <c r="Z8" s="27">
        <f t="shared" si="1"/>
        <v>0.41405623748602155</v>
      </c>
      <c r="AA8" s="27">
        <f t="shared" si="1"/>
        <v>0.44304017411004309</v>
      </c>
      <c r="AB8" s="27">
        <f t="shared" si="1"/>
        <v>0.47405298629774612</v>
      </c>
      <c r="AC8" s="27">
        <f t="shared" si="1"/>
        <v>0.50723669533858839</v>
      </c>
      <c r="AD8" s="27">
        <f t="shared" si="1"/>
        <v>0.54274326401228956</v>
      </c>
      <c r="AE8" s="27">
        <f t="shared" si="1"/>
        <v>0.58073529249314981</v>
      </c>
      <c r="AF8" s="27">
        <f t="shared" si="1"/>
        <v>0.62138676296767037</v>
      </c>
      <c r="AG8" s="27">
        <f t="shared" si="1"/>
        <v>0.66488383637540738</v>
      </c>
      <c r="AH8" s="27">
        <f t="shared" si="1"/>
        <v>0.71142570492168589</v>
      </c>
      <c r="AI8" s="27">
        <f t="shared" si="1"/>
        <v>0.76122550426620395</v>
      </c>
      <c r="AJ8" s="27">
        <f t="shared" si="1"/>
        <v>0.81451128956483831</v>
      </c>
      <c r="AK8" s="27">
        <f t="shared" si="1"/>
        <v>0.87152707983437705</v>
      </c>
      <c r="AL8" s="27">
        <f t="shared" si="1"/>
        <v>0.93253397542278349</v>
      </c>
      <c r="AM8" s="27">
        <f t="shared" si="1"/>
        <v>0.99781135370237839</v>
      </c>
      <c r="AN8" s="27">
        <f t="shared" si="1"/>
        <v>1</v>
      </c>
      <c r="AO8" s="27">
        <f t="shared" si="1"/>
        <v>1</v>
      </c>
      <c r="AP8" s="27">
        <f t="shared" si="1"/>
        <v>1</v>
      </c>
      <c r="AQ8" s="27">
        <f t="shared" si="1"/>
        <v>1</v>
      </c>
      <c r="AR8" s="27">
        <f t="shared" si="1"/>
        <v>1</v>
      </c>
      <c r="AS8" s="27">
        <f t="shared" si="1"/>
        <v>1</v>
      </c>
      <c r="AT8" s="27">
        <f t="shared" si="1"/>
        <v>1</v>
      </c>
      <c r="AU8" s="27">
        <f t="shared" si="1"/>
        <v>1</v>
      </c>
      <c r="AV8" s="27">
        <f t="shared" si="1"/>
        <v>1</v>
      </c>
      <c r="AW8" s="27">
        <f t="shared" si="1"/>
        <v>1</v>
      </c>
      <c r="AX8" s="27">
        <f t="shared" si="1"/>
        <v>1</v>
      </c>
      <c r="AY8" s="27">
        <f t="shared" si="1"/>
        <v>1</v>
      </c>
      <c r="AZ8" s="27">
        <f t="shared" si="1"/>
        <v>1</v>
      </c>
      <c r="BA8" s="27">
        <f t="shared" si="1"/>
        <v>1</v>
      </c>
      <c r="BB8" s="27">
        <f t="shared" si="1"/>
        <v>1</v>
      </c>
      <c r="BC8" s="27">
        <f t="shared" si="1"/>
        <v>1</v>
      </c>
      <c r="BD8" s="27">
        <f t="shared" si="1"/>
        <v>1</v>
      </c>
      <c r="BE8" s="27">
        <f t="shared" si="1"/>
        <v>1</v>
      </c>
      <c r="BF8" s="15"/>
      <c r="BG8" s="16"/>
      <c r="BH8" s="1"/>
    </row>
    <row r="9" spans="1:60" ht="16.5" thickBot="1" x14ac:dyDescent="0.3">
      <c r="A9" s="1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2"/>
      <c r="BH9" s="1"/>
    </row>
    <row r="10" spans="1:60" ht="16.5" thickTop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ht="12.75" hidden="1" x14ac:dyDescent="0.2"/>
    <row r="12" spans="1:60" ht="12.75" hidden="1" x14ac:dyDescent="0.2"/>
    <row r="13" spans="1:60" ht="12.75" hidden="1" x14ac:dyDescent="0.2"/>
    <row r="14" spans="1:60" ht="12.75" hidden="1" x14ac:dyDescent="0.2"/>
    <row r="15" spans="1:60" ht="12.75" hidden="1" x14ac:dyDescent="0.2"/>
    <row r="16" spans="1:60" ht="12.75" hidden="1" x14ac:dyDescent="0.2"/>
    <row r="17" ht="12.75" hidden="1" x14ac:dyDescent="0.2"/>
    <row r="18" ht="12.75" hidden="1" x14ac:dyDescent="0.2"/>
    <row r="19" ht="12.75" hidden="1" x14ac:dyDescent="0.2"/>
    <row r="20" ht="12.75" hidden="1" x14ac:dyDescent="0.2"/>
    <row r="21" ht="12.75" hidden="1" x14ac:dyDescent="0.2"/>
    <row r="22" ht="12.75" hidden="1" x14ac:dyDescent="0.2"/>
    <row r="23" ht="12.75" hidden="1" x14ac:dyDescent="0.2"/>
    <row r="24" ht="12.75" hidden="1" x14ac:dyDescent="0.2"/>
    <row r="25" ht="12.75" hidden="1" x14ac:dyDescent="0.2"/>
    <row r="26" ht="12.75" hidden="1" x14ac:dyDescent="0.2"/>
    <row r="27" ht="12.75" hidden="1" x14ac:dyDescent="0.2"/>
    <row r="28" ht="12.75" hidden="1" x14ac:dyDescent="0.2"/>
    <row r="29" ht="12.75" hidden="1" x14ac:dyDescent="0.2"/>
    <row r="30" ht="12.75" hidden="1" x14ac:dyDescent="0.2"/>
    <row r="31" ht="12.75" hidden="1" x14ac:dyDescent="0.2"/>
    <row r="32" ht="12.75" hidden="1" x14ac:dyDescent="0.2"/>
    <row r="33" ht="12.75" hidden="1" x14ac:dyDescent="0.2"/>
    <row r="34" ht="12.75" hidden="1" x14ac:dyDescent="0.2"/>
    <row r="35" ht="12.75" hidden="1" x14ac:dyDescent="0.2"/>
    <row r="36" ht="12.75" hidden="1" x14ac:dyDescent="0.2"/>
    <row r="37" ht="12.75" hidden="1" x14ac:dyDescent="0.2"/>
    <row r="38" ht="12.75" hidden="1" x14ac:dyDescent="0.2"/>
    <row r="39" ht="12.75" hidden="1" x14ac:dyDescent="0.2"/>
    <row r="40" ht="12.75" hidden="1" x14ac:dyDescent="0.2"/>
    <row r="41" ht="12.75" hidden="1" x14ac:dyDescent="0.2"/>
    <row r="42" ht="12.75" hidden="1" x14ac:dyDescent="0.2"/>
    <row r="43" ht="12.75" hidden="1" x14ac:dyDescent="0.2"/>
    <row r="44" ht="12.75" hidden="1" x14ac:dyDescent="0.2"/>
    <row r="45" ht="12.75" hidden="1" x14ac:dyDescent="0.2"/>
    <row r="46" ht="12.75" hidden="1" x14ac:dyDescent="0.2"/>
    <row r="47" ht="12.75" hidden="1" x14ac:dyDescent="0.2"/>
    <row r="48" ht="12.75" hidden="1" x14ac:dyDescent="0.2"/>
    <row r="49" ht="12.75" hidden="1" x14ac:dyDescent="0.2"/>
    <row r="50" ht="12.75" hidden="1" x14ac:dyDescent="0.2"/>
    <row r="51" ht="12.75" hidden="1" x14ac:dyDescent="0.2"/>
    <row r="52" ht="12.75" hidden="1" x14ac:dyDescent="0.2"/>
    <row r="53" ht="12.75" hidden="1" x14ac:dyDescent="0.2"/>
    <row r="54" ht="12.75" hidden="1" x14ac:dyDescent="0.2"/>
    <row r="55" ht="12.75" hidden="1" x14ac:dyDescent="0.2"/>
    <row r="56" ht="12.75" hidden="1" x14ac:dyDescent="0.2"/>
    <row r="57" ht="12.75" hidden="1" x14ac:dyDescent="0.2"/>
    <row r="58" ht="12.75" hidden="1" x14ac:dyDescent="0.2"/>
    <row r="59" ht="12.75" hidden="1" x14ac:dyDescent="0.2"/>
    <row r="60" ht="12.75" hidden="1" x14ac:dyDescent="0.2"/>
    <row r="61" ht="12.75" hidden="1" x14ac:dyDescent="0.2"/>
    <row r="62" ht="12.75" hidden="1" x14ac:dyDescent="0.2"/>
    <row r="63" ht="12.75" hidden="1" x14ac:dyDescent="0.2"/>
    <row r="64" ht="12.75" hidden="1" x14ac:dyDescent="0.2"/>
    <row r="65" ht="12.75" hidden="1" x14ac:dyDescent="0.2"/>
    <row r="66" ht="12.75" hidden="1" x14ac:dyDescent="0.2"/>
    <row r="67" ht="12.75" hidden="1" x14ac:dyDescent="0.2"/>
    <row r="68" ht="12.75" hidden="1" x14ac:dyDescent="0.2"/>
    <row r="69" ht="12.75" hidden="1" x14ac:dyDescent="0.2"/>
    <row r="70" ht="12.75" hidden="1" x14ac:dyDescent="0.2"/>
    <row r="71" ht="12.75" hidden="1" x14ac:dyDescent="0.2"/>
    <row r="72" ht="12.75" hidden="1" x14ac:dyDescent="0.2"/>
    <row r="73" ht="12.75" hidden="1" x14ac:dyDescent="0.2"/>
    <row r="74" ht="12.75" hidden="1" x14ac:dyDescent="0.2"/>
    <row r="75" ht="12.75" hidden="1" x14ac:dyDescent="0.2"/>
    <row r="76" ht="12.75" hidden="1" x14ac:dyDescent="0.2"/>
    <row r="77" ht="12.75" hidden="1" x14ac:dyDescent="0.2"/>
    <row r="78" ht="12.75" hidden="1" x14ac:dyDescent="0.2"/>
    <row r="79" ht="12.75" hidden="1" x14ac:dyDescent="0.2"/>
    <row r="80" ht="12.75" hidden="1" x14ac:dyDescent="0.2"/>
    <row r="81" ht="12.75" hidden="1" x14ac:dyDescent="0.2"/>
    <row r="82" ht="12.75" hidden="1" x14ac:dyDescent="0.2"/>
    <row r="83" ht="12.75" hidden="1" x14ac:dyDescent="0.2"/>
    <row r="84" ht="12.75" hidden="1" x14ac:dyDescent="0.2"/>
    <row r="85" ht="12.75" hidden="1" x14ac:dyDescent="0.2"/>
    <row r="86" ht="12.75" hidden="1" x14ac:dyDescent="0.2"/>
    <row r="87" ht="12.75" hidden="1" x14ac:dyDescent="0.2"/>
    <row r="88" ht="12.75" hidden="1" x14ac:dyDescent="0.2"/>
    <row r="89" ht="12.75" hidden="1" x14ac:dyDescent="0.2"/>
    <row r="90" ht="12.75" hidden="1" x14ac:dyDescent="0.2"/>
    <row r="91" ht="12.75" hidden="1" x14ac:dyDescent="0.2"/>
    <row r="92" ht="12.75" hidden="1" x14ac:dyDescent="0.2"/>
    <row r="93" ht="12.75" hidden="1" x14ac:dyDescent="0.2"/>
    <row r="94" ht="12.75" hidden="1" x14ac:dyDescent="0.2"/>
    <row r="95" ht="12.75" hidden="1" x14ac:dyDescent="0.2"/>
    <row r="96" ht="12.75" hidden="1" x14ac:dyDescent="0.2"/>
    <row r="97" ht="12.75" hidden="1" x14ac:dyDescent="0.2"/>
    <row r="98" ht="12.75" hidden="1" x14ac:dyDescent="0.2"/>
    <row r="99" ht="12.75" hidden="1" x14ac:dyDescent="0.2"/>
    <row r="100" ht="12.75" hidden="1" x14ac:dyDescent="0.2"/>
    <row r="101" ht="12.75" hidden="1" x14ac:dyDescent="0.2"/>
    <row r="102" ht="12.75" hidden="1" x14ac:dyDescent="0.2"/>
    <row r="103" ht="12.75" hidden="1" x14ac:dyDescent="0.2"/>
    <row r="104" ht="12.75" hidden="1" x14ac:dyDescent="0.2"/>
    <row r="105" ht="12.75" hidden="1" x14ac:dyDescent="0.2"/>
    <row r="106" ht="12.75" hidden="1" x14ac:dyDescent="0.2"/>
    <row r="107" ht="12.75" hidden="1" x14ac:dyDescent="0.2"/>
    <row r="108" ht="12.75" hidden="1" x14ac:dyDescent="0.2"/>
    <row r="109" ht="12.75" hidden="1" x14ac:dyDescent="0.2"/>
    <row r="110" ht="12.75" hidden="1" x14ac:dyDescent="0.2"/>
    <row r="111" ht="12.75" hidden="1" x14ac:dyDescent="0.2"/>
    <row r="112" ht="12.75" hidden="1" x14ac:dyDescent="0.2"/>
    <row r="113" ht="12.75" hidden="1" x14ac:dyDescent="0.2"/>
    <row r="114" ht="12.75" hidden="1" x14ac:dyDescent="0.2"/>
    <row r="115" ht="12.75" hidden="1" x14ac:dyDescent="0.2"/>
    <row r="116" ht="12.75" hidden="1" x14ac:dyDescent="0.2"/>
    <row r="117" ht="12.75" hidden="1" x14ac:dyDescent="0.2"/>
    <row r="118" ht="12.75" hidden="1" x14ac:dyDescent="0.2"/>
    <row r="119" ht="12.75" hidden="1" x14ac:dyDescent="0.2"/>
    <row r="120" ht="12.75" hidden="1" x14ac:dyDescent="0.2"/>
    <row r="121" ht="12.75" hidden="1" x14ac:dyDescent="0.2"/>
    <row r="122" ht="12.75" hidden="1" x14ac:dyDescent="0.2"/>
    <row r="123" ht="12.75" hidden="1" x14ac:dyDescent="0.2"/>
    <row r="124" ht="12.75" hidden="1" x14ac:dyDescent="0.2"/>
    <row r="125" ht="12.75" hidden="1" x14ac:dyDescent="0.2"/>
    <row r="126" ht="12.75" hidden="1" x14ac:dyDescent="0.2"/>
    <row r="127" ht="12.75" hidden="1" x14ac:dyDescent="0.2"/>
    <row r="128" ht="12.75" hidden="1" x14ac:dyDescent="0.2"/>
    <row r="129" ht="12.75" hidden="1" x14ac:dyDescent="0.2"/>
    <row r="130" ht="12.75" hidden="1" x14ac:dyDescent="0.2"/>
    <row r="131" ht="12.75" hidden="1" x14ac:dyDescent="0.2"/>
    <row r="132" ht="12.75" hidden="1" x14ac:dyDescent="0.2"/>
    <row r="133" ht="12.75" hidden="1" x14ac:dyDescent="0.2"/>
    <row r="134" ht="12.75" hidden="1" x14ac:dyDescent="0.2"/>
    <row r="135" ht="12.75" hidden="1" x14ac:dyDescent="0.2"/>
    <row r="136" ht="12.75" hidden="1" x14ac:dyDescent="0.2"/>
    <row r="137" ht="12.75" hidden="1" x14ac:dyDescent="0.2"/>
    <row r="138" ht="12.75" hidden="1" x14ac:dyDescent="0.2"/>
    <row r="139" ht="12.75" hidden="1" x14ac:dyDescent="0.2"/>
    <row r="140" ht="12.75" hidden="1" x14ac:dyDescent="0.2"/>
    <row r="141" ht="12.75" hidden="1" x14ac:dyDescent="0.2"/>
    <row r="142" ht="12.75" hidden="1" x14ac:dyDescent="0.2"/>
    <row r="143" ht="12.75" hidden="1" x14ac:dyDescent="0.2"/>
    <row r="144" ht="12.75" hidden="1" x14ac:dyDescent="0.2"/>
    <row r="145" ht="12.75" hidden="1" x14ac:dyDescent="0.2"/>
    <row r="146" ht="12.75" hidden="1" x14ac:dyDescent="0.2"/>
    <row r="147" ht="12.75" hidden="1" x14ac:dyDescent="0.2"/>
    <row r="148" ht="12.75" hidden="1" x14ac:dyDescent="0.2"/>
    <row r="149" ht="12.75" hidden="1" x14ac:dyDescent="0.2"/>
    <row r="150" ht="12.75" hidden="1" x14ac:dyDescent="0.2"/>
    <row r="151" ht="12.75" hidden="1" x14ac:dyDescent="0.2"/>
    <row r="152" ht="12.75" hidden="1" x14ac:dyDescent="0.2"/>
    <row r="153" ht="12.75" hidden="1" x14ac:dyDescent="0.2"/>
    <row r="154" ht="12.75" hidden="1" x14ac:dyDescent="0.2"/>
    <row r="155" ht="12.75" hidden="1" x14ac:dyDescent="0.2"/>
    <row r="156" ht="12.75" hidden="1" x14ac:dyDescent="0.2"/>
    <row r="157" ht="12.75" hidden="1" x14ac:dyDescent="0.2"/>
    <row r="158" ht="12.75" hidden="1" x14ac:dyDescent="0.2"/>
    <row r="159" ht="12.75" hidden="1" x14ac:dyDescent="0.2"/>
    <row r="160" ht="12.75" hidden="1" x14ac:dyDescent="0.2"/>
    <row r="161" ht="12.75" hidden="1" x14ac:dyDescent="0.2"/>
    <row r="162" ht="12.75" hidden="1" x14ac:dyDescent="0.2"/>
    <row r="163" ht="12.75" hidden="1" x14ac:dyDescent="0.2"/>
    <row r="164" ht="12.75" hidden="1" x14ac:dyDescent="0.2"/>
    <row r="165" ht="12.75" hidden="1" x14ac:dyDescent="0.2"/>
    <row r="166" ht="12.75" hidden="1" x14ac:dyDescent="0.2"/>
    <row r="167" ht="12.75" hidden="1" x14ac:dyDescent="0.2"/>
    <row r="168" ht="12.75" hidden="1" x14ac:dyDescent="0.2"/>
    <row r="169" ht="12.75" hidden="1" x14ac:dyDescent="0.2"/>
    <row r="170" ht="12.75" hidden="1" x14ac:dyDescent="0.2"/>
    <row r="171" ht="12.75" hidden="1" x14ac:dyDescent="0.2"/>
    <row r="172" ht="12.75" hidden="1" x14ac:dyDescent="0.2"/>
    <row r="173" ht="12.75" hidden="1" x14ac:dyDescent="0.2"/>
    <row r="174" ht="12.75" hidden="1" x14ac:dyDescent="0.2"/>
    <row r="175" ht="12.75" hidden="1" x14ac:dyDescent="0.2"/>
    <row r="176" ht="12.75" hidden="1" x14ac:dyDescent="0.2"/>
    <row r="177" ht="12.75" hidden="1" x14ac:dyDescent="0.2"/>
    <row r="178" ht="12.75" hidden="1" x14ac:dyDescent="0.2"/>
    <row r="179" ht="12.75" hidden="1" x14ac:dyDescent="0.2"/>
    <row r="180" ht="12.75" hidden="1" x14ac:dyDescent="0.2"/>
    <row r="181" ht="12.75" hidden="1" x14ac:dyDescent="0.2"/>
    <row r="182" ht="12.75" hidden="1" x14ac:dyDescent="0.2"/>
    <row r="183" ht="12.75" hidden="1" x14ac:dyDescent="0.2"/>
    <row r="184" ht="12.75" hidden="1" x14ac:dyDescent="0.2"/>
    <row r="185" ht="12.75" hidden="1" x14ac:dyDescent="0.2"/>
    <row r="186" ht="12.75" hidden="1" x14ac:dyDescent="0.2"/>
    <row r="187" ht="12.75" hidden="1" x14ac:dyDescent="0.2"/>
    <row r="188" ht="12.75" hidden="1" x14ac:dyDescent="0.2"/>
    <row r="189" ht="12.75" hidden="1" x14ac:dyDescent="0.2"/>
    <row r="190" ht="12.75" hidden="1" x14ac:dyDescent="0.2"/>
    <row r="191" ht="12.75" hidden="1" x14ac:dyDescent="0.2"/>
    <row r="192" ht="12.75" hidden="1" x14ac:dyDescent="0.2"/>
    <row r="193" ht="12.75" hidden="1" x14ac:dyDescent="0.2"/>
    <row r="194" ht="12.75" hidden="1" x14ac:dyDescent="0.2"/>
    <row r="195" ht="12.75" hidden="1" x14ac:dyDescent="0.2"/>
    <row r="196" ht="12.75" hidden="1" x14ac:dyDescent="0.2"/>
    <row r="197" ht="12.75" hidden="1" x14ac:dyDescent="0.2"/>
    <row r="198" ht="12.75" hidden="1" x14ac:dyDescent="0.2"/>
    <row r="199" ht="12.75" hidden="1" x14ac:dyDescent="0.2"/>
    <row r="200" ht="12.75" hidden="1" x14ac:dyDescent="0.2"/>
    <row r="201" ht="12.75" hidden="1" x14ac:dyDescent="0.2"/>
    <row r="202" ht="12.75" hidden="1" x14ac:dyDescent="0.2"/>
    <row r="203" ht="12.75" hidden="1" x14ac:dyDescent="0.2"/>
    <row r="204" ht="12.75" hidden="1" x14ac:dyDescent="0.2"/>
    <row r="205" ht="12.75" hidden="1" x14ac:dyDescent="0.2"/>
    <row r="206" ht="12.75" hidden="1" x14ac:dyDescent="0.2"/>
    <row r="207" ht="12.75" hidden="1" x14ac:dyDescent="0.2"/>
    <row r="208" ht="12.75" hidden="1" x14ac:dyDescent="0.2"/>
    <row r="209" ht="12.75" hidden="1" x14ac:dyDescent="0.2"/>
    <row r="210" ht="12.75" hidden="1" x14ac:dyDescent="0.2"/>
    <row r="211" ht="12.75" hidden="1" x14ac:dyDescent="0.2"/>
    <row r="212" ht="12.75" hidden="1" x14ac:dyDescent="0.2"/>
    <row r="213" ht="12.75" hidden="1" x14ac:dyDescent="0.2"/>
    <row r="214" ht="12.75" hidden="1" x14ac:dyDescent="0.2"/>
    <row r="215" ht="12.75" hidden="1" x14ac:dyDescent="0.2"/>
    <row r="216" ht="12.75" hidden="1" x14ac:dyDescent="0.2"/>
    <row r="217" ht="12.75" hidden="1" x14ac:dyDescent="0.2"/>
    <row r="218" ht="12.75" hidden="1" x14ac:dyDescent="0.2"/>
    <row r="219" ht="12.75" hidden="1" x14ac:dyDescent="0.2"/>
    <row r="220" ht="12.75" hidden="1" x14ac:dyDescent="0.2"/>
    <row r="221" ht="12.75" hidden="1" x14ac:dyDescent="0.2"/>
    <row r="222" ht="12.75" hidden="1" x14ac:dyDescent="0.2"/>
    <row r="223" ht="12.75" hidden="1" x14ac:dyDescent="0.2"/>
    <row r="224" ht="12.75" hidden="1" x14ac:dyDescent="0.2"/>
    <row r="225" ht="12.75" hidden="1" x14ac:dyDescent="0.2"/>
    <row r="226" ht="12.75" hidden="1" x14ac:dyDescent="0.2"/>
    <row r="227" ht="12.75" hidden="1" x14ac:dyDescent="0.2"/>
    <row r="228" ht="12.75" hidden="1" x14ac:dyDescent="0.2"/>
    <row r="229" ht="12.75" hidden="1" x14ac:dyDescent="0.2"/>
    <row r="230" ht="12.75" hidden="1" x14ac:dyDescent="0.2"/>
    <row r="231" ht="12.75" hidden="1" x14ac:dyDescent="0.2"/>
    <row r="232" ht="12.75" hidden="1" x14ac:dyDescent="0.2"/>
    <row r="233" ht="12.75" hidden="1" x14ac:dyDescent="0.2"/>
    <row r="234" ht="12.75" hidden="1" x14ac:dyDescent="0.2"/>
    <row r="235" ht="12.75" hidden="1" x14ac:dyDescent="0.2"/>
    <row r="236" ht="12.75" hidden="1" x14ac:dyDescent="0.2"/>
    <row r="237" ht="12.75" hidden="1" x14ac:dyDescent="0.2"/>
    <row r="238" ht="12.75" hidden="1" x14ac:dyDescent="0.2"/>
    <row r="239" ht="12.75" hidden="1" x14ac:dyDescent="0.2"/>
    <row r="240" ht="12.75" hidden="1" x14ac:dyDescent="0.2"/>
    <row r="241" ht="12.75" hidden="1" x14ac:dyDescent="0.2"/>
    <row r="242" ht="12.75" hidden="1" x14ac:dyDescent="0.2"/>
    <row r="243" ht="12.75" hidden="1" x14ac:dyDescent="0.2"/>
    <row r="244" ht="12.75" hidden="1" x14ac:dyDescent="0.2"/>
    <row r="245" ht="12.75" hidden="1" x14ac:dyDescent="0.2"/>
    <row r="246" ht="12.75" hidden="1" x14ac:dyDescent="0.2"/>
    <row r="247" ht="12.75" hidden="1" x14ac:dyDescent="0.2"/>
    <row r="248" ht="12.75" hidden="1" x14ac:dyDescent="0.2"/>
    <row r="249" ht="12.75" hidden="1" x14ac:dyDescent="0.2"/>
    <row r="250" ht="12.75" hidden="1" x14ac:dyDescent="0.2"/>
    <row r="251" ht="12.75" hidden="1" x14ac:dyDescent="0.2"/>
    <row r="252" ht="12.75" hidden="1" x14ac:dyDescent="0.2"/>
    <row r="253" ht="12.75" hidden="1" x14ac:dyDescent="0.2"/>
    <row r="254" ht="12.75" hidden="1" x14ac:dyDescent="0.2"/>
    <row r="255" ht="12.75" hidden="1" x14ac:dyDescent="0.2"/>
    <row r="256" ht="12.75" hidden="1" x14ac:dyDescent="0.2"/>
    <row r="257" ht="12.75" hidden="1" x14ac:dyDescent="0.2"/>
    <row r="258" ht="12.75" hidden="1" x14ac:dyDescent="0.2"/>
    <row r="259" ht="12.75" hidden="1" x14ac:dyDescent="0.2"/>
    <row r="260" ht="12.75" hidden="1" x14ac:dyDescent="0.2"/>
    <row r="261" ht="12.75" hidden="1" x14ac:dyDescent="0.2"/>
    <row r="262" ht="12.75" hidden="1" x14ac:dyDescent="0.2"/>
    <row r="263" ht="12.75" hidden="1" x14ac:dyDescent="0.2"/>
    <row r="264" ht="12.75" hidden="1" x14ac:dyDescent="0.2"/>
    <row r="265" ht="12.75" hidden="1" x14ac:dyDescent="0.2"/>
    <row r="266" ht="12.75" hidden="1" x14ac:dyDescent="0.2"/>
    <row r="267" ht="12.75" hidden="1" x14ac:dyDescent="0.2"/>
    <row r="268" ht="12.75" hidden="1" x14ac:dyDescent="0.2"/>
    <row r="269" ht="12.75" hidden="1" x14ac:dyDescent="0.2"/>
    <row r="270" ht="12.75" hidden="1" x14ac:dyDescent="0.2"/>
    <row r="271" ht="12.75" hidden="1" x14ac:dyDescent="0.2"/>
    <row r="272" ht="12.75" hidden="1" x14ac:dyDescent="0.2"/>
    <row r="273" ht="12.75" hidden="1" x14ac:dyDescent="0.2"/>
    <row r="274" ht="12.75" hidden="1" x14ac:dyDescent="0.2"/>
    <row r="275" ht="12.75" hidden="1" x14ac:dyDescent="0.2"/>
    <row r="276" ht="12.75" hidden="1" x14ac:dyDescent="0.2"/>
    <row r="277" ht="12.75" hidden="1" x14ac:dyDescent="0.2"/>
    <row r="278" ht="12.75" hidden="1" x14ac:dyDescent="0.2"/>
    <row r="279" ht="12.75" hidden="1" x14ac:dyDescent="0.2"/>
    <row r="280" ht="12.75" hidden="1" x14ac:dyDescent="0.2"/>
    <row r="281" ht="12.75" hidden="1" x14ac:dyDescent="0.2"/>
    <row r="282" ht="12.75" hidden="1" x14ac:dyDescent="0.2"/>
    <row r="283" ht="12.75" hidden="1" x14ac:dyDescent="0.2"/>
    <row r="284" ht="12.75" hidden="1" x14ac:dyDescent="0.2"/>
    <row r="285" ht="12.75" hidden="1" x14ac:dyDescent="0.2"/>
    <row r="286" ht="12.75" hidden="1" x14ac:dyDescent="0.2"/>
    <row r="287" ht="12.75" hidden="1" x14ac:dyDescent="0.2"/>
    <row r="288" ht="12.75" hidden="1" x14ac:dyDescent="0.2"/>
    <row r="289" ht="12.75" hidden="1" x14ac:dyDescent="0.2"/>
    <row r="290" ht="12.75" hidden="1" x14ac:dyDescent="0.2"/>
    <row r="291" ht="12.75" hidden="1" x14ac:dyDescent="0.2"/>
    <row r="292" ht="12.75" hidden="1" x14ac:dyDescent="0.2"/>
    <row r="293" ht="12.75" hidden="1" x14ac:dyDescent="0.2"/>
    <row r="294" ht="12.75" hidden="1" x14ac:dyDescent="0.2"/>
    <row r="295" ht="12.75" hidden="1" x14ac:dyDescent="0.2"/>
    <row r="296" ht="12.75" hidden="1" x14ac:dyDescent="0.2"/>
    <row r="297" ht="12.75" hidden="1" x14ac:dyDescent="0.2"/>
    <row r="298" ht="12.75" hidden="1" x14ac:dyDescent="0.2"/>
    <row r="299" ht="12.75" hidden="1" x14ac:dyDescent="0.2"/>
    <row r="300" ht="12.75" hidden="1" x14ac:dyDescent="0.2"/>
    <row r="301" ht="12.75" hidden="1" x14ac:dyDescent="0.2"/>
    <row r="302" ht="12.75" hidden="1" x14ac:dyDescent="0.2"/>
    <row r="303" ht="12.75" hidden="1" x14ac:dyDescent="0.2"/>
    <row r="304" ht="12.75" hidden="1" x14ac:dyDescent="0.2"/>
    <row r="305" ht="12.75" hidden="1" x14ac:dyDescent="0.2"/>
    <row r="306" ht="12.75" hidden="1" x14ac:dyDescent="0.2"/>
    <row r="307" ht="12.75" hidden="1" x14ac:dyDescent="0.2"/>
    <row r="308" ht="12.75" hidden="1" x14ac:dyDescent="0.2"/>
    <row r="309" ht="12.75" hidden="1" x14ac:dyDescent="0.2"/>
    <row r="310" ht="12.75" hidden="1" x14ac:dyDescent="0.2"/>
    <row r="311" ht="12.75" hidden="1" x14ac:dyDescent="0.2"/>
    <row r="312" ht="12.75" hidden="1" x14ac:dyDescent="0.2"/>
    <row r="313" ht="12.75" hidden="1" x14ac:dyDescent="0.2"/>
    <row r="314" ht="12.75" hidden="1" x14ac:dyDescent="0.2"/>
    <row r="315" ht="12.75" hidden="1" x14ac:dyDescent="0.2"/>
    <row r="316" ht="12.75" hidden="1" x14ac:dyDescent="0.2"/>
    <row r="317" ht="12.75" hidden="1" x14ac:dyDescent="0.2"/>
    <row r="318" ht="12.75" hidden="1" x14ac:dyDescent="0.2"/>
    <row r="319" ht="12.75" hidden="1" x14ac:dyDescent="0.2"/>
    <row r="320" ht="12.75" hidden="1" x14ac:dyDescent="0.2"/>
    <row r="321" ht="12.75" hidden="1" x14ac:dyDescent="0.2"/>
    <row r="322" ht="12.75" hidden="1" x14ac:dyDescent="0.2"/>
    <row r="323" ht="12.75" hidden="1" x14ac:dyDescent="0.2"/>
    <row r="324" ht="12.75" hidden="1" x14ac:dyDescent="0.2"/>
    <row r="325" ht="12.75" hidden="1" x14ac:dyDescent="0.2"/>
    <row r="326" ht="12.75" hidden="1" x14ac:dyDescent="0.2"/>
    <row r="327" ht="12.75" hidden="1" x14ac:dyDescent="0.2"/>
    <row r="328" ht="12.75" hidden="1" x14ac:dyDescent="0.2"/>
    <row r="329" ht="12.75" hidden="1" x14ac:dyDescent="0.2"/>
    <row r="330" ht="12.75" hidden="1" x14ac:dyDescent="0.2"/>
    <row r="331" ht="12.75" hidden="1" x14ac:dyDescent="0.2"/>
    <row r="332" ht="12.75" hidden="1" x14ac:dyDescent="0.2"/>
    <row r="333" ht="12.75" hidden="1" x14ac:dyDescent="0.2"/>
    <row r="334" ht="12.75" hidden="1" x14ac:dyDescent="0.2"/>
    <row r="335" ht="12.75" hidden="1" x14ac:dyDescent="0.2"/>
    <row r="336" ht="12.75" hidden="1" x14ac:dyDescent="0.2"/>
    <row r="337" ht="12.75" hidden="1" x14ac:dyDescent="0.2"/>
    <row r="338" ht="12.75" hidden="1" x14ac:dyDescent="0.2"/>
    <row r="339" ht="12.75" hidden="1" x14ac:dyDescent="0.2"/>
    <row r="340" ht="12.75" hidden="1" x14ac:dyDescent="0.2"/>
    <row r="341" ht="12.75" hidden="1" x14ac:dyDescent="0.2"/>
    <row r="342" ht="12.75" hidden="1" x14ac:dyDescent="0.2"/>
    <row r="343" ht="12.75" hidden="1" x14ac:dyDescent="0.2"/>
    <row r="344" ht="12.75" hidden="1" x14ac:dyDescent="0.2"/>
    <row r="345" ht="12.75" hidden="1" x14ac:dyDescent="0.2"/>
    <row r="346" ht="12.75" hidden="1" x14ac:dyDescent="0.2"/>
    <row r="347" ht="12.75" hidden="1" x14ac:dyDescent="0.2"/>
    <row r="348" ht="12.75" hidden="1" x14ac:dyDescent="0.2"/>
    <row r="349" ht="12.75" hidden="1" x14ac:dyDescent="0.2"/>
    <row r="350" ht="12.75" hidden="1" x14ac:dyDescent="0.2"/>
    <row r="351" ht="12.75" hidden="1" x14ac:dyDescent="0.2"/>
    <row r="352" ht="12.75" hidden="1" x14ac:dyDescent="0.2"/>
    <row r="353" ht="12.75" hidden="1" x14ac:dyDescent="0.2"/>
    <row r="354" ht="12.75" hidden="1" x14ac:dyDescent="0.2"/>
    <row r="355" ht="12.75" hidden="1" x14ac:dyDescent="0.2"/>
    <row r="356" ht="12.75" hidden="1" x14ac:dyDescent="0.2"/>
    <row r="357" ht="12.75" hidden="1" x14ac:dyDescent="0.2"/>
    <row r="358" ht="12.75" hidden="1" x14ac:dyDescent="0.2"/>
    <row r="359" ht="12.75" hidden="1" x14ac:dyDescent="0.2"/>
    <row r="360" ht="12.75" hidden="1" x14ac:dyDescent="0.2"/>
    <row r="361" ht="12.75" hidden="1" x14ac:dyDescent="0.2"/>
    <row r="362" ht="12.75" hidden="1" x14ac:dyDescent="0.2"/>
    <row r="363" ht="12.75" hidden="1" x14ac:dyDescent="0.2"/>
    <row r="364" ht="12.75" hidden="1" x14ac:dyDescent="0.2"/>
    <row r="365" ht="12.75" hidden="1" x14ac:dyDescent="0.2"/>
    <row r="366" ht="12.75" hidden="1" x14ac:dyDescent="0.2"/>
    <row r="367" ht="12.75" hidden="1" x14ac:dyDescent="0.2"/>
    <row r="368" ht="12.75" hidden="1" x14ac:dyDescent="0.2"/>
    <row r="369" ht="12.75" hidden="1" x14ac:dyDescent="0.2"/>
    <row r="370" ht="12.75" hidden="1" x14ac:dyDescent="0.2"/>
    <row r="371" ht="12.75" hidden="1" x14ac:dyDescent="0.2"/>
    <row r="372" ht="12.75" hidden="1" x14ac:dyDescent="0.2"/>
    <row r="373" ht="12.75" hidden="1" x14ac:dyDescent="0.2"/>
    <row r="374" ht="12.75" hidden="1" x14ac:dyDescent="0.2"/>
    <row r="375" ht="12.75" hidden="1" x14ac:dyDescent="0.2"/>
    <row r="376" ht="12.75" hidden="1" x14ac:dyDescent="0.2"/>
    <row r="377" ht="12.75" hidden="1" x14ac:dyDescent="0.2"/>
    <row r="378" ht="12.75" hidden="1" x14ac:dyDescent="0.2"/>
    <row r="379" ht="12.75" hidden="1" x14ac:dyDescent="0.2"/>
    <row r="380" ht="12.75" hidden="1" x14ac:dyDescent="0.2"/>
    <row r="381" ht="12.75" hidden="1" x14ac:dyDescent="0.2"/>
    <row r="382" ht="12.75" hidden="1" x14ac:dyDescent="0.2"/>
    <row r="383" ht="12.75" hidden="1" x14ac:dyDescent="0.2"/>
    <row r="384" ht="12.75" hidden="1" x14ac:dyDescent="0.2"/>
    <row r="385" ht="12.75" hidden="1" x14ac:dyDescent="0.2"/>
    <row r="386" ht="12.75" hidden="1" x14ac:dyDescent="0.2"/>
    <row r="387" ht="12.75" hidden="1" x14ac:dyDescent="0.2"/>
    <row r="388" ht="12.75" hidden="1" x14ac:dyDescent="0.2"/>
    <row r="389" ht="12.75" hidden="1" x14ac:dyDescent="0.2"/>
    <row r="390" ht="12.75" hidden="1" x14ac:dyDescent="0.2"/>
    <row r="391" ht="12.75" hidden="1" x14ac:dyDescent="0.2"/>
    <row r="392" ht="12.75" hidden="1" x14ac:dyDescent="0.2"/>
    <row r="393" ht="12.75" hidden="1" x14ac:dyDescent="0.2"/>
    <row r="394" ht="12.75" hidden="1" x14ac:dyDescent="0.2"/>
    <row r="395" ht="12.75" hidden="1" x14ac:dyDescent="0.2"/>
    <row r="396" ht="12.75" hidden="1" x14ac:dyDescent="0.2"/>
    <row r="397" ht="12.75" hidden="1" x14ac:dyDescent="0.2"/>
    <row r="398" ht="12.75" hidden="1" x14ac:dyDescent="0.2"/>
    <row r="399" ht="12.75" hidden="1" x14ac:dyDescent="0.2"/>
    <row r="400" ht="12.75" hidden="1" x14ac:dyDescent="0.2"/>
    <row r="401" ht="12.75" hidden="1" x14ac:dyDescent="0.2"/>
    <row r="402" ht="12.75" hidden="1" x14ac:dyDescent="0.2"/>
    <row r="403" ht="12.75" hidden="1" x14ac:dyDescent="0.2"/>
    <row r="404" ht="12.75" hidden="1" x14ac:dyDescent="0.2"/>
    <row r="405" ht="12.75" hidden="1" x14ac:dyDescent="0.2"/>
    <row r="406" ht="12.75" hidden="1" x14ac:dyDescent="0.2"/>
    <row r="407" ht="12.75" hidden="1" x14ac:dyDescent="0.2"/>
    <row r="408" ht="12.75" hidden="1" x14ac:dyDescent="0.2"/>
    <row r="409" ht="12.75" hidden="1" x14ac:dyDescent="0.2"/>
    <row r="410" ht="12.75" hidden="1" x14ac:dyDescent="0.2"/>
    <row r="411" ht="12.75" hidden="1" x14ac:dyDescent="0.2"/>
    <row r="412" ht="12.75" hidden="1" x14ac:dyDescent="0.2"/>
    <row r="413" ht="12.75" hidden="1" x14ac:dyDescent="0.2"/>
    <row r="414" ht="12.75" hidden="1" x14ac:dyDescent="0.2"/>
    <row r="415" ht="12.75" hidden="1" x14ac:dyDescent="0.2"/>
    <row r="416" ht="12.75" hidden="1" x14ac:dyDescent="0.2"/>
    <row r="417" ht="12.75" hidden="1" x14ac:dyDescent="0.2"/>
    <row r="418" ht="12.75" hidden="1" x14ac:dyDescent="0.2"/>
    <row r="419" ht="12.75" hidden="1" x14ac:dyDescent="0.2"/>
    <row r="420" ht="12.75" hidden="1" x14ac:dyDescent="0.2"/>
    <row r="421" ht="12.75" hidden="1" x14ac:dyDescent="0.2"/>
    <row r="422" ht="12.75" hidden="1" x14ac:dyDescent="0.2"/>
    <row r="423" ht="12.75" hidden="1" x14ac:dyDescent="0.2"/>
    <row r="424" ht="12.75" hidden="1" x14ac:dyDescent="0.2"/>
    <row r="425" ht="12.75" hidden="1" x14ac:dyDescent="0.2"/>
    <row r="426" ht="12.75" hidden="1" x14ac:dyDescent="0.2"/>
    <row r="427" ht="12.75" hidden="1" x14ac:dyDescent="0.2"/>
    <row r="428" ht="12.75" hidden="1" x14ac:dyDescent="0.2"/>
    <row r="429" ht="12.75" hidden="1" x14ac:dyDescent="0.2"/>
    <row r="430" ht="12.75" hidden="1" x14ac:dyDescent="0.2"/>
    <row r="431" ht="12.75" hidden="1" x14ac:dyDescent="0.2"/>
    <row r="432" ht="12.75" hidden="1" x14ac:dyDescent="0.2"/>
    <row r="433" ht="12.75" hidden="1" x14ac:dyDescent="0.2"/>
    <row r="434" ht="12.75" hidden="1" x14ac:dyDescent="0.2"/>
    <row r="435" ht="12.75" hidden="1" x14ac:dyDescent="0.2"/>
    <row r="436" ht="12.75" hidden="1" x14ac:dyDescent="0.2"/>
    <row r="437" ht="12.75" hidden="1" x14ac:dyDescent="0.2"/>
    <row r="438" ht="12.75" hidden="1" x14ac:dyDescent="0.2"/>
    <row r="439" ht="12.75" hidden="1" x14ac:dyDescent="0.2"/>
    <row r="440" ht="12.75" hidden="1" x14ac:dyDescent="0.2"/>
    <row r="441" ht="12.75" hidden="1" x14ac:dyDescent="0.2"/>
    <row r="442" ht="12.75" hidden="1" x14ac:dyDescent="0.2"/>
    <row r="443" ht="12.75" hidden="1" x14ac:dyDescent="0.2"/>
    <row r="444" ht="12.75" hidden="1" x14ac:dyDescent="0.2"/>
    <row r="445" ht="12.75" hidden="1" x14ac:dyDescent="0.2"/>
    <row r="446" ht="12.75" hidden="1" x14ac:dyDescent="0.2"/>
    <row r="447" ht="12.75" hidden="1" x14ac:dyDescent="0.2"/>
    <row r="448" ht="12.75" hidden="1" x14ac:dyDescent="0.2"/>
    <row r="449" ht="12.75" hidden="1" x14ac:dyDescent="0.2"/>
    <row r="450" ht="12.75" hidden="1" x14ac:dyDescent="0.2"/>
    <row r="451" ht="12.75" hidden="1" x14ac:dyDescent="0.2"/>
    <row r="452" ht="12.75" hidden="1" x14ac:dyDescent="0.2"/>
    <row r="453" ht="12.75" hidden="1" x14ac:dyDescent="0.2"/>
    <row r="454" ht="12.75" hidden="1" x14ac:dyDescent="0.2"/>
    <row r="455" ht="12.75" hidden="1" x14ac:dyDescent="0.2"/>
    <row r="456" ht="12.75" hidden="1" x14ac:dyDescent="0.2"/>
    <row r="457" ht="12.75" hidden="1" x14ac:dyDescent="0.2"/>
    <row r="458" ht="12.75" hidden="1" x14ac:dyDescent="0.2"/>
    <row r="459" ht="12.75" hidden="1" x14ac:dyDescent="0.2"/>
    <row r="460" ht="12.75" hidden="1" x14ac:dyDescent="0.2"/>
    <row r="461" ht="12.75" hidden="1" x14ac:dyDescent="0.2"/>
    <row r="462" ht="12.75" hidden="1" x14ac:dyDescent="0.2"/>
    <row r="463" ht="12.75" hidden="1" x14ac:dyDescent="0.2"/>
    <row r="464" ht="12.75" hidden="1" x14ac:dyDescent="0.2"/>
    <row r="465" ht="12.75" hidden="1" x14ac:dyDescent="0.2"/>
    <row r="466" ht="12.75" hidden="1" x14ac:dyDescent="0.2"/>
    <row r="467" ht="12.75" hidden="1" x14ac:dyDescent="0.2"/>
    <row r="468" ht="12.75" hidden="1" x14ac:dyDescent="0.2"/>
    <row r="469" ht="12.75" hidden="1" x14ac:dyDescent="0.2"/>
    <row r="470" ht="12.75" hidden="1" x14ac:dyDescent="0.2"/>
    <row r="471" ht="12.75" hidden="1" x14ac:dyDescent="0.2"/>
    <row r="472" ht="12.75" hidden="1" x14ac:dyDescent="0.2"/>
    <row r="473" ht="12.75" hidden="1" x14ac:dyDescent="0.2"/>
    <row r="474" ht="12.75" hidden="1" x14ac:dyDescent="0.2"/>
    <row r="475" ht="12.75" hidden="1" x14ac:dyDescent="0.2"/>
    <row r="476" ht="12.75" hidden="1" x14ac:dyDescent="0.2"/>
    <row r="477" ht="12.75" hidden="1" x14ac:dyDescent="0.2"/>
    <row r="478" ht="12.75" hidden="1" x14ac:dyDescent="0.2"/>
    <row r="479" ht="12.75" hidden="1" x14ac:dyDescent="0.2"/>
    <row r="480" ht="12.75" hidden="1" x14ac:dyDescent="0.2"/>
    <row r="481" ht="12.75" hidden="1" x14ac:dyDescent="0.2"/>
    <row r="482" ht="12.75" hidden="1" x14ac:dyDescent="0.2"/>
    <row r="483" ht="12.75" hidden="1" x14ac:dyDescent="0.2"/>
    <row r="484" ht="12.75" hidden="1" x14ac:dyDescent="0.2"/>
    <row r="485" ht="12.75" hidden="1" x14ac:dyDescent="0.2"/>
    <row r="486" ht="12.75" hidden="1" x14ac:dyDescent="0.2"/>
    <row r="487" ht="12.75" hidden="1" x14ac:dyDescent="0.2"/>
    <row r="488" ht="12.75" hidden="1" x14ac:dyDescent="0.2"/>
    <row r="489" ht="12.75" hidden="1" x14ac:dyDescent="0.2"/>
    <row r="490" ht="12.75" hidden="1" x14ac:dyDescent="0.2"/>
    <row r="491" ht="12.75" hidden="1" x14ac:dyDescent="0.2"/>
    <row r="492" ht="12.75" hidden="1" x14ac:dyDescent="0.2"/>
    <row r="493" ht="12.75" hidden="1" x14ac:dyDescent="0.2"/>
    <row r="494" ht="12.75" hidden="1" x14ac:dyDescent="0.2"/>
    <row r="495" ht="12.75" hidden="1" x14ac:dyDescent="0.2"/>
    <row r="496" ht="12.75" hidden="1" x14ac:dyDescent="0.2"/>
    <row r="497" ht="12.75" hidden="1" x14ac:dyDescent="0.2"/>
    <row r="498" ht="12.75" hidden="1" x14ac:dyDescent="0.2"/>
    <row r="499" ht="12.75" hidden="1" x14ac:dyDescent="0.2"/>
    <row r="500" ht="12.75" hidden="1" x14ac:dyDescent="0.2"/>
    <row r="501" ht="12.75" hidden="1" x14ac:dyDescent="0.2"/>
    <row r="502" ht="12.75" hidden="1" x14ac:dyDescent="0.2"/>
    <row r="503" ht="12.75" hidden="1" x14ac:dyDescent="0.2"/>
    <row r="504" ht="12.75" hidden="1" x14ac:dyDescent="0.2"/>
    <row r="505" ht="12.75" hidden="1" x14ac:dyDescent="0.2"/>
    <row r="506" ht="12.75" hidden="1" x14ac:dyDescent="0.2"/>
    <row r="507" ht="12.75" hidden="1" x14ac:dyDescent="0.2"/>
    <row r="508" ht="12.75" hidden="1" x14ac:dyDescent="0.2"/>
    <row r="509" ht="12.75" hidden="1" x14ac:dyDescent="0.2"/>
    <row r="510" ht="12.75" hidden="1" x14ac:dyDescent="0.2"/>
    <row r="511" ht="12.75" hidden="1" x14ac:dyDescent="0.2"/>
    <row r="512" ht="12.75" hidden="1" x14ac:dyDescent="0.2"/>
    <row r="513" ht="12.75" hidden="1" x14ac:dyDescent="0.2"/>
    <row r="514" ht="12.75" hidden="1" x14ac:dyDescent="0.2"/>
    <row r="515" ht="12.75" hidden="1" x14ac:dyDescent="0.2"/>
    <row r="516" ht="12.75" hidden="1" x14ac:dyDescent="0.2"/>
    <row r="517" ht="12.75" hidden="1" x14ac:dyDescent="0.2"/>
    <row r="518" ht="12.75" hidden="1" x14ac:dyDescent="0.2"/>
    <row r="519" ht="12.75" hidden="1" x14ac:dyDescent="0.2"/>
    <row r="520" ht="12.75" hidden="1" x14ac:dyDescent="0.2"/>
    <row r="521" ht="12.75" hidden="1" x14ac:dyDescent="0.2"/>
    <row r="522" ht="12.75" hidden="1" x14ac:dyDescent="0.2"/>
    <row r="523" ht="12.75" hidden="1" x14ac:dyDescent="0.2"/>
    <row r="524" ht="12.75" hidden="1" x14ac:dyDescent="0.2"/>
    <row r="525" ht="12.75" hidden="1" x14ac:dyDescent="0.2"/>
    <row r="526" ht="12.75" hidden="1" x14ac:dyDescent="0.2"/>
    <row r="527" ht="12.75" hidden="1" x14ac:dyDescent="0.2"/>
    <row r="528" ht="12.75" hidden="1" x14ac:dyDescent="0.2"/>
    <row r="529" ht="12.75" hidden="1" x14ac:dyDescent="0.2"/>
    <row r="530" ht="12.75" hidden="1" x14ac:dyDescent="0.2"/>
    <row r="531" ht="12.75" hidden="1" x14ac:dyDescent="0.2"/>
    <row r="532" ht="12.75" hidden="1" x14ac:dyDescent="0.2"/>
    <row r="533" ht="12.75" hidden="1" x14ac:dyDescent="0.2"/>
    <row r="534" ht="12.75" hidden="1" x14ac:dyDescent="0.2"/>
    <row r="535" ht="12.75" hidden="1" x14ac:dyDescent="0.2"/>
    <row r="536" ht="12.75" hidden="1" x14ac:dyDescent="0.2"/>
    <row r="537" ht="12.75" hidden="1" x14ac:dyDescent="0.2"/>
    <row r="538" ht="12.75" hidden="1" x14ac:dyDescent="0.2"/>
    <row r="539" ht="12.75" hidden="1" x14ac:dyDescent="0.2"/>
    <row r="540" ht="12.75" hidden="1" x14ac:dyDescent="0.2"/>
    <row r="541" ht="12.75" hidden="1" x14ac:dyDescent="0.2"/>
    <row r="542" ht="12.75" hidden="1" x14ac:dyDescent="0.2"/>
    <row r="543" ht="12.75" hidden="1" x14ac:dyDescent="0.2"/>
    <row r="544" ht="12.75" hidden="1" x14ac:dyDescent="0.2"/>
    <row r="545" ht="12.75" hidden="1" x14ac:dyDescent="0.2"/>
    <row r="546" ht="12.75" hidden="1" x14ac:dyDescent="0.2"/>
    <row r="547" ht="12.75" hidden="1" x14ac:dyDescent="0.2"/>
    <row r="548" ht="12.75" hidden="1" x14ac:dyDescent="0.2"/>
    <row r="549" ht="12.75" hidden="1" x14ac:dyDescent="0.2"/>
    <row r="550" ht="12.75" hidden="1" x14ac:dyDescent="0.2"/>
    <row r="551" ht="12.75" hidden="1" x14ac:dyDescent="0.2"/>
    <row r="552" ht="12.75" hidden="1" x14ac:dyDescent="0.2"/>
    <row r="553" ht="12.75" hidden="1" x14ac:dyDescent="0.2"/>
    <row r="554" ht="12.75" hidden="1" x14ac:dyDescent="0.2"/>
    <row r="555" ht="12.75" hidden="1" x14ac:dyDescent="0.2"/>
    <row r="556" ht="12.75" hidden="1" x14ac:dyDescent="0.2"/>
    <row r="557" ht="12.75" hidden="1" x14ac:dyDescent="0.2"/>
    <row r="558" ht="12.75" hidden="1" x14ac:dyDescent="0.2"/>
    <row r="559" ht="12.75" hidden="1" x14ac:dyDescent="0.2"/>
    <row r="560" ht="12.75" hidden="1" x14ac:dyDescent="0.2"/>
    <row r="561" ht="12.75" hidden="1" x14ac:dyDescent="0.2"/>
    <row r="562" ht="12.75" hidden="1" x14ac:dyDescent="0.2"/>
    <row r="563" ht="12.75" hidden="1" x14ac:dyDescent="0.2"/>
    <row r="564" ht="12.75" hidden="1" x14ac:dyDescent="0.2"/>
    <row r="565" ht="12.75" hidden="1" x14ac:dyDescent="0.2"/>
    <row r="566" ht="12.75" hidden="1" x14ac:dyDescent="0.2"/>
    <row r="567" ht="12.75" hidden="1" x14ac:dyDescent="0.2"/>
    <row r="568" ht="12.75" hidden="1" x14ac:dyDescent="0.2"/>
    <row r="569" ht="12.75" hidden="1" x14ac:dyDescent="0.2"/>
    <row r="570" ht="12.75" hidden="1" x14ac:dyDescent="0.2"/>
    <row r="571" ht="12.75" hidden="1" x14ac:dyDescent="0.2"/>
    <row r="572" ht="12.75" hidden="1" x14ac:dyDescent="0.2"/>
    <row r="573" ht="12.75" hidden="1" x14ac:dyDescent="0.2"/>
    <row r="574" ht="12.75" hidden="1" x14ac:dyDescent="0.2"/>
    <row r="575" ht="12.75" hidden="1" x14ac:dyDescent="0.2"/>
    <row r="576" ht="12.75" hidden="1" x14ac:dyDescent="0.2"/>
    <row r="577" ht="12.75" hidden="1" x14ac:dyDescent="0.2"/>
    <row r="578" ht="12.75" hidden="1" x14ac:dyDescent="0.2"/>
    <row r="579" ht="12.75" hidden="1" x14ac:dyDescent="0.2"/>
    <row r="580" ht="12.75" hidden="1" x14ac:dyDescent="0.2"/>
    <row r="581" ht="12.75" hidden="1" x14ac:dyDescent="0.2"/>
    <row r="582" ht="12.75" hidden="1" x14ac:dyDescent="0.2"/>
    <row r="583" ht="12.75" hidden="1" x14ac:dyDescent="0.2"/>
    <row r="584" ht="12.75" hidden="1" x14ac:dyDescent="0.2"/>
    <row r="585" ht="12.75" hidden="1" x14ac:dyDescent="0.2"/>
    <row r="586" ht="12.75" hidden="1" x14ac:dyDescent="0.2"/>
    <row r="587" ht="12.75" hidden="1" x14ac:dyDescent="0.2"/>
    <row r="588" ht="12.75" hidden="1" x14ac:dyDescent="0.2"/>
    <row r="589" ht="12.75" hidden="1" x14ac:dyDescent="0.2"/>
    <row r="590" ht="12.75" hidden="1" x14ac:dyDescent="0.2"/>
    <row r="591" ht="12.75" hidden="1" x14ac:dyDescent="0.2"/>
    <row r="592" ht="12.75" hidden="1" x14ac:dyDescent="0.2"/>
    <row r="593" ht="12.75" hidden="1" x14ac:dyDescent="0.2"/>
    <row r="594" ht="12.75" hidden="1" x14ac:dyDescent="0.2"/>
    <row r="595" ht="12.75" hidden="1" x14ac:dyDescent="0.2"/>
    <row r="596" ht="12.75" hidden="1" x14ac:dyDescent="0.2"/>
    <row r="597" ht="12.75" hidden="1" x14ac:dyDescent="0.2"/>
    <row r="598" ht="12.75" hidden="1" x14ac:dyDescent="0.2"/>
    <row r="599" ht="12.75" hidden="1" x14ac:dyDescent="0.2"/>
    <row r="600" ht="12.75" hidden="1" x14ac:dyDescent="0.2"/>
    <row r="601" ht="12.75" hidden="1" x14ac:dyDescent="0.2"/>
    <row r="602" ht="12.75" hidden="1" x14ac:dyDescent="0.2"/>
    <row r="603" ht="12.75" hidden="1" x14ac:dyDescent="0.2"/>
    <row r="604" ht="12.75" hidden="1" x14ac:dyDescent="0.2"/>
    <row r="605" ht="12.75" hidden="1" x14ac:dyDescent="0.2"/>
    <row r="606" ht="12.75" hidden="1" x14ac:dyDescent="0.2"/>
    <row r="607" ht="12.75" hidden="1" x14ac:dyDescent="0.2"/>
    <row r="608" ht="12.75" hidden="1" x14ac:dyDescent="0.2"/>
    <row r="609" ht="12.75" hidden="1" x14ac:dyDescent="0.2"/>
    <row r="610" ht="12.75" hidden="1" x14ac:dyDescent="0.2"/>
    <row r="611" ht="12.75" hidden="1" x14ac:dyDescent="0.2"/>
    <row r="612" ht="12.75" hidden="1" x14ac:dyDescent="0.2"/>
    <row r="613" ht="12.75" hidden="1" x14ac:dyDescent="0.2"/>
    <row r="614" ht="12.75" hidden="1" x14ac:dyDescent="0.2"/>
    <row r="615" ht="12.75" hidden="1" x14ac:dyDescent="0.2"/>
    <row r="616" ht="12.75" hidden="1" x14ac:dyDescent="0.2"/>
    <row r="617" ht="12.75" hidden="1" x14ac:dyDescent="0.2"/>
    <row r="618" ht="12.75" hidden="1" x14ac:dyDescent="0.2"/>
    <row r="619" ht="12.75" hidden="1" x14ac:dyDescent="0.2"/>
    <row r="620" ht="12.75" hidden="1" x14ac:dyDescent="0.2"/>
    <row r="621" ht="12.75" hidden="1" x14ac:dyDescent="0.2"/>
    <row r="622" ht="12.75" hidden="1" x14ac:dyDescent="0.2"/>
    <row r="623" ht="12.75" hidden="1" x14ac:dyDescent="0.2"/>
    <row r="624" ht="12.75" hidden="1" x14ac:dyDescent="0.2"/>
    <row r="625" ht="12.75" hidden="1" x14ac:dyDescent="0.2"/>
    <row r="626" ht="12.75" hidden="1" x14ac:dyDescent="0.2"/>
    <row r="627" ht="12.75" hidden="1" x14ac:dyDescent="0.2"/>
    <row r="628" ht="12.75" hidden="1" x14ac:dyDescent="0.2"/>
    <row r="629" ht="12.75" hidden="1" x14ac:dyDescent="0.2"/>
    <row r="630" ht="12.75" hidden="1" x14ac:dyDescent="0.2"/>
    <row r="631" ht="12.75" hidden="1" x14ac:dyDescent="0.2"/>
    <row r="632" ht="12.75" hidden="1" x14ac:dyDescent="0.2"/>
    <row r="633" ht="12.75" hidden="1" x14ac:dyDescent="0.2"/>
    <row r="634" ht="12.75" hidden="1" x14ac:dyDescent="0.2"/>
    <row r="635" ht="12.75" hidden="1" x14ac:dyDescent="0.2"/>
    <row r="636" ht="12.75" hidden="1" x14ac:dyDescent="0.2"/>
    <row r="637" ht="12.75" hidden="1" x14ac:dyDescent="0.2"/>
    <row r="638" ht="12.75" hidden="1" x14ac:dyDescent="0.2"/>
    <row r="639" ht="12.75" hidden="1" x14ac:dyDescent="0.2"/>
    <row r="640" ht="12.75" hidden="1" x14ac:dyDescent="0.2"/>
    <row r="641" ht="12.75" hidden="1" x14ac:dyDescent="0.2"/>
    <row r="642" ht="12.75" hidden="1" x14ac:dyDescent="0.2"/>
    <row r="643" ht="12.75" hidden="1" x14ac:dyDescent="0.2"/>
    <row r="644" ht="12.75" hidden="1" x14ac:dyDescent="0.2"/>
    <row r="645" ht="12.75" hidden="1" x14ac:dyDescent="0.2"/>
    <row r="646" ht="12.75" hidden="1" x14ac:dyDescent="0.2"/>
    <row r="647" ht="12.75" hidden="1" x14ac:dyDescent="0.2"/>
    <row r="648" ht="12.75" hidden="1" x14ac:dyDescent="0.2"/>
    <row r="649" ht="12.75" hidden="1" x14ac:dyDescent="0.2"/>
    <row r="650" ht="12.75" hidden="1" x14ac:dyDescent="0.2"/>
    <row r="651" ht="12.75" hidden="1" x14ac:dyDescent="0.2"/>
    <row r="652" ht="12.75" hidden="1" x14ac:dyDescent="0.2"/>
    <row r="653" ht="12.75" hidden="1" x14ac:dyDescent="0.2"/>
    <row r="654" ht="12.75" hidden="1" x14ac:dyDescent="0.2"/>
    <row r="655" ht="12.75" hidden="1" x14ac:dyDescent="0.2"/>
    <row r="656" ht="12.75" hidden="1" x14ac:dyDescent="0.2"/>
    <row r="657" ht="12.75" hidden="1" x14ac:dyDescent="0.2"/>
    <row r="658" ht="12.75" hidden="1" x14ac:dyDescent="0.2"/>
    <row r="659" ht="12.75" hidden="1" x14ac:dyDescent="0.2"/>
    <row r="660" ht="12.75" hidden="1" x14ac:dyDescent="0.2"/>
    <row r="661" ht="12.75" hidden="1" x14ac:dyDescent="0.2"/>
    <row r="662" ht="12.75" hidden="1" x14ac:dyDescent="0.2"/>
    <row r="663" ht="12.75" hidden="1" x14ac:dyDescent="0.2"/>
    <row r="664" ht="12.75" hidden="1" x14ac:dyDescent="0.2"/>
    <row r="665" ht="12.75" hidden="1" x14ac:dyDescent="0.2"/>
    <row r="666" ht="12.75" hidden="1" x14ac:dyDescent="0.2"/>
    <row r="667" ht="12.75" hidden="1" x14ac:dyDescent="0.2"/>
    <row r="668" ht="12.75" hidden="1" x14ac:dyDescent="0.2"/>
    <row r="669" ht="12.75" hidden="1" x14ac:dyDescent="0.2"/>
    <row r="670" ht="12.75" hidden="1" x14ac:dyDescent="0.2"/>
    <row r="671" ht="12.75" hidden="1" x14ac:dyDescent="0.2"/>
    <row r="672" ht="12.75" hidden="1" x14ac:dyDescent="0.2"/>
    <row r="673" ht="12.75" hidden="1" x14ac:dyDescent="0.2"/>
    <row r="674" ht="12.75" hidden="1" x14ac:dyDescent="0.2"/>
    <row r="675" ht="12.75" hidden="1" x14ac:dyDescent="0.2"/>
    <row r="676" ht="12.75" hidden="1" x14ac:dyDescent="0.2"/>
    <row r="677" ht="12.75" hidden="1" x14ac:dyDescent="0.2"/>
    <row r="678" ht="12.75" hidden="1" x14ac:dyDescent="0.2"/>
    <row r="679" ht="12.75" hidden="1" x14ac:dyDescent="0.2"/>
    <row r="680" ht="12.75" hidden="1" x14ac:dyDescent="0.2"/>
    <row r="681" ht="12.75" hidden="1" x14ac:dyDescent="0.2"/>
    <row r="682" ht="12.75" hidden="1" x14ac:dyDescent="0.2"/>
    <row r="683" ht="12.75" hidden="1" x14ac:dyDescent="0.2"/>
    <row r="684" ht="12.75" hidden="1" x14ac:dyDescent="0.2"/>
    <row r="685" ht="12.75" hidden="1" x14ac:dyDescent="0.2"/>
    <row r="686" ht="12.75" hidden="1" x14ac:dyDescent="0.2"/>
    <row r="687" ht="12.75" hidden="1" x14ac:dyDescent="0.2"/>
    <row r="688" ht="12.75" hidden="1" x14ac:dyDescent="0.2"/>
    <row r="689" ht="12.75" hidden="1" x14ac:dyDescent="0.2"/>
    <row r="690" ht="12.75" hidden="1" x14ac:dyDescent="0.2"/>
    <row r="691" ht="12.75" hidden="1" x14ac:dyDescent="0.2"/>
    <row r="692" ht="12.75" hidden="1" x14ac:dyDescent="0.2"/>
    <row r="693" ht="12.75" hidden="1" x14ac:dyDescent="0.2"/>
    <row r="694" ht="12.75" hidden="1" x14ac:dyDescent="0.2"/>
    <row r="695" ht="12.75" hidden="1" x14ac:dyDescent="0.2"/>
    <row r="696" ht="12.75" hidden="1" x14ac:dyDescent="0.2"/>
    <row r="697" ht="12.75" hidden="1" x14ac:dyDescent="0.2"/>
    <row r="698" ht="12.75" hidden="1" x14ac:dyDescent="0.2"/>
    <row r="699" ht="12.75" hidden="1" x14ac:dyDescent="0.2"/>
    <row r="700" ht="12.75" hidden="1" x14ac:dyDescent="0.2"/>
    <row r="701" ht="12.75" hidden="1" x14ac:dyDescent="0.2"/>
    <row r="702" ht="12.75" hidden="1" x14ac:dyDescent="0.2"/>
    <row r="703" ht="12.75" hidden="1" x14ac:dyDescent="0.2"/>
    <row r="704" ht="12.75" hidden="1" x14ac:dyDescent="0.2"/>
    <row r="705" ht="12.75" hidden="1" x14ac:dyDescent="0.2"/>
    <row r="706" ht="12.75" hidden="1" x14ac:dyDescent="0.2"/>
    <row r="707" ht="12.75" hidden="1" x14ac:dyDescent="0.2"/>
    <row r="708" ht="12.75" hidden="1" x14ac:dyDescent="0.2"/>
    <row r="709" ht="12.75" hidden="1" x14ac:dyDescent="0.2"/>
    <row r="710" ht="12.75" hidden="1" x14ac:dyDescent="0.2"/>
    <row r="711" ht="12.75" hidden="1" x14ac:dyDescent="0.2"/>
    <row r="712" ht="12.75" hidden="1" x14ac:dyDescent="0.2"/>
    <row r="713" ht="12.75" hidden="1" x14ac:dyDescent="0.2"/>
    <row r="714" ht="12.75" hidden="1" x14ac:dyDescent="0.2"/>
    <row r="715" ht="12.75" hidden="1" x14ac:dyDescent="0.2"/>
    <row r="716" ht="12.75" hidden="1" x14ac:dyDescent="0.2"/>
    <row r="717" ht="12.75" hidden="1" x14ac:dyDescent="0.2"/>
    <row r="718" ht="12.75" hidden="1" x14ac:dyDescent="0.2"/>
    <row r="719" ht="12.75" hidden="1" x14ac:dyDescent="0.2"/>
    <row r="720" ht="12.75" hidden="1" x14ac:dyDescent="0.2"/>
    <row r="721" ht="12.75" hidden="1" x14ac:dyDescent="0.2"/>
    <row r="722" ht="12.75" hidden="1" x14ac:dyDescent="0.2"/>
    <row r="723" ht="12.75" hidden="1" x14ac:dyDescent="0.2"/>
    <row r="724" ht="12.75" hidden="1" x14ac:dyDescent="0.2"/>
    <row r="725" ht="12.75" hidden="1" x14ac:dyDescent="0.2"/>
    <row r="726" ht="12.75" hidden="1" x14ac:dyDescent="0.2"/>
    <row r="727" ht="12.75" hidden="1" x14ac:dyDescent="0.2"/>
    <row r="728" ht="12.75" hidden="1" x14ac:dyDescent="0.2"/>
    <row r="729" ht="12.75" hidden="1" x14ac:dyDescent="0.2"/>
    <row r="730" ht="12.75" hidden="1" x14ac:dyDescent="0.2"/>
    <row r="731" ht="12.75" hidden="1" x14ac:dyDescent="0.2"/>
    <row r="732" ht="12.75" hidden="1" x14ac:dyDescent="0.2"/>
    <row r="733" ht="12.75" hidden="1" x14ac:dyDescent="0.2"/>
    <row r="734" ht="12.75" hidden="1" x14ac:dyDescent="0.2"/>
    <row r="735" ht="12.75" hidden="1" x14ac:dyDescent="0.2"/>
    <row r="736" ht="12.75" hidden="1" x14ac:dyDescent="0.2"/>
    <row r="737" ht="12.75" hidden="1" x14ac:dyDescent="0.2"/>
    <row r="738" ht="12.75" hidden="1" x14ac:dyDescent="0.2"/>
    <row r="739" ht="12.75" hidden="1" x14ac:dyDescent="0.2"/>
    <row r="740" ht="12.75" hidden="1" x14ac:dyDescent="0.2"/>
    <row r="741" ht="12.75" hidden="1" x14ac:dyDescent="0.2"/>
    <row r="742" ht="12.75" hidden="1" x14ac:dyDescent="0.2"/>
    <row r="743" ht="12.75" hidden="1" x14ac:dyDescent="0.2"/>
    <row r="744" ht="12.75" hidden="1" x14ac:dyDescent="0.2"/>
    <row r="745" ht="12.75" hidden="1" x14ac:dyDescent="0.2"/>
    <row r="746" ht="12.75" hidden="1" x14ac:dyDescent="0.2"/>
    <row r="747" ht="12.75" hidden="1" x14ac:dyDescent="0.2"/>
    <row r="748" ht="12.75" hidden="1" x14ac:dyDescent="0.2"/>
    <row r="749" ht="12.75" hidden="1" x14ac:dyDescent="0.2"/>
    <row r="750" ht="12.75" hidden="1" x14ac:dyDescent="0.2"/>
    <row r="751" ht="12.75" hidden="1" x14ac:dyDescent="0.2"/>
    <row r="752" ht="12.75" hidden="1" x14ac:dyDescent="0.2"/>
    <row r="753" ht="12.75" hidden="1" x14ac:dyDescent="0.2"/>
    <row r="754" ht="12.75" hidden="1" x14ac:dyDescent="0.2"/>
    <row r="755" ht="12.75" hidden="1" x14ac:dyDescent="0.2"/>
    <row r="756" ht="12.75" hidden="1" x14ac:dyDescent="0.2"/>
    <row r="757" ht="12.75" hidden="1" x14ac:dyDescent="0.2"/>
    <row r="758" ht="12.75" hidden="1" x14ac:dyDescent="0.2"/>
    <row r="759" ht="12.75" hidden="1" x14ac:dyDescent="0.2"/>
    <row r="760" ht="12.75" hidden="1" x14ac:dyDescent="0.2"/>
    <row r="761" ht="12.75" hidden="1" x14ac:dyDescent="0.2"/>
    <row r="762" ht="12.75" hidden="1" x14ac:dyDescent="0.2"/>
    <row r="763" ht="12.75" hidden="1" x14ac:dyDescent="0.2"/>
    <row r="764" ht="12.75" hidden="1" x14ac:dyDescent="0.2"/>
    <row r="765" ht="12.75" hidden="1" x14ac:dyDescent="0.2"/>
    <row r="766" ht="12.75" hidden="1" x14ac:dyDescent="0.2"/>
    <row r="767" ht="12.75" hidden="1" x14ac:dyDescent="0.2"/>
    <row r="768" ht="12.75" hidden="1" x14ac:dyDescent="0.2"/>
    <row r="769" ht="12.75" hidden="1" x14ac:dyDescent="0.2"/>
    <row r="770" ht="12.75" hidden="1" x14ac:dyDescent="0.2"/>
    <row r="771" ht="12.75" hidden="1" x14ac:dyDescent="0.2"/>
    <row r="772" ht="12.75" hidden="1" x14ac:dyDescent="0.2"/>
    <row r="773" ht="12.75" hidden="1" x14ac:dyDescent="0.2"/>
    <row r="774" ht="12.75" hidden="1" x14ac:dyDescent="0.2"/>
    <row r="775" ht="12.75" hidden="1" x14ac:dyDescent="0.2"/>
    <row r="776" ht="12.75" hidden="1" x14ac:dyDescent="0.2"/>
    <row r="777" ht="12.75" hidden="1" x14ac:dyDescent="0.2"/>
    <row r="778" ht="12.75" hidden="1" x14ac:dyDescent="0.2"/>
    <row r="779" ht="12.75" hidden="1" x14ac:dyDescent="0.2"/>
    <row r="780" ht="12.75" hidden="1" x14ac:dyDescent="0.2"/>
    <row r="781" ht="12.75" hidden="1" x14ac:dyDescent="0.2"/>
    <row r="782" ht="12.75" hidden="1" x14ac:dyDescent="0.2"/>
    <row r="783" ht="12.75" hidden="1" x14ac:dyDescent="0.2"/>
    <row r="784" ht="12.75" hidden="1" x14ac:dyDescent="0.2"/>
    <row r="785" ht="12.75" hidden="1" x14ac:dyDescent="0.2"/>
    <row r="786" ht="12.75" hidden="1" x14ac:dyDescent="0.2"/>
    <row r="787" ht="12.75" hidden="1" x14ac:dyDescent="0.2"/>
    <row r="788" ht="12.75" hidden="1" x14ac:dyDescent="0.2"/>
    <row r="789" ht="12.75" hidden="1" x14ac:dyDescent="0.2"/>
    <row r="790" ht="12.75" hidden="1" x14ac:dyDescent="0.2"/>
    <row r="791" ht="12.75" hidden="1" x14ac:dyDescent="0.2"/>
    <row r="792" ht="12.75" hidden="1" x14ac:dyDescent="0.2"/>
    <row r="793" ht="12.75" hidden="1" x14ac:dyDescent="0.2"/>
    <row r="794" ht="12.75" hidden="1" x14ac:dyDescent="0.2"/>
    <row r="795" ht="12.75" hidden="1" x14ac:dyDescent="0.2"/>
    <row r="796" ht="12.75" hidden="1" x14ac:dyDescent="0.2"/>
    <row r="797" ht="12.75" hidden="1" x14ac:dyDescent="0.2"/>
    <row r="798" ht="12.75" hidden="1" x14ac:dyDescent="0.2"/>
    <row r="799" ht="12.75" hidden="1" x14ac:dyDescent="0.2"/>
    <row r="800" ht="12.75" hidden="1" x14ac:dyDescent="0.2"/>
    <row r="801" ht="12.75" hidden="1" x14ac:dyDescent="0.2"/>
    <row r="802" ht="12.75" hidden="1" x14ac:dyDescent="0.2"/>
    <row r="803" ht="12.75" hidden="1" x14ac:dyDescent="0.2"/>
    <row r="804" ht="12.75" hidden="1" x14ac:dyDescent="0.2"/>
    <row r="805" ht="12.75" hidden="1" x14ac:dyDescent="0.2"/>
    <row r="806" ht="12.75" hidden="1" x14ac:dyDescent="0.2"/>
    <row r="807" ht="12.75" hidden="1" x14ac:dyDescent="0.2"/>
    <row r="808" ht="12.75" hidden="1" x14ac:dyDescent="0.2"/>
    <row r="809" ht="12.75" hidden="1" x14ac:dyDescent="0.2"/>
    <row r="810" ht="12.75" hidden="1" x14ac:dyDescent="0.2"/>
    <row r="811" ht="12.75" hidden="1" x14ac:dyDescent="0.2"/>
    <row r="812" ht="12.75" hidden="1" x14ac:dyDescent="0.2"/>
    <row r="813" ht="12.75" hidden="1" x14ac:dyDescent="0.2"/>
    <row r="814" ht="12.75" hidden="1" x14ac:dyDescent="0.2"/>
    <row r="815" ht="12.75" hidden="1" x14ac:dyDescent="0.2"/>
    <row r="816" ht="12.75" hidden="1" x14ac:dyDescent="0.2"/>
    <row r="817" ht="12.75" hidden="1" x14ac:dyDescent="0.2"/>
    <row r="818" ht="12.75" hidden="1" x14ac:dyDescent="0.2"/>
    <row r="819" ht="12.75" hidden="1" x14ac:dyDescent="0.2"/>
    <row r="820" ht="12.75" hidden="1" x14ac:dyDescent="0.2"/>
    <row r="821" ht="12.75" hidden="1" x14ac:dyDescent="0.2"/>
    <row r="822" ht="12.75" hidden="1" x14ac:dyDescent="0.2"/>
    <row r="823" ht="12.75" hidden="1" x14ac:dyDescent="0.2"/>
    <row r="824" ht="12.75" hidden="1" x14ac:dyDescent="0.2"/>
    <row r="825" ht="12.75" hidden="1" x14ac:dyDescent="0.2"/>
    <row r="826" ht="12.75" hidden="1" x14ac:dyDescent="0.2"/>
    <row r="827" ht="12.75" hidden="1" x14ac:dyDescent="0.2"/>
    <row r="828" ht="12.75" hidden="1" x14ac:dyDescent="0.2"/>
    <row r="829" ht="12.75" hidden="1" x14ac:dyDescent="0.2"/>
    <row r="830" ht="12.75" hidden="1" x14ac:dyDescent="0.2"/>
    <row r="831" ht="12.75" hidden="1" x14ac:dyDescent="0.2"/>
    <row r="832" ht="12.75" hidden="1" x14ac:dyDescent="0.2"/>
    <row r="833" ht="12.75" hidden="1" x14ac:dyDescent="0.2"/>
    <row r="834" ht="12.75" hidden="1" x14ac:dyDescent="0.2"/>
    <row r="835" ht="12.75" hidden="1" x14ac:dyDescent="0.2"/>
    <row r="836" ht="12.75" hidden="1" x14ac:dyDescent="0.2"/>
    <row r="837" ht="12.75" hidden="1" x14ac:dyDescent="0.2"/>
    <row r="838" ht="12.75" hidden="1" x14ac:dyDescent="0.2"/>
    <row r="839" ht="12.75" hidden="1" x14ac:dyDescent="0.2"/>
    <row r="840" ht="12.75" hidden="1" x14ac:dyDescent="0.2"/>
    <row r="841" ht="12.75" hidden="1" x14ac:dyDescent="0.2"/>
    <row r="842" ht="12.75" hidden="1" x14ac:dyDescent="0.2"/>
    <row r="843" ht="12.75" hidden="1" x14ac:dyDescent="0.2"/>
    <row r="844" ht="12.75" hidden="1" x14ac:dyDescent="0.2"/>
    <row r="845" ht="12.75" hidden="1" x14ac:dyDescent="0.2"/>
    <row r="846" ht="12.75" hidden="1" x14ac:dyDescent="0.2"/>
    <row r="847" ht="12.75" hidden="1" x14ac:dyDescent="0.2"/>
    <row r="848" ht="12.75" hidden="1" x14ac:dyDescent="0.2"/>
    <row r="849" ht="12.75" hidden="1" x14ac:dyDescent="0.2"/>
    <row r="850" ht="12.75" hidden="1" x14ac:dyDescent="0.2"/>
    <row r="851" ht="12.75" hidden="1" x14ac:dyDescent="0.2"/>
    <row r="852" ht="12.75" hidden="1" x14ac:dyDescent="0.2"/>
    <row r="853" ht="12.75" hidden="1" x14ac:dyDescent="0.2"/>
    <row r="854" ht="12.75" hidden="1" x14ac:dyDescent="0.2"/>
    <row r="855" ht="12.75" hidden="1" x14ac:dyDescent="0.2"/>
    <row r="856" ht="12.75" hidden="1" x14ac:dyDescent="0.2"/>
    <row r="857" ht="12.75" hidden="1" x14ac:dyDescent="0.2"/>
    <row r="858" ht="12.75" hidden="1" x14ac:dyDescent="0.2"/>
    <row r="859" ht="12.75" hidden="1" x14ac:dyDescent="0.2"/>
    <row r="860" ht="12.75" hidden="1" x14ac:dyDescent="0.2"/>
    <row r="861" ht="12.75" hidden="1" x14ac:dyDescent="0.2"/>
    <row r="862" ht="12.75" hidden="1" x14ac:dyDescent="0.2"/>
    <row r="863" ht="12.75" hidden="1" x14ac:dyDescent="0.2"/>
    <row r="864" ht="12.75" hidden="1" x14ac:dyDescent="0.2"/>
    <row r="865" ht="12.75" hidden="1" x14ac:dyDescent="0.2"/>
    <row r="866" ht="12.75" hidden="1" x14ac:dyDescent="0.2"/>
    <row r="867" ht="12.75" hidden="1" x14ac:dyDescent="0.2"/>
    <row r="868" ht="12.75" hidden="1" x14ac:dyDescent="0.2"/>
    <row r="869" ht="12.75" hidden="1" x14ac:dyDescent="0.2"/>
    <row r="870" ht="12.75" hidden="1" x14ac:dyDescent="0.2"/>
    <row r="871" ht="12.75" hidden="1" x14ac:dyDescent="0.2"/>
    <row r="872" ht="12.75" hidden="1" x14ac:dyDescent="0.2"/>
    <row r="873" ht="12.75" hidden="1" x14ac:dyDescent="0.2"/>
    <row r="874" ht="12.75" hidden="1" x14ac:dyDescent="0.2"/>
    <row r="875" ht="12.75" hidden="1" x14ac:dyDescent="0.2"/>
    <row r="876" ht="12.75" hidden="1" x14ac:dyDescent="0.2"/>
    <row r="877" ht="12.75" hidden="1" x14ac:dyDescent="0.2"/>
    <row r="878" ht="12.75" hidden="1" x14ac:dyDescent="0.2"/>
    <row r="879" ht="12.75" hidden="1" x14ac:dyDescent="0.2"/>
    <row r="880" ht="12.75" hidden="1" x14ac:dyDescent="0.2"/>
    <row r="881" ht="12.75" hidden="1" x14ac:dyDescent="0.2"/>
    <row r="882" ht="12.75" hidden="1" x14ac:dyDescent="0.2"/>
    <row r="883" ht="12.75" hidden="1" x14ac:dyDescent="0.2"/>
    <row r="884" ht="12.75" hidden="1" x14ac:dyDescent="0.2"/>
    <row r="885" ht="12.75" hidden="1" x14ac:dyDescent="0.2"/>
    <row r="886" ht="12.75" hidden="1" x14ac:dyDescent="0.2"/>
    <row r="887" ht="12.75" hidden="1" x14ac:dyDescent="0.2"/>
    <row r="888" ht="12.75" hidden="1" x14ac:dyDescent="0.2"/>
    <row r="889" ht="12.75" hidden="1" x14ac:dyDescent="0.2"/>
    <row r="890" ht="12.75" hidden="1" x14ac:dyDescent="0.2"/>
    <row r="891" ht="12.75" hidden="1" x14ac:dyDescent="0.2"/>
    <row r="892" ht="12.75" hidden="1" x14ac:dyDescent="0.2"/>
    <row r="893" ht="12.75" hidden="1" x14ac:dyDescent="0.2"/>
    <row r="894" ht="12.75" hidden="1" x14ac:dyDescent="0.2"/>
    <row r="895" ht="12.75" hidden="1" x14ac:dyDescent="0.2"/>
    <row r="896" ht="12.75" hidden="1" x14ac:dyDescent="0.2"/>
    <row r="897" ht="12.75" hidden="1" x14ac:dyDescent="0.2"/>
    <row r="898" ht="12.75" hidden="1" x14ac:dyDescent="0.2"/>
    <row r="899" ht="12.75" hidden="1" x14ac:dyDescent="0.2"/>
    <row r="900" ht="12.75" hidden="1" x14ac:dyDescent="0.2"/>
    <row r="901" ht="12.75" hidden="1" x14ac:dyDescent="0.2"/>
    <row r="902" ht="12.75" hidden="1" x14ac:dyDescent="0.2"/>
    <row r="903" ht="12.75" hidden="1" x14ac:dyDescent="0.2"/>
    <row r="904" ht="12.75" hidden="1" x14ac:dyDescent="0.2"/>
    <row r="905" ht="12.75" hidden="1" x14ac:dyDescent="0.2"/>
    <row r="906" ht="12.75" hidden="1" x14ac:dyDescent="0.2"/>
    <row r="907" ht="12.75" hidden="1" x14ac:dyDescent="0.2"/>
    <row r="908" ht="12.75" hidden="1" x14ac:dyDescent="0.2"/>
    <row r="909" ht="12.75" hidden="1" x14ac:dyDescent="0.2"/>
    <row r="910" ht="12.75" hidden="1" x14ac:dyDescent="0.2"/>
    <row r="911" ht="12.75" hidden="1" x14ac:dyDescent="0.2"/>
    <row r="912" ht="12.75" hidden="1" x14ac:dyDescent="0.2"/>
    <row r="913" ht="12.75" hidden="1" x14ac:dyDescent="0.2"/>
    <row r="914" ht="12.75" hidden="1" x14ac:dyDescent="0.2"/>
    <row r="915" ht="12.75" hidden="1" x14ac:dyDescent="0.2"/>
    <row r="916" ht="12.75" hidden="1" x14ac:dyDescent="0.2"/>
    <row r="917" ht="12.75" hidden="1" x14ac:dyDescent="0.2"/>
    <row r="918" ht="12.75" hidden="1" x14ac:dyDescent="0.2"/>
    <row r="919" ht="12.75" hidden="1" x14ac:dyDescent="0.2"/>
    <row r="920" ht="12.75" hidden="1" x14ac:dyDescent="0.2"/>
    <row r="921" ht="12.75" hidden="1" x14ac:dyDescent="0.2"/>
    <row r="922" ht="12.75" hidden="1" x14ac:dyDescent="0.2"/>
    <row r="923" ht="12.75" hidden="1" x14ac:dyDescent="0.2"/>
    <row r="924" ht="12.75" hidden="1" x14ac:dyDescent="0.2"/>
    <row r="925" ht="12.75" hidden="1" x14ac:dyDescent="0.2"/>
    <row r="926" ht="12.75" hidden="1" x14ac:dyDescent="0.2"/>
    <row r="927" ht="12.75" hidden="1" x14ac:dyDescent="0.2"/>
    <row r="928" ht="12.75" hidden="1" x14ac:dyDescent="0.2"/>
    <row r="929" ht="12.75" hidden="1" x14ac:dyDescent="0.2"/>
    <row r="930" ht="12.75" hidden="1" x14ac:dyDescent="0.2"/>
    <row r="931" ht="12.75" hidden="1" x14ac:dyDescent="0.2"/>
    <row r="932" ht="12.75" hidden="1" x14ac:dyDescent="0.2"/>
    <row r="933" ht="12.75" hidden="1" x14ac:dyDescent="0.2"/>
    <row r="934" ht="12.75" hidden="1" x14ac:dyDescent="0.2"/>
    <row r="935" ht="12.75" hidden="1" x14ac:dyDescent="0.2"/>
    <row r="936" ht="12.75" hidden="1" x14ac:dyDescent="0.2"/>
    <row r="937" ht="12.75" hidden="1" x14ac:dyDescent="0.2"/>
    <row r="938" ht="12.75" hidden="1" x14ac:dyDescent="0.2"/>
    <row r="939" ht="12.75" hidden="1" x14ac:dyDescent="0.2"/>
    <row r="940" ht="12.75" hidden="1" x14ac:dyDescent="0.2"/>
    <row r="941" ht="12.75" hidden="1" x14ac:dyDescent="0.2"/>
    <row r="942" ht="12.75" hidden="1" x14ac:dyDescent="0.2"/>
    <row r="943" ht="12.75" hidden="1" x14ac:dyDescent="0.2"/>
    <row r="944" ht="12.75" hidden="1" x14ac:dyDescent="0.2"/>
    <row r="945" ht="12.75" hidden="1" x14ac:dyDescent="0.2"/>
    <row r="946" ht="12.75" hidden="1" x14ac:dyDescent="0.2"/>
    <row r="947" ht="12.75" hidden="1" x14ac:dyDescent="0.2"/>
    <row r="948" ht="12.75" hidden="1" x14ac:dyDescent="0.2"/>
    <row r="949" ht="12.75" hidden="1" x14ac:dyDescent="0.2"/>
    <row r="950" ht="12.75" hidden="1" x14ac:dyDescent="0.2"/>
    <row r="951" ht="12.75" hidden="1" x14ac:dyDescent="0.2"/>
    <row r="952" ht="12.75" hidden="1" x14ac:dyDescent="0.2"/>
    <row r="953" ht="12.75" hidden="1" x14ac:dyDescent="0.2"/>
    <row r="954" ht="12.75" hidden="1" x14ac:dyDescent="0.2"/>
    <row r="955" ht="12.75" hidden="1" x14ac:dyDescent="0.2"/>
    <row r="956" ht="12.75" hidden="1" x14ac:dyDescent="0.2"/>
    <row r="957" ht="12.75" hidden="1" x14ac:dyDescent="0.2"/>
    <row r="958" ht="12.75" hidden="1" x14ac:dyDescent="0.2"/>
    <row r="959" ht="12.75" hidden="1" x14ac:dyDescent="0.2"/>
    <row r="960" ht="12.75" hidden="1" x14ac:dyDescent="0.2"/>
    <row r="961" ht="12.75" hidden="1" x14ac:dyDescent="0.2"/>
    <row r="962" ht="12.75" hidden="1" x14ac:dyDescent="0.2"/>
    <row r="963" ht="12.75" hidden="1" x14ac:dyDescent="0.2"/>
    <row r="964" ht="12.75" hidden="1" x14ac:dyDescent="0.2"/>
    <row r="965" ht="12.75" hidden="1" x14ac:dyDescent="0.2"/>
    <row r="966" ht="12.75" hidden="1" x14ac:dyDescent="0.2"/>
    <row r="967" ht="12.75" hidden="1" x14ac:dyDescent="0.2"/>
    <row r="968" ht="12.75" hidden="1" x14ac:dyDescent="0.2"/>
    <row r="969" ht="12.75" hidden="1" x14ac:dyDescent="0.2"/>
    <row r="970" ht="12.75" hidden="1" x14ac:dyDescent="0.2"/>
    <row r="971" ht="12.75" hidden="1" x14ac:dyDescent="0.2"/>
    <row r="972" ht="12.75" hidden="1" x14ac:dyDescent="0.2"/>
    <row r="973" ht="12.75" hidden="1" x14ac:dyDescent="0.2"/>
    <row r="974" ht="12.75" hidden="1" x14ac:dyDescent="0.2"/>
    <row r="975" ht="12.75" hidden="1" x14ac:dyDescent="0.2"/>
    <row r="976" ht="12.75" hidden="1" x14ac:dyDescent="0.2"/>
    <row r="977" ht="12.75" hidden="1" x14ac:dyDescent="0.2"/>
    <row r="978" ht="12.75" hidden="1" x14ac:dyDescent="0.2"/>
    <row r="979" ht="12.75" hidden="1" x14ac:dyDescent="0.2"/>
    <row r="980" ht="12.75" hidden="1" x14ac:dyDescent="0.2"/>
    <row r="981" ht="12.75" hidden="1" x14ac:dyDescent="0.2"/>
    <row r="982" ht="12.75" hidden="1" x14ac:dyDescent="0.2"/>
    <row r="983" ht="12.75" hidden="1" x14ac:dyDescent="0.2"/>
    <row r="984" ht="12.75" hidden="1" x14ac:dyDescent="0.2"/>
    <row r="985" ht="12.75" hidden="1" x14ac:dyDescent="0.2"/>
    <row r="986" ht="12.75" hidden="1" x14ac:dyDescent="0.2"/>
    <row r="987" ht="12.75" hidden="1" x14ac:dyDescent="0.2"/>
    <row r="988" ht="12.75" hidden="1" x14ac:dyDescent="0.2"/>
    <row r="989" ht="12.75" hidden="1" x14ac:dyDescent="0.2"/>
    <row r="990" ht="12.75" hidden="1" x14ac:dyDescent="0.2"/>
    <row r="991" ht="12.75" hidden="1" x14ac:dyDescent="0.2"/>
    <row r="992" ht="12.75" hidden="1" x14ac:dyDescent="0.2"/>
    <row r="993" ht="12.75" hidden="1" x14ac:dyDescent="0.2"/>
    <row r="994" ht="12.75" hidden="1" x14ac:dyDescent="0.2"/>
    <row r="995" ht="12.75" hidden="1" x14ac:dyDescent="0.2"/>
    <row r="996" ht="12.75" hidden="1" x14ac:dyDescent="0.2"/>
    <row r="997" ht="12.75" hidden="1" x14ac:dyDescent="0.2"/>
    <row r="998" ht="12.75" hidden="1" x14ac:dyDescent="0.2"/>
    <row r="999" ht="12.75" hidden="1" x14ac:dyDescent="0.2"/>
    <row r="1000" ht="12.75" hidden="1" x14ac:dyDescent="0.2"/>
    <row r="1001" ht="12.75" hidden="1" x14ac:dyDescent="0.2"/>
    <row r="1002" ht="12.75" hidden="1" x14ac:dyDescent="0.2"/>
    <row r="1003" ht="12.75" hidden="1" x14ac:dyDescent="0.2"/>
    <row r="1004" ht="12.75" hidden="1" x14ac:dyDescent="0.2"/>
    <row r="1005" ht="12.75" hidden="1" x14ac:dyDescent="0.2"/>
    <row r="1006" ht="12.75" hidden="1" x14ac:dyDescent="0.2"/>
    <row r="1007" ht="12.75" hidden="1" x14ac:dyDescent="0.2"/>
    <row r="1008" ht="12.75" hidden="1" x14ac:dyDescent="0.2"/>
    <row r="1009" ht="12.75" hidden="1" x14ac:dyDescent="0.2"/>
    <row r="1010" ht="12.75" hidden="1" x14ac:dyDescent="0.2"/>
    <row r="1011" ht="12.75" hidden="1" x14ac:dyDescent="0.2"/>
    <row r="1012" ht="12.75" hidden="1" x14ac:dyDescent="0.2"/>
    <row r="1013" ht="12.75" hidden="1" x14ac:dyDescent="0.2"/>
    <row r="1014" ht="12.75" hidden="1" x14ac:dyDescent="0.2"/>
    <row r="1015" ht="12.75" hidden="1" x14ac:dyDescent="0.2"/>
    <row r="1016" ht="12.75" hidden="1" x14ac:dyDescent="0.2"/>
    <row r="1017" ht="12.75" hidden="1" x14ac:dyDescent="0.2"/>
    <row r="1018" ht="12.75" hidden="1" x14ac:dyDescent="0.2"/>
    <row r="1019" ht="12.75" hidden="1" x14ac:dyDescent="0.2"/>
    <row r="1020" ht="12.75" hidden="1" x14ac:dyDescent="0.2"/>
    <row r="1021" ht="12.75" hidden="1" x14ac:dyDescent="0.2"/>
    <row r="1022" ht="12.75" hidden="1" x14ac:dyDescent="0.2"/>
    <row r="1023" ht="12.75" hidden="1" x14ac:dyDescent="0.2"/>
    <row r="1024" ht="12.75" hidden="1" x14ac:dyDescent="0.2"/>
    <row r="1025" ht="12.75" hidden="1" x14ac:dyDescent="0.2"/>
    <row r="1026" ht="12.75" hidden="1" x14ac:dyDescent="0.2"/>
    <row r="1027" ht="12.75" hidden="1" x14ac:dyDescent="0.2"/>
    <row r="1028" ht="12.75" hidden="1" x14ac:dyDescent="0.2"/>
    <row r="1029" ht="12.75" hidden="1" x14ac:dyDescent="0.2"/>
    <row r="1030" ht="12.75" hidden="1" x14ac:dyDescent="0.2"/>
    <row r="1031" ht="12.75" hidden="1" x14ac:dyDescent="0.2"/>
    <row r="1032" ht="12.75" hidden="1" x14ac:dyDescent="0.2"/>
    <row r="1033" ht="12.75" hidden="1" x14ac:dyDescent="0.2"/>
    <row r="1034" ht="12.75" hidden="1" x14ac:dyDescent="0.2"/>
    <row r="1035" ht="12.75" hidden="1" x14ac:dyDescent="0.2"/>
    <row r="1036" ht="12.75" hidden="1" x14ac:dyDescent="0.2"/>
    <row r="1037" ht="12.75" hidden="1" x14ac:dyDescent="0.2"/>
    <row r="1038" ht="12.75" hidden="1" x14ac:dyDescent="0.2"/>
    <row r="1039" ht="12.75" hidden="1" x14ac:dyDescent="0.2"/>
    <row r="1040" ht="12.75" hidden="1" x14ac:dyDescent="0.2"/>
    <row r="1041" ht="12.75" hidden="1" x14ac:dyDescent="0.2"/>
    <row r="1042" ht="12.75" hidden="1" x14ac:dyDescent="0.2"/>
    <row r="1043" ht="12.75" hidden="1" x14ac:dyDescent="0.2"/>
    <row r="1044" ht="12.75" hidden="1" x14ac:dyDescent="0.2"/>
    <row r="1045" ht="12.75" hidden="1" x14ac:dyDescent="0.2"/>
    <row r="1046" ht="12.75" hidden="1" x14ac:dyDescent="0.2"/>
    <row r="1047" ht="12.75" hidden="1" x14ac:dyDescent="0.2"/>
    <row r="1048" ht="12.75" hidden="1" x14ac:dyDescent="0.2"/>
    <row r="1049" ht="12.75" hidden="1" x14ac:dyDescent="0.2"/>
    <row r="1050" ht="12.75" hidden="1" x14ac:dyDescent="0.2"/>
    <row r="1051" ht="12.75" hidden="1" x14ac:dyDescent="0.2"/>
    <row r="1052" ht="12.75" hidden="1" x14ac:dyDescent="0.2"/>
    <row r="1053" ht="12.75" hidden="1" x14ac:dyDescent="0.2"/>
    <row r="1054" ht="12.75" hidden="1" x14ac:dyDescent="0.2"/>
    <row r="1055" ht="12.75" hidden="1" x14ac:dyDescent="0.2"/>
    <row r="1056" ht="12.75" hidden="1" x14ac:dyDescent="0.2"/>
    <row r="1057" ht="12.75" hidden="1" x14ac:dyDescent="0.2"/>
    <row r="1058" ht="12.75" hidden="1" x14ac:dyDescent="0.2"/>
    <row r="1059" ht="12.75" hidden="1" x14ac:dyDescent="0.2"/>
    <row r="1060" ht="12.75" hidden="1" x14ac:dyDescent="0.2"/>
    <row r="1061" ht="12.75" hidden="1" x14ac:dyDescent="0.2"/>
    <row r="1062" ht="12.75" hidden="1" x14ac:dyDescent="0.2"/>
    <row r="1063" ht="12.75" hidden="1" x14ac:dyDescent="0.2"/>
    <row r="1064" ht="12.75" hidden="1" x14ac:dyDescent="0.2"/>
    <row r="1065" ht="12.75" hidden="1" x14ac:dyDescent="0.2"/>
    <row r="1066" ht="12.75" hidden="1" x14ac:dyDescent="0.2"/>
    <row r="1067" ht="12.75" hidden="1" x14ac:dyDescent="0.2"/>
    <row r="1068" ht="12.75" hidden="1" x14ac:dyDescent="0.2"/>
    <row r="1069" ht="12.75" hidden="1" x14ac:dyDescent="0.2"/>
    <row r="1070" ht="12.75" hidden="1" x14ac:dyDescent="0.2"/>
    <row r="1071" ht="12.75" hidden="1" x14ac:dyDescent="0.2"/>
    <row r="1072" ht="12.75" hidden="1" x14ac:dyDescent="0.2"/>
    <row r="1073" ht="12.75" hidden="1" x14ac:dyDescent="0.2"/>
    <row r="1074" ht="12.75" hidden="1" x14ac:dyDescent="0.2"/>
    <row r="1075" ht="12.75" hidden="1" x14ac:dyDescent="0.2"/>
    <row r="1076" ht="12.75" hidden="1" x14ac:dyDescent="0.2"/>
    <row r="1077" ht="12.75" hidden="1" x14ac:dyDescent="0.2"/>
    <row r="1078" ht="12.75" hidden="1" x14ac:dyDescent="0.2"/>
    <row r="1079" ht="12.75" hidden="1" x14ac:dyDescent="0.2"/>
    <row r="1080" ht="12.75" hidden="1" x14ac:dyDescent="0.2"/>
    <row r="1081" ht="12.75" hidden="1" x14ac:dyDescent="0.2"/>
    <row r="1082" ht="12.75" hidden="1" x14ac:dyDescent="0.2"/>
    <row r="1083" ht="12.75" hidden="1" x14ac:dyDescent="0.2"/>
    <row r="1084" ht="12.75" hidden="1" x14ac:dyDescent="0.2"/>
    <row r="1085" ht="12.75" hidden="1" x14ac:dyDescent="0.2"/>
    <row r="1086" ht="12.75" hidden="1" x14ac:dyDescent="0.2"/>
    <row r="1087" ht="12.75" hidden="1" x14ac:dyDescent="0.2"/>
    <row r="1088" ht="12.75" hidden="1" x14ac:dyDescent="0.2"/>
    <row r="1089" ht="12.75" hidden="1" x14ac:dyDescent="0.2"/>
    <row r="1090" ht="12.75" hidden="1" x14ac:dyDescent="0.2"/>
    <row r="1091" ht="12.75" hidden="1" x14ac:dyDescent="0.2"/>
    <row r="1092" ht="12.75" hidden="1" x14ac:dyDescent="0.2"/>
    <row r="1093" ht="12.75" hidden="1" x14ac:dyDescent="0.2"/>
    <row r="1094" ht="12.75" hidden="1" x14ac:dyDescent="0.2"/>
    <row r="1095" ht="12.75" hidden="1" x14ac:dyDescent="0.2"/>
    <row r="1096" ht="12.75" hidden="1" x14ac:dyDescent="0.2"/>
    <row r="1097" ht="12.75" hidden="1" x14ac:dyDescent="0.2"/>
    <row r="1098" ht="12.75" hidden="1" x14ac:dyDescent="0.2"/>
    <row r="1099" ht="12.75" hidden="1" x14ac:dyDescent="0.2"/>
    <row r="1100" ht="12.75" hidden="1" x14ac:dyDescent="0.2"/>
    <row r="1101" ht="12.75" hidden="1" x14ac:dyDescent="0.2"/>
    <row r="1102" ht="12.75" hidden="1" x14ac:dyDescent="0.2"/>
    <row r="1103" ht="12.75" hidden="1" x14ac:dyDescent="0.2"/>
    <row r="1104" ht="12.75" hidden="1" x14ac:dyDescent="0.2"/>
    <row r="1105" ht="12.75" hidden="1" x14ac:dyDescent="0.2"/>
    <row r="1106" ht="12.75" hidden="1" x14ac:dyDescent="0.2"/>
    <row r="1107" ht="12.75" hidden="1" x14ac:dyDescent="0.2"/>
    <row r="1108" ht="12.75" hidden="1" x14ac:dyDescent="0.2"/>
    <row r="1109" ht="12.75" hidden="1" x14ac:dyDescent="0.2"/>
    <row r="1110" ht="12.75" hidden="1" x14ac:dyDescent="0.2"/>
    <row r="1111" ht="12.75" hidden="1" x14ac:dyDescent="0.2"/>
    <row r="1112" ht="12.75" hidden="1" x14ac:dyDescent="0.2"/>
    <row r="1113" ht="12.75" hidden="1" x14ac:dyDescent="0.2"/>
    <row r="1114" ht="12.75" hidden="1" x14ac:dyDescent="0.2"/>
    <row r="1115" ht="12.75" hidden="1" x14ac:dyDescent="0.2"/>
    <row r="1116" ht="12.75" hidden="1" x14ac:dyDescent="0.2"/>
    <row r="1117" ht="12.75" hidden="1" x14ac:dyDescent="0.2"/>
    <row r="1118" ht="12.75" hidden="1" x14ac:dyDescent="0.2"/>
    <row r="1119" ht="12.75" hidden="1" x14ac:dyDescent="0.2"/>
    <row r="1120" ht="12.75" hidden="1" x14ac:dyDescent="0.2"/>
    <row r="1121" ht="12.75" hidden="1" x14ac:dyDescent="0.2"/>
    <row r="1122" ht="12.75" hidden="1" x14ac:dyDescent="0.2"/>
    <row r="1123" ht="12.75" hidden="1" x14ac:dyDescent="0.2"/>
    <row r="1124" ht="12.75" hidden="1" x14ac:dyDescent="0.2"/>
    <row r="1125" ht="12.75" hidden="1" x14ac:dyDescent="0.2"/>
    <row r="1126" ht="12.75" hidden="1" x14ac:dyDescent="0.2"/>
    <row r="1127" ht="12.75" hidden="1" x14ac:dyDescent="0.2"/>
    <row r="1128" ht="12.75" hidden="1" x14ac:dyDescent="0.2"/>
    <row r="1129" ht="12.75" hidden="1" x14ac:dyDescent="0.2"/>
    <row r="1130" ht="12.75" hidden="1" x14ac:dyDescent="0.2"/>
    <row r="1131" ht="12.75" hidden="1" x14ac:dyDescent="0.2"/>
    <row r="1132" ht="12.75" hidden="1" x14ac:dyDescent="0.2"/>
    <row r="1133" ht="12.75" hidden="1" x14ac:dyDescent="0.2"/>
    <row r="1134" ht="12.75" hidden="1" x14ac:dyDescent="0.2"/>
    <row r="1135" ht="12.75" hidden="1" x14ac:dyDescent="0.2"/>
    <row r="1136" ht="12.75" hidden="1" x14ac:dyDescent="0.2"/>
    <row r="1137" ht="12.75" hidden="1" x14ac:dyDescent="0.2"/>
    <row r="1138" ht="12.75" hidden="1" x14ac:dyDescent="0.2"/>
    <row r="1139" ht="12.75" hidden="1" x14ac:dyDescent="0.2"/>
    <row r="1140" ht="12.75" hidden="1" x14ac:dyDescent="0.2"/>
    <row r="1141" ht="12.75" hidden="1" x14ac:dyDescent="0.2"/>
    <row r="1142" ht="12.75" hidden="1" x14ac:dyDescent="0.2"/>
    <row r="1143" ht="12.75" hidden="1" x14ac:dyDescent="0.2"/>
    <row r="1144" ht="12.75" hidden="1" x14ac:dyDescent="0.2"/>
    <row r="1145" ht="12.75" hidden="1" x14ac:dyDescent="0.2"/>
    <row r="1146" ht="12.75" hidden="1" x14ac:dyDescent="0.2"/>
    <row r="1147" ht="12.75" hidden="1" x14ac:dyDescent="0.2"/>
    <row r="1148" ht="12.75" hidden="1" x14ac:dyDescent="0.2"/>
    <row r="1149" ht="12.75" hidden="1" x14ac:dyDescent="0.2"/>
    <row r="1150" ht="12.75" hidden="1" x14ac:dyDescent="0.2"/>
    <row r="1151" ht="12.75" hidden="1" x14ac:dyDescent="0.2"/>
    <row r="1152" ht="12.75" hidden="1" x14ac:dyDescent="0.2"/>
    <row r="1153" ht="12.75" hidden="1" x14ac:dyDescent="0.2"/>
    <row r="1154" ht="12.75" hidden="1" x14ac:dyDescent="0.2"/>
    <row r="1155" ht="12.75" hidden="1" x14ac:dyDescent="0.2"/>
    <row r="1156" ht="12.75" hidden="1" x14ac:dyDescent="0.2"/>
    <row r="1157" ht="12.75" hidden="1" x14ac:dyDescent="0.2"/>
    <row r="1158" ht="12.75" hidden="1" x14ac:dyDescent="0.2"/>
    <row r="1159" ht="12.75" hidden="1" x14ac:dyDescent="0.2"/>
    <row r="1160" ht="12.75" hidden="1" x14ac:dyDescent="0.2"/>
    <row r="1161" ht="12.75" hidden="1" x14ac:dyDescent="0.2"/>
    <row r="1162" ht="12.75" hidden="1" x14ac:dyDescent="0.2"/>
    <row r="1163" ht="12.75" hidden="1" x14ac:dyDescent="0.2"/>
    <row r="1164" ht="12.75" hidden="1" x14ac:dyDescent="0.2"/>
    <row r="1165" ht="12.75" hidden="1" x14ac:dyDescent="0.2"/>
    <row r="1166" ht="12.75" hidden="1" x14ac:dyDescent="0.2"/>
    <row r="1167" ht="12.75" hidden="1" x14ac:dyDescent="0.2"/>
    <row r="1168" ht="12.75" hidden="1" x14ac:dyDescent="0.2"/>
    <row r="1169" ht="12.75" hidden="1" x14ac:dyDescent="0.2"/>
    <row r="1170" ht="12.75" hidden="1" x14ac:dyDescent="0.2"/>
    <row r="1171" ht="12.75" hidden="1" x14ac:dyDescent="0.2"/>
    <row r="1172" ht="12.75" hidden="1" x14ac:dyDescent="0.2"/>
    <row r="1173" ht="12.75" hidden="1" x14ac:dyDescent="0.2"/>
    <row r="1174" ht="12.75" hidden="1" x14ac:dyDescent="0.2"/>
    <row r="1175" ht="12.75" hidden="1" x14ac:dyDescent="0.2"/>
    <row r="1176" ht="12.75" hidden="1" x14ac:dyDescent="0.2"/>
    <row r="1177" ht="12.75" hidden="1" x14ac:dyDescent="0.2"/>
    <row r="1178" ht="12.75" hidden="1" x14ac:dyDescent="0.2"/>
    <row r="1179" ht="12.75" hidden="1" x14ac:dyDescent="0.2"/>
    <row r="1180" ht="12.75" hidden="1" x14ac:dyDescent="0.2"/>
    <row r="1181" ht="12.75" hidden="1" x14ac:dyDescent="0.2"/>
    <row r="1182" ht="12.75" hidden="1" x14ac:dyDescent="0.2"/>
    <row r="1183" ht="12.75" hidden="1" x14ac:dyDescent="0.2"/>
    <row r="1184" ht="12.75" hidden="1" x14ac:dyDescent="0.2"/>
    <row r="1185" ht="12.75" hidden="1" x14ac:dyDescent="0.2"/>
    <row r="1186" ht="12.75" hidden="1" x14ac:dyDescent="0.2"/>
    <row r="1187" ht="12.75" hidden="1" x14ac:dyDescent="0.2"/>
    <row r="1188" ht="12.75" hidden="1" x14ac:dyDescent="0.2"/>
    <row r="1189" ht="12.75" hidden="1" x14ac:dyDescent="0.2"/>
    <row r="1190" ht="12.75" hidden="1" x14ac:dyDescent="0.2"/>
    <row r="1191" ht="12.75" hidden="1" x14ac:dyDescent="0.2"/>
    <row r="1192" ht="12.75" hidden="1" x14ac:dyDescent="0.2"/>
    <row r="1193" ht="12.75" hidden="1" x14ac:dyDescent="0.2"/>
    <row r="1194" ht="12.75" hidden="1" x14ac:dyDescent="0.2"/>
    <row r="1195" ht="12.75" hidden="1" x14ac:dyDescent="0.2"/>
    <row r="1196" ht="12.75" hidden="1" x14ac:dyDescent="0.2"/>
    <row r="1197" ht="12.75" hidden="1" x14ac:dyDescent="0.2"/>
    <row r="1198" ht="12.75" hidden="1" x14ac:dyDescent="0.2"/>
    <row r="1199" ht="12.75" hidden="1" x14ac:dyDescent="0.2"/>
    <row r="1200" ht="12.75" hidden="1" x14ac:dyDescent="0.2"/>
    <row r="1201" ht="12.75" hidden="1" x14ac:dyDescent="0.2"/>
    <row r="1202" ht="12.75" hidden="1" x14ac:dyDescent="0.2"/>
    <row r="1203" ht="12.75" hidden="1" x14ac:dyDescent="0.2"/>
    <row r="1204" ht="12.75" hidden="1" x14ac:dyDescent="0.2"/>
    <row r="1205" ht="12.75" hidden="1" x14ac:dyDescent="0.2"/>
    <row r="1206" ht="12.75" hidden="1" x14ac:dyDescent="0.2"/>
    <row r="1207" ht="12.75" hidden="1" x14ac:dyDescent="0.2"/>
    <row r="1208" ht="12.75" hidden="1" x14ac:dyDescent="0.2"/>
    <row r="1209" ht="12.75" hidden="1" x14ac:dyDescent="0.2"/>
    <row r="1210" ht="12.75" hidden="1" x14ac:dyDescent="0.2"/>
    <row r="1211" ht="12.75" hidden="1" x14ac:dyDescent="0.2"/>
    <row r="1212" ht="12.75" hidden="1" x14ac:dyDescent="0.2"/>
    <row r="1213" ht="12.75" hidden="1" x14ac:dyDescent="0.2"/>
    <row r="1214" ht="12.75" hidden="1" x14ac:dyDescent="0.2"/>
    <row r="1215" ht="12.75" hidden="1" x14ac:dyDescent="0.2"/>
    <row r="1216" ht="12.75" hidden="1" x14ac:dyDescent="0.2"/>
    <row r="1217" ht="12.75" hidden="1" x14ac:dyDescent="0.2"/>
    <row r="1218" ht="12.75" hidden="1" x14ac:dyDescent="0.2"/>
    <row r="1219" ht="12.75" hidden="1" x14ac:dyDescent="0.2"/>
    <row r="1220" ht="12.75" hidden="1" x14ac:dyDescent="0.2"/>
    <row r="1221" ht="12.75" hidden="1" x14ac:dyDescent="0.2"/>
    <row r="1222" ht="12.75" hidden="1" x14ac:dyDescent="0.2"/>
    <row r="1223" ht="12.75" hidden="1" x14ac:dyDescent="0.2"/>
    <row r="1224" ht="12.75" hidden="1" x14ac:dyDescent="0.2"/>
    <row r="1225" ht="12.75" hidden="1" x14ac:dyDescent="0.2"/>
    <row r="1226" ht="12.75" hidden="1" x14ac:dyDescent="0.2"/>
    <row r="1227" ht="12.75" hidden="1" x14ac:dyDescent="0.2"/>
    <row r="1228" ht="12.75" hidden="1" x14ac:dyDescent="0.2"/>
    <row r="1229" ht="12.75" hidden="1" x14ac:dyDescent="0.2"/>
    <row r="1230" ht="12.75" hidden="1" x14ac:dyDescent="0.2"/>
    <row r="1231" ht="12.75" hidden="1" x14ac:dyDescent="0.2"/>
    <row r="1232" ht="12.75" hidden="1" x14ac:dyDescent="0.2"/>
    <row r="1233" ht="12.75" hidden="1" x14ac:dyDescent="0.2"/>
    <row r="1234" ht="12.75" hidden="1" x14ac:dyDescent="0.2"/>
    <row r="1235" ht="12.75" hidden="1" x14ac:dyDescent="0.2"/>
    <row r="1236" ht="12.75" hidden="1" x14ac:dyDescent="0.2"/>
    <row r="1237" ht="12.75" hidden="1" x14ac:dyDescent="0.2"/>
    <row r="1238" ht="12.75" hidden="1" x14ac:dyDescent="0.2"/>
    <row r="1239" ht="12.75" hidden="1" x14ac:dyDescent="0.2"/>
    <row r="1240" ht="12.75" hidden="1" x14ac:dyDescent="0.2"/>
    <row r="1241" ht="12.75" hidden="1" x14ac:dyDescent="0.2"/>
    <row r="1242" ht="12.75" hidden="1" x14ac:dyDescent="0.2"/>
    <row r="1243" ht="12.75" hidden="1" x14ac:dyDescent="0.2"/>
    <row r="1244" ht="12.75" hidden="1" x14ac:dyDescent="0.2"/>
    <row r="1245" ht="12.75" hidden="1" x14ac:dyDescent="0.2"/>
    <row r="1246" ht="12.75" hidden="1" x14ac:dyDescent="0.2"/>
    <row r="1247" ht="12.75" hidden="1" x14ac:dyDescent="0.2"/>
    <row r="1248" ht="12.75" hidden="1" x14ac:dyDescent="0.2"/>
    <row r="1249" ht="12.75" hidden="1" x14ac:dyDescent="0.2"/>
    <row r="1250" ht="12.75" hidden="1" x14ac:dyDescent="0.2"/>
    <row r="1251" ht="12.75" hidden="1" x14ac:dyDescent="0.2"/>
    <row r="1252" ht="12.75" hidden="1" x14ac:dyDescent="0.2"/>
    <row r="1253" ht="12.75" hidden="1" x14ac:dyDescent="0.2"/>
    <row r="1254" ht="12.75" hidden="1" x14ac:dyDescent="0.2"/>
    <row r="1255" ht="12.75" hidden="1" x14ac:dyDescent="0.2"/>
    <row r="1256" ht="12.75" hidden="1" x14ac:dyDescent="0.2"/>
    <row r="1257" ht="12.75" hidden="1" x14ac:dyDescent="0.2"/>
    <row r="1258" ht="12.75" hidden="1" x14ac:dyDescent="0.2"/>
    <row r="1259" ht="12.75" hidden="1" x14ac:dyDescent="0.2"/>
    <row r="1260" ht="12.75" hidden="1" x14ac:dyDescent="0.2"/>
    <row r="1261" ht="12.75" hidden="1" x14ac:dyDescent="0.2"/>
    <row r="1262" ht="12.75" hidden="1" x14ac:dyDescent="0.2"/>
    <row r="1263" ht="12.75" hidden="1" x14ac:dyDescent="0.2"/>
    <row r="1264" ht="12.75" hidden="1" x14ac:dyDescent="0.2"/>
    <row r="1265" ht="12.75" hidden="1" x14ac:dyDescent="0.2"/>
    <row r="1266" ht="12.75" hidden="1" x14ac:dyDescent="0.2"/>
    <row r="1267" ht="12.75" hidden="1" x14ac:dyDescent="0.2"/>
    <row r="1268" ht="12.75" hidden="1" x14ac:dyDescent="0.2"/>
    <row r="1269" ht="12.75" hidden="1" x14ac:dyDescent="0.2"/>
    <row r="1270" ht="12.75" hidden="1" x14ac:dyDescent="0.2"/>
    <row r="1271" ht="12.75" hidden="1" x14ac:dyDescent="0.2"/>
    <row r="1272" ht="12.75" hidden="1" x14ac:dyDescent="0.2"/>
    <row r="1273" ht="12.75" hidden="1" x14ac:dyDescent="0.2"/>
    <row r="1274" ht="12.75" hidden="1" x14ac:dyDescent="0.2"/>
    <row r="1275" ht="12.75" hidden="1" x14ac:dyDescent="0.2"/>
    <row r="1276" ht="12.75" hidden="1" x14ac:dyDescent="0.2"/>
    <row r="1277" ht="12.75" hidden="1" x14ac:dyDescent="0.2"/>
    <row r="1278" ht="12.75" hidden="1" x14ac:dyDescent="0.2"/>
    <row r="1279" ht="12.75" hidden="1" x14ac:dyDescent="0.2"/>
    <row r="1280" ht="12.75" hidden="1" x14ac:dyDescent="0.2"/>
    <row r="1281" ht="12.75" hidden="1" x14ac:dyDescent="0.2"/>
    <row r="1282" ht="12.75" hidden="1" x14ac:dyDescent="0.2"/>
    <row r="1283" ht="12.75" hidden="1" x14ac:dyDescent="0.2"/>
    <row r="1284" ht="12.75" hidden="1" x14ac:dyDescent="0.2"/>
    <row r="1285" ht="12.75" hidden="1" x14ac:dyDescent="0.2"/>
    <row r="1286" ht="12.75" hidden="1" x14ac:dyDescent="0.2"/>
    <row r="1287" ht="12.75" hidden="1" x14ac:dyDescent="0.2"/>
    <row r="1288" ht="12.75" hidden="1" x14ac:dyDescent="0.2"/>
    <row r="1289" ht="12.75" hidden="1" x14ac:dyDescent="0.2"/>
    <row r="1290" ht="12.75" hidden="1" x14ac:dyDescent="0.2"/>
    <row r="1291" ht="12.75" hidden="1" x14ac:dyDescent="0.2"/>
    <row r="1292" ht="12.75" hidden="1" x14ac:dyDescent="0.2"/>
    <row r="1293" ht="12.75" hidden="1" x14ac:dyDescent="0.2"/>
    <row r="1294" ht="12.75" hidden="1" x14ac:dyDescent="0.2"/>
    <row r="1295" ht="12.75" hidden="1" x14ac:dyDescent="0.2"/>
    <row r="1296" ht="12.75" hidden="1" x14ac:dyDescent="0.2"/>
    <row r="1297" ht="12.75" hidden="1" x14ac:dyDescent="0.2"/>
    <row r="1298" ht="12.75" hidden="1" x14ac:dyDescent="0.2"/>
    <row r="1299" ht="12.75" hidden="1" x14ac:dyDescent="0.2"/>
    <row r="1300" ht="12.75" hidden="1" x14ac:dyDescent="0.2"/>
    <row r="1301" ht="12.75" hidden="1" x14ac:dyDescent="0.2"/>
    <row r="1302" ht="12.75" hidden="1" x14ac:dyDescent="0.2"/>
    <row r="1303" ht="12.75" hidden="1" x14ac:dyDescent="0.2"/>
    <row r="1304" ht="12.75" hidden="1" x14ac:dyDescent="0.2"/>
    <row r="1305" ht="12.75" hidden="1" x14ac:dyDescent="0.2"/>
    <row r="1306" ht="12.75" hidden="1" x14ac:dyDescent="0.2"/>
    <row r="1307" ht="12.75" hidden="1" x14ac:dyDescent="0.2"/>
    <row r="1308" ht="12.75" hidden="1" x14ac:dyDescent="0.2"/>
    <row r="1309" ht="12.75" hidden="1" x14ac:dyDescent="0.2"/>
    <row r="1310" ht="12.75" hidden="1" x14ac:dyDescent="0.2"/>
    <row r="1311" ht="12.75" hidden="1" x14ac:dyDescent="0.2"/>
    <row r="1312" ht="12.75" hidden="1" x14ac:dyDescent="0.2"/>
    <row r="1313" ht="12.75" hidden="1" x14ac:dyDescent="0.2"/>
    <row r="1314" ht="12.75" hidden="1" x14ac:dyDescent="0.2"/>
    <row r="1315" ht="12.75" hidden="1" x14ac:dyDescent="0.2"/>
    <row r="1316" ht="12.75" hidden="1" x14ac:dyDescent="0.2"/>
    <row r="1317" ht="12.75" hidden="1" x14ac:dyDescent="0.2"/>
    <row r="1318" ht="12.75" hidden="1" x14ac:dyDescent="0.2"/>
    <row r="1319" ht="12.75" hidden="1" x14ac:dyDescent="0.2"/>
    <row r="1320" ht="12.75" hidden="1" x14ac:dyDescent="0.2"/>
    <row r="1321" ht="12.75" hidden="1" x14ac:dyDescent="0.2"/>
    <row r="1322" ht="12.75" hidden="1" x14ac:dyDescent="0.2"/>
    <row r="1323" ht="12.75" hidden="1" x14ac:dyDescent="0.2"/>
    <row r="1324" ht="12.75" hidden="1" x14ac:dyDescent="0.2"/>
    <row r="1325" ht="12.75" hidden="1" x14ac:dyDescent="0.2"/>
    <row r="1326" ht="12.75" hidden="1" x14ac:dyDescent="0.2"/>
    <row r="1327" ht="12.75" hidden="1" x14ac:dyDescent="0.2"/>
    <row r="1328" ht="12.75" hidden="1" x14ac:dyDescent="0.2"/>
    <row r="1329" ht="12.75" hidden="1" x14ac:dyDescent="0.2"/>
    <row r="1330" ht="12.75" hidden="1" x14ac:dyDescent="0.2"/>
    <row r="1331" ht="12.75" hidden="1" x14ac:dyDescent="0.2"/>
    <row r="1332" ht="12.75" hidden="1" x14ac:dyDescent="0.2"/>
    <row r="1333" ht="12.75" hidden="1" x14ac:dyDescent="0.2"/>
    <row r="1334" ht="12.75" hidden="1" x14ac:dyDescent="0.2"/>
    <row r="1335" ht="12.75" hidden="1" x14ac:dyDescent="0.2"/>
    <row r="1336" ht="12.75" hidden="1" x14ac:dyDescent="0.2"/>
    <row r="1337" ht="12.75" hidden="1" x14ac:dyDescent="0.2"/>
    <row r="1338" ht="12.75" hidden="1" x14ac:dyDescent="0.2"/>
    <row r="1339" ht="12.75" hidden="1" x14ac:dyDescent="0.2"/>
    <row r="1340" ht="12.75" hidden="1" x14ac:dyDescent="0.2"/>
    <row r="1341" ht="12.75" hidden="1" x14ac:dyDescent="0.2"/>
    <row r="1342" ht="12.75" hidden="1" x14ac:dyDescent="0.2"/>
    <row r="1343" ht="12.75" hidden="1" x14ac:dyDescent="0.2"/>
    <row r="1344" ht="12.75" hidden="1" x14ac:dyDescent="0.2"/>
    <row r="1345" ht="12.75" hidden="1" x14ac:dyDescent="0.2"/>
    <row r="1346" ht="12.75" hidden="1" x14ac:dyDescent="0.2"/>
    <row r="1347" ht="12.75" hidden="1" x14ac:dyDescent="0.2"/>
    <row r="1348" ht="12.75" hidden="1" x14ac:dyDescent="0.2"/>
    <row r="1349" ht="12.75" hidden="1" x14ac:dyDescent="0.2"/>
    <row r="1350" ht="12.75" hidden="1" x14ac:dyDescent="0.2"/>
    <row r="1351" ht="12.75" hidden="1" x14ac:dyDescent="0.2"/>
    <row r="1352" ht="12.75" hidden="1" x14ac:dyDescent="0.2"/>
    <row r="1353" ht="12.75" hidden="1" x14ac:dyDescent="0.2"/>
    <row r="1354" ht="12.75" hidden="1" x14ac:dyDescent="0.2"/>
    <row r="1355" ht="12.75" hidden="1" x14ac:dyDescent="0.2"/>
    <row r="1356" ht="12.75" hidden="1" x14ac:dyDescent="0.2"/>
    <row r="1357" ht="12.75" hidden="1" x14ac:dyDescent="0.2"/>
    <row r="1358" ht="12.75" hidden="1" x14ac:dyDescent="0.2"/>
    <row r="1359" ht="12.75" hidden="1" x14ac:dyDescent="0.2"/>
    <row r="1360" ht="12.75" hidden="1" x14ac:dyDescent="0.2"/>
    <row r="1361" ht="12.75" hidden="1" x14ac:dyDescent="0.2"/>
    <row r="1362" ht="12.75" hidden="1" x14ac:dyDescent="0.2"/>
    <row r="1363" ht="12.75" hidden="1" x14ac:dyDescent="0.2"/>
    <row r="1364" ht="12.75" hidden="1" x14ac:dyDescent="0.2"/>
    <row r="1365" ht="12.75" hidden="1" x14ac:dyDescent="0.2"/>
    <row r="1366" ht="12.75" hidden="1" x14ac:dyDescent="0.2"/>
    <row r="1367" ht="12.75" hidden="1" x14ac:dyDescent="0.2"/>
    <row r="1368" ht="12.75" hidden="1" x14ac:dyDescent="0.2"/>
    <row r="1369" ht="12.75" hidden="1" x14ac:dyDescent="0.2"/>
    <row r="1370" ht="12.75" hidden="1" x14ac:dyDescent="0.2"/>
    <row r="1371" ht="12.75" hidden="1" x14ac:dyDescent="0.2"/>
    <row r="1372" ht="12.75" hidden="1" x14ac:dyDescent="0.2"/>
    <row r="1373" ht="12.75" hidden="1" x14ac:dyDescent="0.2"/>
    <row r="1374" ht="12.75" hidden="1" x14ac:dyDescent="0.2"/>
    <row r="1375" ht="12.75" hidden="1" x14ac:dyDescent="0.2"/>
    <row r="1376" ht="12.75" hidden="1" x14ac:dyDescent="0.2"/>
    <row r="1377" ht="12.75" hidden="1" x14ac:dyDescent="0.2"/>
    <row r="1378" ht="12.75" hidden="1" x14ac:dyDescent="0.2"/>
    <row r="1379" ht="12.75" hidden="1" x14ac:dyDescent="0.2"/>
    <row r="1380" ht="12.75" hidden="1" x14ac:dyDescent="0.2"/>
    <row r="1381" ht="12.75" hidden="1" x14ac:dyDescent="0.2"/>
    <row r="1382" ht="12.75" hidden="1" x14ac:dyDescent="0.2"/>
    <row r="1383" ht="12.75" hidden="1" x14ac:dyDescent="0.2"/>
    <row r="1384" ht="12.75" hidden="1" x14ac:dyDescent="0.2"/>
    <row r="1385" ht="12.75" hidden="1" x14ac:dyDescent="0.2"/>
    <row r="1386" ht="12.75" hidden="1" x14ac:dyDescent="0.2"/>
    <row r="1387" ht="12.75" hidden="1" x14ac:dyDescent="0.2"/>
    <row r="1388" ht="12.75" hidden="1" x14ac:dyDescent="0.2"/>
    <row r="1389" ht="12.75" hidden="1" x14ac:dyDescent="0.2"/>
    <row r="1390" ht="12.75" hidden="1" x14ac:dyDescent="0.2"/>
    <row r="1391" ht="12.75" hidden="1" x14ac:dyDescent="0.2"/>
    <row r="1392" ht="12.75" hidden="1" x14ac:dyDescent="0.2"/>
    <row r="1393" ht="12.75" hidden="1" x14ac:dyDescent="0.2"/>
    <row r="1394" ht="12.75" hidden="1" x14ac:dyDescent="0.2"/>
    <row r="1395" ht="12.75" hidden="1" x14ac:dyDescent="0.2"/>
    <row r="1396" ht="12.75" hidden="1" x14ac:dyDescent="0.2"/>
    <row r="1397" ht="12.75" hidden="1" x14ac:dyDescent="0.2"/>
    <row r="1398" ht="12.75" hidden="1" x14ac:dyDescent="0.2"/>
    <row r="1399" ht="12.75" hidden="1" x14ac:dyDescent="0.2"/>
    <row r="1400" ht="12.75" hidden="1" x14ac:dyDescent="0.2"/>
    <row r="1401" ht="12.75" hidden="1" x14ac:dyDescent="0.2"/>
    <row r="1402" ht="12.75" hidden="1" x14ac:dyDescent="0.2"/>
    <row r="1403" ht="12.75" hidden="1" x14ac:dyDescent="0.2"/>
    <row r="1404" ht="12.75" hidden="1" x14ac:dyDescent="0.2"/>
    <row r="1405" ht="12.75" hidden="1" x14ac:dyDescent="0.2"/>
    <row r="1406" ht="12.75" hidden="1" x14ac:dyDescent="0.2"/>
    <row r="1407" ht="12.75" hidden="1" x14ac:dyDescent="0.2"/>
    <row r="1408" ht="12.75" hidden="1" x14ac:dyDescent="0.2"/>
    <row r="1409" ht="12.75" hidden="1" x14ac:dyDescent="0.2"/>
    <row r="1410" ht="12.75" hidden="1" x14ac:dyDescent="0.2"/>
    <row r="1411" ht="12.75" hidden="1" x14ac:dyDescent="0.2"/>
    <row r="1412" ht="12.75" hidden="1" x14ac:dyDescent="0.2"/>
    <row r="1413" ht="12.75" hidden="1" x14ac:dyDescent="0.2"/>
    <row r="1414" ht="12.75" hidden="1" x14ac:dyDescent="0.2"/>
    <row r="1415" ht="12.75" hidden="1" x14ac:dyDescent="0.2"/>
    <row r="1416" ht="12.75" hidden="1" x14ac:dyDescent="0.2"/>
    <row r="1417" ht="12.75" hidden="1" x14ac:dyDescent="0.2"/>
    <row r="1418" ht="12.75" hidden="1" x14ac:dyDescent="0.2"/>
    <row r="1419" ht="12.75" hidden="1" x14ac:dyDescent="0.2"/>
    <row r="1420" ht="12.75" hidden="1" x14ac:dyDescent="0.2"/>
    <row r="1421" ht="12.75" hidden="1" x14ac:dyDescent="0.2"/>
    <row r="1422" ht="12.75" hidden="1" x14ac:dyDescent="0.2"/>
    <row r="1423" ht="12.75" hidden="1" x14ac:dyDescent="0.2"/>
    <row r="1424" ht="12.75" hidden="1" x14ac:dyDescent="0.2"/>
    <row r="1425" ht="12.75" hidden="1" x14ac:dyDescent="0.2"/>
    <row r="1426" ht="12.75" hidden="1" x14ac:dyDescent="0.2"/>
    <row r="1427" ht="12.75" hidden="1" x14ac:dyDescent="0.2"/>
    <row r="1428" ht="12.75" hidden="1" x14ac:dyDescent="0.2"/>
    <row r="1429" ht="12.75" hidden="1" x14ac:dyDescent="0.2"/>
    <row r="1430" ht="12.75" hidden="1" x14ac:dyDescent="0.2"/>
    <row r="1431" ht="12.75" hidden="1" x14ac:dyDescent="0.2"/>
    <row r="1432" ht="12.75" hidden="1" x14ac:dyDescent="0.2"/>
    <row r="1433" ht="12.75" hidden="1" x14ac:dyDescent="0.2"/>
    <row r="1434" ht="12.75" hidden="1" x14ac:dyDescent="0.2"/>
    <row r="1435" ht="12.75" hidden="1" x14ac:dyDescent="0.2"/>
    <row r="1436" ht="12.75" hidden="1" x14ac:dyDescent="0.2"/>
    <row r="1437" ht="12.75" hidden="1" x14ac:dyDescent="0.2"/>
    <row r="1438" ht="12.75" hidden="1" x14ac:dyDescent="0.2"/>
    <row r="1439" ht="12.75" hidden="1" x14ac:dyDescent="0.2"/>
    <row r="1440" ht="12.75" hidden="1" x14ac:dyDescent="0.2"/>
    <row r="1441" ht="12.75" hidden="1" x14ac:dyDescent="0.2"/>
    <row r="1442" ht="12.75" hidden="1" x14ac:dyDescent="0.2"/>
    <row r="1443" ht="12.75" hidden="1" x14ac:dyDescent="0.2"/>
    <row r="1444" ht="12.75" hidden="1" x14ac:dyDescent="0.2"/>
    <row r="1445" ht="12.75" hidden="1" x14ac:dyDescent="0.2"/>
    <row r="1446" ht="12.75" hidden="1" x14ac:dyDescent="0.2"/>
    <row r="1447" ht="12.75" hidden="1" x14ac:dyDescent="0.2"/>
    <row r="1448" ht="12.75" hidden="1" x14ac:dyDescent="0.2"/>
    <row r="1449" ht="12.75" hidden="1" x14ac:dyDescent="0.2"/>
    <row r="1450" ht="12.75" hidden="1" x14ac:dyDescent="0.2"/>
    <row r="1451" ht="12.75" hidden="1" x14ac:dyDescent="0.2"/>
    <row r="1452" ht="12.75" hidden="1" x14ac:dyDescent="0.2"/>
    <row r="1453" ht="12.75" hidden="1" x14ac:dyDescent="0.2"/>
    <row r="1454" ht="12.75" hidden="1" x14ac:dyDescent="0.2"/>
    <row r="1455" ht="12.75" hidden="1" x14ac:dyDescent="0.2"/>
    <row r="1456" ht="12.75" hidden="1" x14ac:dyDescent="0.2"/>
    <row r="1457" ht="12.75" hidden="1" x14ac:dyDescent="0.2"/>
    <row r="1458" ht="12.75" hidden="1" x14ac:dyDescent="0.2"/>
    <row r="1459" ht="12.75" hidden="1" x14ac:dyDescent="0.2"/>
    <row r="1460" ht="12.75" hidden="1" x14ac:dyDescent="0.2"/>
    <row r="1461" ht="12.75" hidden="1" x14ac:dyDescent="0.2"/>
    <row r="1462" ht="12.75" hidden="1" x14ac:dyDescent="0.2"/>
    <row r="1463" ht="12.75" hidden="1" x14ac:dyDescent="0.2"/>
    <row r="1464" ht="12.75" hidden="1" x14ac:dyDescent="0.2"/>
    <row r="1465" ht="12.75" hidden="1" x14ac:dyDescent="0.2"/>
    <row r="1466" ht="12.75" hidden="1" x14ac:dyDescent="0.2"/>
    <row r="1467" ht="12.75" hidden="1" x14ac:dyDescent="0.2"/>
    <row r="1468" ht="12.75" hidden="1" x14ac:dyDescent="0.2"/>
    <row r="1469" ht="12.75" hidden="1" x14ac:dyDescent="0.2"/>
    <row r="1470" ht="12.75" hidden="1" x14ac:dyDescent="0.2"/>
    <row r="1471" ht="12.75" hidden="1" x14ac:dyDescent="0.2"/>
    <row r="1472" ht="12.75" hidden="1" x14ac:dyDescent="0.2"/>
    <row r="1473" ht="12.75" hidden="1" x14ac:dyDescent="0.2"/>
    <row r="1474" ht="12.75" hidden="1" x14ac:dyDescent="0.2"/>
    <row r="1475" ht="12.75" hidden="1" x14ac:dyDescent="0.2"/>
    <row r="1476" ht="12.75" hidden="1" x14ac:dyDescent="0.2"/>
    <row r="1477" ht="12.75" hidden="1" x14ac:dyDescent="0.2"/>
    <row r="1478" ht="12.75" hidden="1" x14ac:dyDescent="0.2"/>
    <row r="1479" ht="12.75" hidden="1" x14ac:dyDescent="0.2"/>
    <row r="1480" ht="12.75" hidden="1" x14ac:dyDescent="0.2"/>
    <row r="1481" ht="12.75" hidden="1" x14ac:dyDescent="0.2"/>
    <row r="1482" ht="12.75" hidden="1" x14ac:dyDescent="0.2"/>
    <row r="1483" ht="12.75" hidden="1" x14ac:dyDescent="0.2"/>
    <row r="1484" ht="12.75" hidden="1" x14ac:dyDescent="0.2"/>
    <row r="1485" ht="12.75" hidden="1" x14ac:dyDescent="0.2"/>
    <row r="1486" ht="12.75" hidden="1" x14ac:dyDescent="0.2"/>
    <row r="1487" ht="12.75" hidden="1" x14ac:dyDescent="0.2"/>
    <row r="1488" ht="12.75" hidden="1" x14ac:dyDescent="0.2"/>
    <row r="1489" ht="12.75" hidden="1" x14ac:dyDescent="0.2"/>
    <row r="1490" ht="12.75" hidden="1" x14ac:dyDescent="0.2"/>
    <row r="1491" ht="12.75" hidden="1" x14ac:dyDescent="0.2"/>
    <row r="1492" ht="12.75" hidden="1" x14ac:dyDescent="0.2"/>
    <row r="1493" ht="12.75" hidden="1" x14ac:dyDescent="0.2"/>
    <row r="1494" ht="12.75" hidden="1" x14ac:dyDescent="0.2"/>
    <row r="1495" ht="12.75" hidden="1" x14ac:dyDescent="0.2"/>
    <row r="1496" ht="12.75" hidden="1" x14ac:dyDescent="0.2"/>
    <row r="1497" ht="12.75" hidden="1" x14ac:dyDescent="0.2"/>
    <row r="1498" ht="12.75" hidden="1" x14ac:dyDescent="0.2"/>
    <row r="1499" ht="12.75" hidden="1" x14ac:dyDescent="0.2"/>
    <row r="1500" ht="12.75" hidden="1" x14ac:dyDescent="0.2"/>
    <row r="1501" ht="12.75" hidden="1" x14ac:dyDescent="0.2"/>
    <row r="1502" ht="12.75" hidden="1" x14ac:dyDescent="0.2"/>
    <row r="1503" ht="12.75" hidden="1" x14ac:dyDescent="0.2"/>
    <row r="1504" ht="12.75" hidden="1" x14ac:dyDescent="0.2"/>
    <row r="1505" ht="12.75" hidden="1" x14ac:dyDescent="0.2"/>
    <row r="1506" ht="12.75" hidden="1" x14ac:dyDescent="0.2"/>
    <row r="1507" ht="12.75" hidden="1" x14ac:dyDescent="0.2"/>
    <row r="1508" ht="12.75" hidden="1" x14ac:dyDescent="0.2"/>
    <row r="1509" ht="12.75" hidden="1" x14ac:dyDescent="0.2"/>
    <row r="1510" ht="12.75" hidden="1" x14ac:dyDescent="0.2"/>
    <row r="1511" ht="12.75" hidden="1" x14ac:dyDescent="0.2"/>
    <row r="1512" ht="12.75" hidden="1" x14ac:dyDescent="0.2"/>
    <row r="1513" ht="12.75" hidden="1" x14ac:dyDescent="0.2"/>
    <row r="1514" ht="12.75" hidden="1" x14ac:dyDescent="0.2"/>
    <row r="1515" ht="12.75" hidden="1" x14ac:dyDescent="0.2"/>
    <row r="1516" ht="12.75" hidden="1" x14ac:dyDescent="0.2"/>
    <row r="1517" ht="12.75" hidden="1" x14ac:dyDescent="0.2"/>
    <row r="1518" ht="12.75" hidden="1" x14ac:dyDescent="0.2"/>
    <row r="1519" ht="12.75" hidden="1" x14ac:dyDescent="0.2"/>
    <row r="1520" ht="12.75" hidden="1" x14ac:dyDescent="0.2"/>
    <row r="1521" ht="12.75" hidden="1" x14ac:dyDescent="0.2"/>
    <row r="1522" ht="12.75" hidden="1" x14ac:dyDescent="0.2"/>
    <row r="1523" ht="12.75" hidden="1" x14ac:dyDescent="0.2"/>
    <row r="1524" ht="12.75" hidden="1" x14ac:dyDescent="0.2"/>
    <row r="1525" ht="12.75" hidden="1" x14ac:dyDescent="0.2"/>
    <row r="1526" ht="12.75" hidden="1" x14ac:dyDescent="0.2"/>
    <row r="1527" ht="12.75" hidden="1" x14ac:dyDescent="0.2"/>
    <row r="1528" ht="12.75" hidden="1" x14ac:dyDescent="0.2"/>
    <row r="1529" ht="12.75" hidden="1" x14ac:dyDescent="0.2"/>
    <row r="1530" ht="12.75" hidden="1" x14ac:dyDescent="0.2"/>
    <row r="1531" ht="12.75" hidden="1" x14ac:dyDescent="0.2"/>
    <row r="1532" ht="12.75" hidden="1" x14ac:dyDescent="0.2"/>
    <row r="1533" ht="12.75" hidden="1" x14ac:dyDescent="0.2"/>
    <row r="1534" ht="12.75" hidden="1" x14ac:dyDescent="0.2"/>
    <row r="1535" ht="12.75" hidden="1" x14ac:dyDescent="0.2"/>
    <row r="1536" ht="12.75" hidden="1" x14ac:dyDescent="0.2"/>
    <row r="1537" ht="12.75" hidden="1" x14ac:dyDescent="0.2"/>
    <row r="1538" ht="12.75" hidden="1" x14ac:dyDescent="0.2"/>
    <row r="1539" ht="12.75" hidden="1" x14ac:dyDescent="0.2"/>
    <row r="1540" ht="12.75" hidden="1" x14ac:dyDescent="0.2"/>
    <row r="1541" ht="12.75" hidden="1" x14ac:dyDescent="0.2"/>
    <row r="1542" ht="12.75" hidden="1" x14ac:dyDescent="0.2"/>
    <row r="1543" ht="12.75" hidden="1" x14ac:dyDescent="0.2"/>
    <row r="1544" ht="12.75" hidden="1" x14ac:dyDescent="0.2"/>
    <row r="1545" ht="12.75" hidden="1" x14ac:dyDescent="0.2"/>
    <row r="1546" ht="12.75" hidden="1" x14ac:dyDescent="0.2"/>
    <row r="1547" ht="12.75" hidden="1" x14ac:dyDescent="0.2"/>
    <row r="1548" ht="12.75" hidden="1" x14ac:dyDescent="0.2"/>
    <row r="1549" ht="12.75" hidden="1" x14ac:dyDescent="0.2"/>
    <row r="1550" ht="12.75" hidden="1" x14ac:dyDescent="0.2"/>
    <row r="1551" ht="12.75" hidden="1" x14ac:dyDescent="0.2"/>
    <row r="1552" ht="12.75" hidden="1" x14ac:dyDescent="0.2"/>
    <row r="1553" ht="12.75" hidden="1" x14ac:dyDescent="0.2"/>
    <row r="1554" ht="12.75" hidden="1" x14ac:dyDescent="0.2"/>
    <row r="1555" ht="12.75" hidden="1" x14ac:dyDescent="0.2"/>
    <row r="1556" ht="12.75" hidden="1" x14ac:dyDescent="0.2"/>
    <row r="1557" ht="12.75" hidden="1" x14ac:dyDescent="0.2"/>
    <row r="1558" ht="12.75" hidden="1" x14ac:dyDescent="0.2"/>
    <row r="1559" ht="12.75" hidden="1" x14ac:dyDescent="0.2"/>
    <row r="1560" ht="12.75" hidden="1" x14ac:dyDescent="0.2"/>
    <row r="1561" ht="12.75" hidden="1" x14ac:dyDescent="0.2"/>
    <row r="1562" ht="12.75" hidden="1" x14ac:dyDescent="0.2"/>
    <row r="1563" ht="12.75" hidden="1" x14ac:dyDescent="0.2"/>
    <row r="1564" ht="12.75" hidden="1" x14ac:dyDescent="0.2"/>
    <row r="1565" ht="12.75" hidden="1" x14ac:dyDescent="0.2"/>
    <row r="1566" ht="12.75" hidden="1" x14ac:dyDescent="0.2"/>
    <row r="1567" ht="12.75" hidden="1" x14ac:dyDescent="0.2"/>
    <row r="1568" ht="12.75" hidden="1" x14ac:dyDescent="0.2"/>
    <row r="1569" ht="12.75" hidden="1" x14ac:dyDescent="0.2"/>
    <row r="1570" ht="12.75" hidden="1" x14ac:dyDescent="0.2"/>
    <row r="1571" ht="12.75" hidden="1" x14ac:dyDescent="0.2"/>
    <row r="1572" ht="12.75" hidden="1" x14ac:dyDescent="0.2"/>
    <row r="1573" ht="12.75" hidden="1" x14ac:dyDescent="0.2"/>
    <row r="1574" ht="12.75" hidden="1" x14ac:dyDescent="0.2"/>
    <row r="1575" ht="12.75" hidden="1" x14ac:dyDescent="0.2"/>
    <row r="1576" ht="12.75" hidden="1" x14ac:dyDescent="0.2"/>
    <row r="1577" ht="12.75" hidden="1" x14ac:dyDescent="0.2"/>
    <row r="1578" ht="12.75" hidden="1" x14ac:dyDescent="0.2"/>
    <row r="1579" ht="12.75" hidden="1" x14ac:dyDescent="0.2"/>
    <row r="1580" ht="12.75" hidden="1" x14ac:dyDescent="0.2"/>
    <row r="1581" ht="12.75" hidden="1" x14ac:dyDescent="0.2"/>
    <row r="1582" ht="12.75" hidden="1" x14ac:dyDescent="0.2"/>
    <row r="1583" ht="12.75" hidden="1" x14ac:dyDescent="0.2"/>
    <row r="1584" ht="12.75" hidden="1" x14ac:dyDescent="0.2"/>
    <row r="1585" ht="12.75" hidden="1" x14ac:dyDescent="0.2"/>
    <row r="1586" ht="12.75" hidden="1" x14ac:dyDescent="0.2"/>
    <row r="1587" ht="12.75" hidden="1" x14ac:dyDescent="0.2"/>
    <row r="1588" ht="12.75" hidden="1" x14ac:dyDescent="0.2"/>
    <row r="1589" ht="12.75" hidden="1" x14ac:dyDescent="0.2"/>
    <row r="1590" ht="12.75" hidden="1" x14ac:dyDescent="0.2"/>
    <row r="1591" ht="12.75" hidden="1" x14ac:dyDescent="0.2"/>
    <row r="1592" ht="12.75" hidden="1" x14ac:dyDescent="0.2"/>
    <row r="1593" ht="12.75" hidden="1" x14ac:dyDescent="0.2"/>
    <row r="1594" ht="12.75" hidden="1" x14ac:dyDescent="0.2"/>
    <row r="1595" ht="12.75" hidden="1" x14ac:dyDescent="0.2"/>
    <row r="1596" ht="12.75" hidden="1" x14ac:dyDescent="0.2"/>
    <row r="1597" ht="12.75" hidden="1" x14ac:dyDescent="0.2"/>
    <row r="1598" ht="12.75" hidden="1" x14ac:dyDescent="0.2"/>
    <row r="1599" ht="12.75" hidden="1" x14ac:dyDescent="0.2"/>
    <row r="1600" ht="12.75" hidden="1" x14ac:dyDescent="0.2"/>
    <row r="1601" ht="12.75" hidden="1" x14ac:dyDescent="0.2"/>
    <row r="1602" ht="12.75" hidden="1" x14ac:dyDescent="0.2"/>
    <row r="1603" ht="12.75" hidden="1" x14ac:dyDescent="0.2"/>
    <row r="1604" ht="12.75" hidden="1" x14ac:dyDescent="0.2"/>
    <row r="1605" ht="12.75" hidden="1" x14ac:dyDescent="0.2"/>
    <row r="1606" ht="12.75" hidden="1" x14ac:dyDescent="0.2"/>
    <row r="1607" ht="12.75" hidden="1" x14ac:dyDescent="0.2"/>
    <row r="1608" ht="12.75" hidden="1" x14ac:dyDescent="0.2"/>
    <row r="1609" ht="12.75" hidden="1" x14ac:dyDescent="0.2"/>
    <row r="1610" ht="12.75" hidden="1" x14ac:dyDescent="0.2"/>
    <row r="1611" ht="12.75" hidden="1" x14ac:dyDescent="0.2"/>
    <row r="1612" ht="12.75" hidden="1" x14ac:dyDescent="0.2"/>
    <row r="1613" ht="12.75" hidden="1" x14ac:dyDescent="0.2"/>
    <row r="1614" ht="12.75" hidden="1" x14ac:dyDescent="0.2"/>
    <row r="1615" ht="12.75" hidden="1" x14ac:dyDescent="0.2"/>
    <row r="1616" ht="12.75" hidden="1" x14ac:dyDescent="0.2"/>
    <row r="1617" ht="12.75" hidden="1" x14ac:dyDescent="0.2"/>
    <row r="1618" ht="12.75" hidden="1" x14ac:dyDescent="0.2"/>
    <row r="1619" ht="12.75" hidden="1" x14ac:dyDescent="0.2"/>
    <row r="1620" ht="12.75" hidden="1" x14ac:dyDescent="0.2"/>
    <row r="1621" ht="12.75" hidden="1" x14ac:dyDescent="0.2"/>
    <row r="1622" ht="12.75" hidden="1" x14ac:dyDescent="0.2"/>
    <row r="1623" ht="12.75" hidden="1" x14ac:dyDescent="0.2"/>
    <row r="1624" ht="12.75" hidden="1" x14ac:dyDescent="0.2"/>
    <row r="1625" ht="12.75" hidden="1" x14ac:dyDescent="0.2"/>
    <row r="1626" ht="12.75" hidden="1" x14ac:dyDescent="0.2"/>
    <row r="1627" ht="12.75" hidden="1" x14ac:dyDescent="0.2"/>
    <row r="1628" ht="12.75" hidden="1" x14ac:dyDescent="0.2"/>
    <row r="1629" ht="12.75" hidden="1" x14ac:dyDescent="0.2"/>
    <row r="1630" ht="12.75" hidden="1" x14ac:dyDescent="0.2"/>
    <row r="1631" ht="12.75" hidden="1" x14ac:dyDescent="0.2"/>
    <row r="1632" ht="12.75" hidden="1" x14ac:dyDescent="0.2"/>
    <row r="1633" ht="12.75" hidden="1" x14ac:dyDescent="0.2"/>
    <row r="1634" ht="12.75" hidden="1" x14ac:dyDescent="0.2"/>
    <row r="1635" ht="12.75" hidden="1" x14ac:dyDescent="0.2"/>
    <row r="1636" ht="12.75" hidden="1" x14ac:dyDescent="0.2"/>
    <row r="1637" ht="12.75" hidden="1" x14ac:dyDescent="0.2"/>
    <row r="1638" ht="12.75" hidden="1" x14ac:dyDescent="0.2"/>
    <row r="1639" ht="12.75" hidden="1" x14ac:dyDescent="0.2"/>
    <row r="1640" ht="12.75" hidden="1" x14ac:dyDescent="0.2"/>
    <row r="1641" ht="12.75" hidden="1" x14ac:dyDescent="0.2"/>
    <row r="1642" ht="12.75" hidden="1" x14ac:dyDescent="0.2"/>
    <row r="1643" ht="12.75" hidden="1" x14ac:dyDescent="0.2"/>
    <row r="1644" ht="12.75" hidden="1" x14ac:dyDescent="0.2"/>
    <row r="1645" ht="12.75" hidden="1" x14ac:dyDescent="0.2"/>
    <row r="1646" ht="12.75" hidden="1" x14ac:dyDescent="0.2"/>
    <row r="1647" ht="12.75" hidden="1" x14ac:dyDescent="0.2"/>
    <row r="1648" ht="12.75" hidden="1" x14ac:dyDescent="0.2"/>
    <row r="1649" ht="12.75" hidden="1" x14ac:dyDescent="0.2"/>
    <row r="1650" ht="12.75" hidden="1" x14ac:dyDescent="0.2"/>
    <row r="1651" ht="12.75" hidden="1" x14ac:dyDescent="0.2"/>
    <row r="1652" ht="12.75" hidden="1" x14ac:dyDescent="0.2"/>
    <row r="1653" ht="12.75" hidden="1" x14ac:dyDescent="0.2"/>
    <row r="1654" ht="12.75" hidden="1" x14ac:dyDescent="0.2"/>
    <row r="1655" ht="12.75" hidden="1" x14ac:dyDescent="0.2"/>
    <row r="1656" ht="12.75" hidden="1" x14ac:dyDescent="0.2"/>
    <row r="1657" ht="12.75" hidden="1" x14ac:dyDescent="0.2"/>
    <row r="1658" ht="12.75" hidden="1" x14ac:dyDescent="0.2"/>
    <row r="1659" ht="12.75" hidden="1" x14ac:dyDescent="0.2"/>
    <row r="1660" ht="12.75" hidden="1" x14ac:dyDescent="0.2"/>
    <row r="1661" ht="12.75" hidden="1" x14ac:dyDescent="0.2"/>
    <row r="1662" ht="12.75" hidden="1" x14ac:dyDescent="0.2"/>
    <row r="1663" ht="12.75" hidden="1" x14ac:dyDescent="0.2"/>
    <row r="1664" ht="12.75" hidden="1" x14ac:dyDescent="0.2"/>
    <row r="1665" ht="12.75" hidden="1" x14ac:dyDescent="0.2"/>
    <row r="1666" ht="12.75" hidden="1" x14ac:dyDescent="0.2"/>
    <row r="1667" ht="12.75" hidden="1" x14ac:dyDescent="0.2"/>
    <row r="1668" ht="12.75" hidden="1" x14ac:dyDescent="0.2"/>
    <row r="1669" ht="12.75" hidden="1" x14ac:dyDescent="0.2"/>
    <row r="1670" ht="12.75" hidden="1" x14ac:dyDescent="0.2"/>
    <row r="1671" ht="12.75" hidden="1" x14ac:dyDescent="0.2"/>
    <row r="1672" ht="12.75" hidden="1" x14ac:dyDescent="0.2"/>
    <row r="1673" ht="12.75" hidden="1" x14ac:dyDescent="0.2"/>
    <row r="1674" ht="12.75" hidden="1" x14ac:dyDescent="0.2"/>
    <row r="1675" ht="12.75" hidden="1" x14ac:dyDescent="0.2"/>
    <row r="1676" ht="12.75" hidden="1" x14ac:dyDescent="0.2"/>
    <row r="1677" ht="12.75" hidden="1" x14ac:dyDescent="0.2"/>
    <row r="1678" ht="12.75" hidden="1" x14ac:dyDescent="0.2"/>
    <row r="1679" ht="12.75" hidden="1" x14ac:dyDescent="0.2"/>
    <row r="1680" ht="12.75" hidden="1" x14ac:dyDescent="0.2"/>
    <row r="1681" ht="12.75" hidden="1" x14ac:dyDescent="0.2"/>
    <row r="1682" ht="12.75" hidden="1" x14ac:dyDescent="0.2"/>
    <row r="1683" ht="12.75" hidden="1" x14ac:dyDescent="0.2"/>
    <row r="1684" ht="12.75" hidden="1" x14ac:dyDescent="0.2"/>
    <row r="1685" ht="12.75" hidden="1" x14ac:dyDescent="0.2"/>
    <row r="1686" ht="12.75" hidden="1" x14ac:dyDescent="0.2"/>
    <row r="1687" ht="12.75" hidden="1" x14ac:dyDescent="0.2"/>
    <row r="1688" ht="12.75" hidden="1" x14ac:dyDescent="0.2"/>
    <row r="1689" ht="12.75" hidden="1" x14ac:dyDescent="0.2"/>
    <row r="1690" ht="12.75" hidden="1" x14ac:dyDescent="0.2"/>
    <row r="1691" ht="12.75" hidden="1" x14ac:dyDescent="0.2"/>
    <row r="1692" ht="12.75" hidden="1" x14ac:dyDescent="0.2"/>
    <row r="1693" ht="12.75" hidden="1" x14ac:dyDescent="0.2"/>
    <row r="1694" ht="12.75" hidden="1" x14ac:dyDescent="0.2"/>
    <row r="1695" ht="12.75" hidden="1" x14ac:dyDescent="0.2"/>
    <row r="1696" ht="12.75" hidden="1" x14ac:dyDescent="0.2"/>
    <row r="1697" ht="12.75" hidden="1" x14ac:dyDescent="0.2"/>
    <row r="1698" ht="12.75" hidden="1" x14ac:dyDescent="0.2"/>
    <row r="1699" ht="12.75" hidden="1" x14ac:dyDescent="0.2"/>
    <row r="1700" ht="12.75" hidden="1" x14ac:dyDescent="0.2"/>
    <row r="1701" ht="12.75" hidden="1" x14ac:dyDescent="0.2"/>
    <row r="1702" ht="12.75" hidden="1" x14ac:dyDescent="0.2"/>
    <row r="1703" ht="12.75" hidden="1" x14ac:dyDescent="0.2"/>
    <row r="1704" ht="12.75" hidden="1" x14ac:dyDescent="0.2"/>
    <row r="1705" ht="12.75" hidden="1" x14ac:dyDescent="0.2"/>
    <row r="1706" ht="12.75" hidden="1" x14ac:dyDescent="0.2"/>
    <row r="1707" ht="12.75" hidden="1" x14ac:dyDescent="0.2"/>
    <row r="1708" ht="12.75" hidden="1" x14ac:dyDescent="0.2"/>
    <row r="1709" ht="12.75" hidden="1" x14ac:dyDescent="0.2"/>
    <row r="1710" ht="12.75" hidden="1" x14ac:dyDescent="0.2"/>
    <row r="1711" ht="12.75" hidden="1" x14ac:dyDescent="0.2"/>
    <row r="1712" ht="12.75" hidden="1" x14ac:dyDescent="0.2"/>
    <row r="1713" ht="12.75" hidden="1" x14ac:dyDescent="0.2"/>
    <row r="1714" ht="12.75" hidden="1" x14ac:dyDescent="0.2"/>
    <row r="1715" ht="12.75" hidden="1" x14ac:dyDescent="0.2"/>
    <row r="1716" ht="12.75" hidden="1" x14ac:dyDescent="0.2"/>
    <row r="1717" ht="12.75" hidden="1" x14ac:dyDescent="0.2"/>
    <row r="1718" ht="12.75" hidden="1" x14ac:dyDescent="0.2"/>
    <row r="1719" ht="12.75" hidden="1" x14ac:dyDescent="0.2"/>
    <row r="1720" ht="12.75" hidden="1" x14ac:dyDescent="0.2"/>
    <row r="1721" ht="12.75" hidden="1" x14ac:dyDescent="0.2"/>
    <row r="1722" ht="12.75" hidden="1" x14ac:dyDescent="0.2"/>
    <row r="1723" ht="12.75" hidden="1" x14ac:dyDescent="0.2"/>
    <row r="1724" ht="12.75" hidden="1" x14ac:dyDescent="0.2"/>
    <row r="1725" ht="12.75" hidden="1" x14ac:dyDescent="0.2"/>
    <row r="1726" ht="12.75" hidden="1" x14ac:dyDescent="0.2"/>
    <row r="1727" ht="12.75" hidden="1" x14ac:dyDescent="0.2"/>
    <row r="1728" ht="12.75" hidden="1" x14ac:dyDescent="0.2"/>
    <row r="1729" ht="12.75" hidden="1" x14ac:dyDescent="0.2"/>
    <row r="1730" ht="12.75" hidden="1" x14ac:dyDescent="0.2"/>
    <row r="1731" ht="12.75" hidden="1" x14ac:dyDescent="0.2"/>
    <row r="1732" ht="12.75" hidden="1" x14ac:dyDescent="0.2"/>
    <row r="1733" ht="12.75" hidden="1" x14ac:dyDescent="0.2"/>
    <row r="1734" ht="12.75" hidden="1" x14ac:dyDescent="0.2"/>
    <row r="1735" ht="12.75" hidden="1" x14ac:dyDescent="0.2"/>
    <row r="1736" ht="12.75" hidden="1" x14ac:dyDescent="0.2"/>
    <row r="1737" ht="12.75" hidden="1" x14ac:dyDescent="0.2"/>
    <row r="1738" ht="12.75" hidden="1" x14ac:dyDescent="0.2"/>
    <row r="1739" ht="12.75" hidden="1" x14ac:dyDescent="0.2"/>
    <row r="1740" ht="12.75" hidden="1" x14ac:dyDescent="0.2"/>
    <row r="1741" ht="12.75" hidden="1" x14ac:dyDescent="0.2"/>
    <row r="1742" ht="12.75" hidden="1" x14ac:dyDescent="0.2"/>
    <row r="1743" ht="12.75" hidden="1" x14ac:dyDescent="0.2"/>
    <row r="1744" ht="12.75" hidden="1" x14ac:dyDescent="0.2"/>
    <row r="1745" ht="12.75" hidden="1" x14ac:dyDescent="0.2"/>
    <row r="1746" ht="12.75" hidden="1" x14ac:dyDescent="0.2"/>
    <row r="1747" ht="12.75" hidden="1" x14ac:dyDescent="0.2"/>
    <row r="1748" ht="12.75" hidden="1" x14ac:dyDescent="0.2"/>
    <row r="1749" ht="12.75" hidden="1" x14ac:dyDescent="0.2"/>
    <row r="1750" ht="12.75" hidden="1" x14ac:dyDescent="0.2"/>
    <row r="1751" ht="12.75" hidden="1" x14ac:dyDescent="0.2"/>
    <row r="1752" ht="12.75" hidden="1" x14ac:dyDescent="0.2"/>
    <row r="1753" ht="12.75" hidden="1" x14ac:dyDescent="0.2"/>
    <row r="1754" ht="12.75" hidden="1" x14ac:dyDescent="0.2"/>
    <row r="1755" ht="12.75" hidden="1" x14ac:dyDescent="0.2"/>
    <row r="1756" ht="12.75" hidden="1" x14ac:dyDescent="0.2"/>
    <row r="1757" ht="12.75" hidden="1" x14ac:dyDescent="0.2"/>
    <row r="1758" ht="12.75" hidden="1" x14ac:dyDescent="0.2"/>
    <row r="1759" ht="12.75" hidden="1" x14ac:dyDescent="0.2"/>
    <row r="1760" ht="12.75" hidden="1" x14ac:dyDescent="0.2"/>
    <row r="1761" ht="12.75" hidden="1" x14ac:dyDescent="0.2"/>
    <row r="1762" ht="12.75" hidden="1" x14ac:dyDescent="0.2"/>
    <row r="1763" ht="12.75" hidden="1" x14ac:dyDescent="0.2"/>
    <row r="1764" ht="12.75" hidden="1" x14ac:dyDescent="0.2"/>
    <row r="1765" ht="12.75" hidden="1" x14ac:dyDescent="0.2"/>
    <row r="1766" ht="12.75" hidden="1" x14ac:dyDescent="0.2"/>
    <row r="1767" ht="12.75" hidden="1" x14ac:dyDescent="0.2"/>
    <row r="1768" ht="12.75" hidden="1" x14ac:dyDescent="0.2"/>
    <row r="1769" ht="12.75" hidden="1" x14ac:dyDescent="0.2"/>
    <row r="1770" ht="12.75" hidden="1" x14ac:dyDescent="0.2"/>
    <row r="1771" ht="12.75" hidden="1" x14ac:dyDescent="0.2"/>
    <row r="1772" ht="12.75" hidden="1" x14ac:dyDescent="0.2"/>
    <row r="1773" ht="12.75" hidden="1" x14ac:dyDescent="0.2"/>
    <row r="1774" ht="12.75" hidden="1" x14ac:dyDescent="0.2"/>
    <row r="1775" ht="12.75" hidden="1" x14ac:dyDescent="0.2"/>
    <row r="1776" ht="12.75" hidden="1" x14ac:dyDescent="0.2"/>
    <row r="1777" ht="12.75" hidden="1" x14ac:dyDescent="0.2"/>
    <row r="1778" ht="12.75" hidden="1" x14ac:dyDescent="0.2"/>
    <row r="1779" ht="12.75" hidden="1" x14ac:dyDescent="0.2"/>
    <row r="1780" ht="12.75" hidden="1" x14ac:dyDescent="0.2"/>
    <row r="1781" ht="12.75" hidden="1" x14ac:dyDescent="0.2"/>
    <row r="1782" ht="12.75" hidden="1" x14ac:dyDescent="0.2"/>
    <row r="1783" ht="12.75" hidden="1" x14ac:dyDescent="0.2"/>
    <row r="1784" ht="12.75" hidden="1" x14ac:dyDescent="0.2"/>
    <row r="1785" ht="12.75" hidden="1" x14ac:dyDescent="0.2"/>
    <row r="1786" ht="12.75" hidden="1" x14ac:dyDescent="0.2"/>
    <row r="1787" ht="12.75" hidden="1" x14ac:dyDescent="0.2"/>
    <row r="1788" ht="12.75" hidden="1" x14ac:dyDescent="0.2"/>
    <row r="1789" ht="12.75" hidden="1" x14ac:dyDescent="0.2"/>
    <row r="1790" ht="12.75" hidden="1" x14ac:dyDescent="0.2"/>
    <row r="1791" ht="12.75" hidden="1" x14ac:dyDescent="0.2"/>
    <row r="1792" ht="12.75" hidden="1" x14ac:dyDescent="0.2"/>
    <row r="1793" ht="12.75" hidden="1" x14ac:dyDescent="0.2"/>
    <row r="1794" ht="12.75" hidden="1" x14ac:dyDescent="0.2"/>
    <row r="1795" ht="12.75" hidden="1" x14ac:dyDescent="0.2"/>
    <row r="1796" ht="12.75" hidden="1" x14ac:dyDescent="0.2"/>
    <row r="1797" ht="12.75" hidden="1" x14ac:dyDescent="0.2"/>
    <row r="1798" ht="12.75" hidden="1" x14ac:dyDescent="0.2"/>
    <row r="1799" ht="12.75" hidden="1" x14ac:dyDescent="0.2"/>
    <row r="1800" ht="12.75" hidden="1" x14ac:dyDescent="0.2"/>
    <row r="1801" ht="12.75" hidden="1" x14ac:dyDescent="0.2"/>
    <row r="1802" ht="12.75" hidden="1" x14ac:dyDescent="0.2"/>
    <row r="1803" ht="12.75" hidden="1" x14ac:dyDescent="0.2"/>
    <row r="1804" ht="12.75" hidden="1" x14ac:dyDescent="0.2"/>
    <row r="1805" ht="12.75" hidden="1" x14ac:dyDescent="0.2"/>
    <row r="1806" ht="12.75" hidden="1" x14ac:dyDescent="0.2"/>
    <row r="1807" ht="12.75" hidden="1" x14ac:dyDescent="0.2"/>
    <row r="1808" ht="12.75" hidden="1" x14ac:dyDescent="0.2"/>
    <row r="1809" ht="12.75" hidden="1" x14ac:dyDescent="0.2"/>
    <row r="1810" ht="12.75" hidden="1" x14ac:dyDescent="0.2"/>
    <row r="1811" ht="12.75" hidden="1" x14ac:dyDescent="0.2"/>
    <row r="1812" ht="12.75" hidden="1" x14ac:dyDescent="0.2"/>
    <row r="1813" ht="12.75" hidden="1" x14ac:dyDescent="0.2"/>
    <row r="1814" ht="12.75" hidden="1" x14ac:dyDescent="0.2"/>
    <row r="1815" ht="12.75" hidden="1" x14ac:dyDescent="0.2"/>
    <row r="1816" ht="12.75" hidden="1" x14ac:dyDescent="0.2"/>
    <row r="1817" ht="12.75" hidden="1" x14ac:dyDescent="0.2"/>
    <row r="1818" ht="12.75" hidden="1" x14ac:dyDescent="0.2"/>
    <row r="1819" ht="12.75" hidden="1" x14ac:dyDescent="0.2"/>
    <row r="1820" ht="12.75" hidden="1" x14ac:dyDescent="0.2"/>
    <row r="1821" ht="12.75" hidden="1" x14ac:dyDescent="0.2"/>
    <row r="1822" ht="12.75" hidden="1" x14ac:dyDescent="0.2"/>
    <row r="1823" ht="12.75" hidden="1" x14ac:dyDescent="0.2"/>
    <row r="1824" ht="12.75" hidden="1" x14ac:dyDescent="0.2"/>
    <row r="1825" ht="12.75" hidden="1" x14ac:dyDescent="0.2"/>
    <row r="1826" ht="12.75" hidden="1" x14ac:dyDescent="0.2"/>
    <row r="1827" ht="12.75" hidden="1" x14ac:dyDescent="0.2"/>
    <row r="1828" ht="12.75" hidden="1" x14ac:dyDescent="0.2"/>
    <row r="1829" ht="12.75" hidden="1" x14ac:dyDescent="0.2"/>
    <row r="1830" ht="12.75" hidden="1" x14ac:dyDescent="0.2"/>
    <row r="1831" ht="12.75" hidden="1" x14ac:dyDescent="0.2"/>
    <row r="1832" ht="12.75" hidden="1" x14ac:dyDescent="0.2"/>
    <row r="1833" ht="12.75" hidden="1" x14ac:dyDescent="0.2"/>
    <row r="1834" ht="12.75" hidden="1" x14ac:dyDescent="0.2"/>
    <row r="1835" ht="12.75" hidden="1" x14ac:dyDescent="0.2"/>
    <row r="1836" ht="12.75" hidden="1" x14ac:dyDescent="0.2"/>
    <row r="1837" ht="12.75" hidden="1" x14ac:dyDescent="0.2"/>
    <row r="1838" ht="12.75" hidden="1" x14ac:dyDescent="0.2"/>
    <row r="1839" ht="12.75" hidden="1" x14ac:dyDescent="0.2"/>
    <row r="1840" ht="12.75" hidden="1" x14ac:dyDescent="0.2"/>
    <row r="1841" ht="12.75" hidden="1" x14ac:dyDescent="0.2"/>
    <row r="1842" ht="12.75" hidden="1" x14ac:dyDescent="0.2"/>
    <row r="1843" ht="12.75" hidden="1" x14ac:dyDescent="0.2"/>
    <row r="1844" ht="12.75" hidden="1" x14ac:dyDescent="0.2"/>
    <row r="1845" ht="12.75" hidden="1" x14ac:dyDescent="0.2"/>
    <row r="1846" ht="12.75" hidden="1" x14ac:dyDescent="0.2"/>
    <row r="1847" ht="12.75" hidden="1" x14ac:dyDescent="0.2"/>
    <row r="1848" ht="12.75" hidden="1" x14ac:dyDescent="0.2"/>
    <row r="1849" ht="12.75" hidden="1" x14ac:dyDescent="0.2"/>
    <row r="1850" ht="12.75" hidden="1" x14ac:dyDescent="0.2"/>
    <row r="1851" ht="12.75" hidden="1" x14ac:dyDescent="0.2"/>
    <row r="1852" ht="12.75" hidden="1" x14ac:dyDescent="0.2"/>
    <row r="1853" ht="12.75" hidden="1" x14ac:dyDescent="0.2"/>
    <row r="1854" ht="12.75" hidden="1" x14ac:dyDescent="0.2"/>
    <row r="1855" ht="12.75" hidden="1" x14ac:dyDescent="0.2"/>
    <row r="1856" ht="12.75" hidden="1" x14ac:dyDescent="0.2"/>
    <row r="1857" ht="12.75" hidden="1" x14ac:dyDescent="0.2"/>
    <row r="1858" ht="12.75" hidden="1" x14ac:dyDescent="0.2"/>
    <row r="1859" ht="12.75" hidden="1" x14ac:dyDescent="0.2"/>
    <row r="1860" ht="12.75" hidden="1" x14ac:dyDescent="0.2"/>
    <row r="1861" ht="12.75" hidden="1" x14ac:dyDescent="0.2"/>
    <row r="1862" ht="12.75" hidden="1" x14ac:dyDescent="0.2"/>
    <row r="1863" ht="12.75" hidden="1" x14ac:dyDescent="0.2"/>
    <row r="1864" ht="12.75" hidden="1" x14ac:dyDescent="0.2"/>
    <row r="1865" ht="12.75" hidden="1" x14ac:dyDescent="0.2"/>
    <row r="1866" ht="12.75" hidden="1" x14ac:dyDescent="0.2"/>
    <row r="1867" ht="12.75" hidden="1" x14ac:dyDescent="0.2"/>
    <row r="1868" ht="12.75" hidden="1" x14ac:dyDescent="0.2"/>
    <row r="1869" ht="12.75" hidden="1" x14ac:dyDescent="0.2"/>
    <row r="1870" ht="12.75" hidden="1" x14ac:dyDescent="0.2"/>
    <row r="1871" ht="12.75" hidden="1" x14ac:dyDescent="0.2"/>
    <row r="1872" ht="12.75" hidden="1" x14ac:dyDescent="0.2"/>
    <row r="1873" ht="12.75" hidden="1" x14ac:dyDescent="0.2"/>
    <row r="1874" ht="12.75" hidden="1" x14ac:dyDescent="0.2"/>
    <row r="1875" ht="12.75" hidden="1" x14ac:dyDescent="0.2"/>
    <row r="1876" ht="12.75" hidden="1" x14ac:dyDescent="0.2"/>
    <row r="1877" ht="12.75" hidden="1" x14ac:dyDescent="0.2"/>
    <row r="1878" ht="12.75" hidden="1" x14ac:dyDescent="0.2"/>
    <row r="1879" ht="12.75" hidden="1" x14ac:dyDescent="0.2"/>
    <row r="1880" ht="12.75" hidden="1" x14ac:dyDescent="0.2"/>
    <row r="1881" ht="12.75" hidden="1" x14ac:dyDescent="0.2"/>
    <row r="1882" ht="12.75" hidden="1" x14ac:dyDescent="0.2"/>
    <row r="1883" ht="12.75" hidden="1" x14ac:dyDescent="0.2"/>
    <row r="1884" ht="12.75" hidden="1" x14ac:dyDescent="0.2"/>
    <row r="1885" ht="12.75" hidden="1" x14ac:dyDescent="0.2"/>
    <row r="1886" ht="12.75" hidden="1" x14ac:dyDescent="0.2"/>
    <row r="1887" ht="12.75" hidden="1" x14ac:dyDescent="0.2"/>
    <row r="1888" ht="12.75" hidden="1" x14ac:dyDescent="0.2"/>
    <row r="1889" ht="12.75" hidden="1" x14ac:dyDescent="0.2"/>
    <row r="1890" ht="12.75" hidden="1" x14ac:dyDescent="0.2"/>
    <row r="1891" ht="12.75" hidden="1" x14ac:dyDescent="0.2"/>
    <row r="1892" ht="12.75" hidden="1" x14ac:dyDescent="0.2"/>
    <row r="1893" ht="12.75" hidden="1" x14ac:dyDescent="0.2"/>
    <row r="1894" ht="12.75" hidden="1" x14ac:dyDescent="0.2"/>
    <row r="1895" ht="12.75" hidden="1" x14ac:dyDescent="0.2"/>
    <row r="1896" ht="12.75" hidden="1" x14ac:dyDescent="0.2"/>
    <row r="1897" ht="12.75" hidden="1" x14ac:dyDescent="0.2"/>
    <row r="1898" ht="12.75" hidden="1" x14ac:dyDescent="0.2"/>
    <row r="1899" ht="12.75" hidden="1" x14ac:dyDescent="0.2"/>
    <row r="1900" ht="12.75" hidden="1" x14ac:dyDescent="0.2"/>
    <row r="1901" ht="12.75" hidden="1" x14ac:dyDescent="0.2"/>
    <row r="1902" ht="12.75" hidden="1" x14ac:dyDescent="0.2"/>
    <row r="1903" ht="12.75" hidden="1" x14ac:dyDescent="0.2"/>
    <row r="1904" ht="12.75" hidden="1" x14ac:dyDescent="0.2"/>
    <row r="1905" ht="12.75" hidden="1" x14ac:dyDescent="0.2"/>
    <row r="1906" ht="12.75" hidden="1" x14ac:dyDescent="0.2"/>
    <row r="1907" ht="12.75" hidden="1" x14ac:dyDescent="0.2"/>
    <row r="1908" ht="12.75" hidden="1" x14ac:dyDescent="0.2"/>
    <row r="1909" ht="12.75" hidden="1" x14ac:dyDescent="0.2"/>
    <row r="1910" ht="12.75" hidden="1" x14ac:dyDescent="0.2"/>
    <row r="1911" ht="12.75" hidden="1" x14ac:dyDescent="0.2"/>
    <row r="1912" ht="12.75" hidden="1" x14ac:dyDescent="0.2"/>
    <row r="1913" ht="12.75" hidden="1" x14ac:dyDescent="0.2"/>
    <row r="1914" ht="12.75" hidden="1" x14ac:dyDescent="0.2"/>
    <row r="1915" ht="12.75" hidden="1" x14ac:dyDescent="0.2"/>
    <row r="1916" ht="12.75" hidden="1" x14ac:dyDescent="0.2"/>
    <row r="1917" ht="12.75" hidden="1" x14ac:dyDescent="0.2"/>
    <row r="1918" ht="12.75" hidden="1" x14ac:dyDescent="0.2"/>
    <row r="1919" ht="12.75" hidden="1" x14ac:dyDescent="0.2"/>
    <row r="1920" ht="12.75" hidden="1" x14ac:dyDescent="0.2"/>
    <row r="1921" ht="12.75" hidden="1" x14ac:dyDescent="0.2"/>
    <row r="1922" ht="12.75" hidden="1" x14ac:dyDescent="0.2"/>
    <row r="1923" ht="12.75" hidden="1" x14ac:dyDescent="0.2"/>
    <row r="1924" ht="12.75" hidden="1" x14ac:dyDescent="0.2"/>
    <row r="1925" ht="12.75" hidden="1" x14ac:dyDescent="0.2"/>
    <row r="1926" ht="12.75" hidden="1" x14ac:dyDescent="0.2"/>
    <row r="1927" ht="12.75" hidden="1" x14ac:dyDescent="0.2"/>
    <row r="1928" ht="12.75" hidden="1" x14ac:dyDescent="0.2"/>
    <row r="1929" ht="12.75" hidden="1" x14ac:dyDescent="0.2"/>
    <row r="1930" ht="12.75" hidden="1" x14ac:dyDescent="0.2"/>
    <row r="1931" ht="12.75" hidden="1" x14ac:dyDescent="0.2"/>
    <row r="1932" ht="12.75" hidden="1" x14ac:dyDescent="0.2"/>
    <row r="1933" ht="12.75" hidden="1" x14ac:dyDescent="0.2"/>
    <row r="1934" ht="12.75" hidden="1" x14ac:dyDescent="0.2"/>
    <row r="1935" ht="12.75" hidden="1" x14ac:dyDescent="0.2"/>
    <row r="1936" ht="12.75" hidden="1" x14ac:dyDescent="0.2"/>
    <row r="1937" ht="12.75" hidden="1" x14ac:dyDescent="0.2"/>
    <row r="1938" ht="12.75" hidden="1" x14ac:dyDescent="0.2"/>
    <row r="1939" ht="12.75" hidden="1" x14ac:dyDescent="0.2"/>
    <row r="1940" ht="12.75" hidden="1" x14ac:dyDescent="0.2"/>
    <row r="1941" ht="12.75" hidden="1" x14ac:dyDescent="0.2"/>
    <row r="1942" ht="12.75" hidden="1" x14ac:dyDescent="0.2"/>
    <row r="1943" ht="12.75" hidden="1" x14ac:dyDescent="0.2"/>
    <row r="1944" ht="12.75" hidden="1" x14ac:dyDescent="0.2"/>
    <row r="1945" ht="12.75" hidden="1" x14ac:dyDescent="0.2"/>
    <row r="1946" ht="12.75" hidden="1" x14ac:dyDescent="0.2"/>
    <row r="1947" ht="12.75" hidden="1" x14ac:dyDescent="0.2"/>
    <row r="1948" ht="12.75" hidden="1" x14ac:dyDescent="0.2"/>
    <row r="1949" ht="12.75" hidden="1" x14ac:dyDescent="0.2"/>
    <row r="1950" ht="12.75" hidden="1" x14ac:dyDescent="0.2"/>
    <row r="1951" ht="12.75" hidden="1" x14ac:dyDescent="0.2"/>
    <row r="1952" ht="12.75" hidden="1" x14ac:dyDescent="0.2"/>
    <row r="1953" ht="12.75" hidden="1" x14ac:dyDescent="0.2"/>
    <row r="1954" ht="12.75" hidden="1" x14ac:dyDescent="0.2"/>
    <row r="1955" ht="12.75" hidden="1" x14ac:dyDescent="0.2"/>
    <row r="1956" ht="12.75" hidden="1" x14ac:dyDescent="0.2"/>
    <row r="1957" ht="12.75" hidden="1" x14ac:dyDescent="0.2"/>
    <row r="1958" ht="12.75" hidden="1" x14ac:dyDescent="0.2"/>
    <row r="1959" ht="12.75" hidden="1" x14ac:dyDescent="0.2"/>
    <row r="1960" ht="12.75" hidden="1" x14ac:dyDescent="0.2"/>
    <row r="1961" ht="12.75" hidden="1" x14ac:dyDescent="0.2"/>
    <row r="1962" ht="12.75" hidden="1" x14ac:dyDescent="0.2"/>
    <row r="1963" ht="12.75" hidden="1" x14ac:dyDescent="0.2"/>
    <row r="1964" ht="12.75" hidden="1" x14ac:dyDescent="0.2"/>
    <row r="1965" ht="12.75" hidden="1" x14ac:dyDescent="0.2"/>
    <row r="1966" ht="12.75" hidden="1" x14ac:dyDescent="0.2"/>
    <row r="1967" ht="12.75" hidden="1" x14ac:dyDescent="0.2"/>
    <row r="1968" ht="12.75" hidden="1" x14ac:dyDescent="0.2"/>
    <row r="1969" ht="12.75" hidden="1" x14ac:dyDescent="0.2"/>
    <row r="1970" ht="12.75" hidden="1" x14ac:dyDescent="0.2"/>
    <row r="1971" ht="12.75" hidden="1" x14ac:dyDescent="0.2"/>
    <row r="1972" ht="12.75" hidden="1" x14ac:dyDescent="0.2"/>
    <row r="1973" ht="12.75" hidden="1" x14ac:dyDescent="0.2"/>
    <row r="1974" ht="12.75" hidden="1" x14ac:dyDescent="0.2"/>
    <row r="1975" ht="12.75" hidden="1" x14ac:dyDescent="0.2"/>
    <row r="1976" ht="12.75" hidden="1" x14ac:dyDescent="0.2"/>
    <row r="1977" ht="12.75" hidden="1" x14ac:dyDescent="0.2"/>
    <row r="1978" ht="12.75" hidden="1" x14ac:dyDescent="0.2"/>
    <row r="1979" ht="12.75" hidden="1" x14ac:dyDescent="0.2"/>
    <row r="1980" ht="12.75" hidden="1" x14ac:dyDescent="0.2"/>
    <row r="1981" ht="12.75" hidden="1" x14ac:dyDescent="0.2"/>
    <row r="1982" ht="12.75" hidden="1" x14ac:dyDescent="0.2"/>
    <row r="1983" ht="12.75" hidden="1" x14ac:dyDescent="0.2"/>
    <row r="1984" ht="12.75" hidden="1" x14ac:dyDescent="0.2"/>
    <row r="1985" ht="12.75" hidden="1" x14ac:dyDescent="0.2"/>
    <row r="1986" ht="12.75" hidden="1" x14ac:dyDescent="0.2"/>
    <row r="1987" ht="12.75" hidden="1" x14ac:dyDescent="0.2"/>
    <row r="1988" ht="12.75" hidden="1" x14ac:dyDescent="0.2"/>
    <row r="1989" ht="12.75" hidden="1" x14ac:dyDescent="0.2"/>
    <row r="1990" ht="12.75" hidden="1" x14ac:dyDescent="0.2"/>
    <row r="1991" ht="12.75" hidden="1" x14ac:dyDescent="0.2"/>
    <row r="1992" ht="12.75" hidden="1" x14ac:dyDescent="0.2"/>
    <row r="1993" ht="12.75" hidden="1" x14ac:dyDescent="0.2"/>
    <row r="1994" ht="12.75" hidden="1" x14ac:dyDescent="0.2"/>
    <row r="1995" ht="12.75" hidden="1" x14ac:dyDescent="0.2"/>
    <row r="1996" ht="12.75" hidden="1" x14ac:dyDescent="0.2"/>
    <row r="1997" ht="12.75" hidden="1" x14ac:dyDescent="0.2"/>
    <row r="1998" ht="12.75" hidden="1" x14ac:dyDescent="0.2"/>
    <row r="1999" ht="12.75" hidden="1" x14ac:dyDescent="0.2"/>
    <row r="2000" ht="12.75" hidden="1" x14ac:dyDescent="0.2"/>
    <row r="2001" ht="12.75" hidden="1" x14ac:dyDescent="0.2"/>
    <row r="2002" ht="12.75" hidden="1" x14ac:dyDescent="0.2"/>
    <row r="2003" ht="12.75" hidden="1" x14ac:dyDescent="0.2"/>
    <row r="2004" ht="12.75" hidden="1" x14ac:dyDescent="0.2"/>
    <row r="2005" ht="12.75" hidden="1" x14ac:dyDescent="0.2"/>
    <row r="2006" ht="12.75" hidden="1" x14ac:dyDescent="0.2"/>
    <row r="2007" ht="12.75" hidden="1" x14ac:dyDescent="0.2"/>
    <row r="2008" ht="12.75" hidden="1" x14ac:dyDescent="0.2"/>
    <row r="2009" ht="12.75" hidden="1" x14ac:dyDescent="0.2"/>
    <row r="2010" ht="12.75" hidden="1" x14ac:dyDescent="0.2"/>
    <row r="2011" ht="12.75" hidden="1" x14ac:dyDescent="0.2"/>
    <row r="2012" ht="12.75" hidden="1" x14ac:dyDescent="0.2"/>
    <row r="2013" ht="12.75" hidden="1" x14ac:dyDescent="0.2"/>
    <row r="2014" ht="12.75" hidden="1" x14ac:dyDescent="0.2"/>
    <row r="2015" ht="12.75" hidden="1" x14ac:dyDescent="0.2"/>
    <row r="2016" ht="12.75" hidden="1" x14ac:dyDescent="0.2"/>
    <row r="2017" ht="12.75" hidden="1" x14ac:dyDescent="0.2"/>
    <row r="2018" ht="12.75" hidden="1" x14ac:dyDescent="0.2"/>
    <row r="2019" ht="12.75" hidden="1" x14ac:dyDescent="0.2"/>
    <row r="2020" ht="12.75" hidden="1" x14ac:dyDescent="0.2"/>
    <row r="2021" ht="12.75" hidden="1" x14ac:dyDescent="0.2"/>
    <row r="2022" ht="12.75" hidden="1" x14ac:dyDescent="0.2"/>
    <row r="2023" ht="12.75" hidden="1" x14ac:dyDescent="0.2"/>
    <row r="2024" ht="12.75" hidden="1" x14ac:dyDescent="0.2"/>
    <row r="2025" ht="12.75" hidden="1" x14ac:dyDescent="0.2"/>
    <row r="2026" ht="12.75" hidden="1" x14ac:dyDescent="0.2"/>
    <row r="2027" ht="12.75" hidden="1" x14ac:dyDescent="0.2"/>
    <row r="2028" ht="12.75" hidden="1" x14ac:dyDescent="0.2"/>
    <row r="2029" ht="12.75" hidden="1" x14ac:dyDescent="0.2"/>
    <row r="2030" ht="12.75" hidden="1" x14ac:dyDescent="0.2"/>
    <row r="2031" ht="12.75" hidden="1" x14ac:dyDescent="0.2"/>
    <row r="2032" ht="12.75" hidden="1" x14ac:dyDescent="0.2"/>
    <row r="2033" ht="12.75" hidden="1" x14ac:dyDescent="0.2"/>
    <row r="2034" ht="12.75" hidden="1" x14ac:dyDescent="0.2"/>
    <row r="2035" ht="12.75" hidden="1" x14ac:dyDescent="0.2"/>
    <row r="2036" ht="12.75" hidden="1" x14ac:dyDescent="0.2"/>
    <row r="2037" ht="12.75" hidden="1" x14ac:dyDescent="0.2"/>
    <row r="2038" ht="12.75" hidden="1" x14ac:dyDescent="0.2"/>
    <row r="2039" ht="12.75" hidden="1" x14ac:dyDescent="0.2"/>
    <row r="2040" ht="12.75" hidden="1" x14ac:dyDescent="0.2"/>
    <row r="2041" ht="12.75" hidden="1" x14ac:dyDescent="0.2"/>
    <row r="2042" ht="12.75" hidden="1" x14ac:dyDescent="0.2"/>
    <row r="2043" ht="12.75" hidden="1" x14ac:dyDescent="0.2"/>
    <row r="2044" ht="12.75" hidden="1" x14ac:dyDescent="0.2"/>
    <row r="2045" ht="12.75" hidden="1" x14ac:dyDescent="0.2"/>
    <row r="2046" ht="12.75" hidden="1" x14ac:dyDescent="0.2"/>
    <row r="2047" ht="12.75" hidden="1" x14ac:dyDescent="0.2"/>
    <row r="2048" ht="12.75" hidden="1" x14ac:dyDescent="0.2"/>
    <row r="2049" ht="12.75" hidden="1" x14ac:dyDescent="0.2"/>
    <row r="2050" ht="12.75" hidden="1" x14ac:dyDescent="0.2"/>
    <row r="2051" ht="12.75" hidden="1" x14ac:dyDescent="0.2"/>
    <row r="2052" ht="12.75" hidden="1" x14ac:dyDescent="0.2"/>
    <row r="2053" ht="12.75" hidden="1" x14ac:dyDescent="0.2"/>
    <row r="2054" ht="12.75" hidden="1" x14ac:dyDescent="0.2"/>
    <row r="2055" ht="12.75" hidden="1" x14ac:dyDescent="0.2"/>
    <row r="2056" ht="12.75" hidden="1" x14ac:dyDescent="0.2"/>
    <row r="2057" ht="12.75" hidden="1" x14ac:dyDescent="0.2"/>
    <row r="2058" ht="12.75" hidden="1" x14ac:dyDescent="0.2"/>
    <row r="2059" ht="12.75" hidden="1" x14ac:dyDescent="0.2"/>
    <row r="2060" ht="12.75" hidden="1" x14ac:dyDescent="0.2"/>
    <row r="2061" ht="12.75" hidden="1" x14ac:dyDescent="0.2"/>
    <row r="2062" ht="12.75" hidden="1" x14ac:dyDescent="0.2"/>
    <row r="2063" ht="12.75" hidden="1" x14ac:dyDescent="0.2"/>
    <row r="2064" ht="12.75" hidden="1" x14ac:dyDescent="0.2"/>
    <row r="2065" ht="12.75" hidden="1" x14ac:dyDescent="0.2"/>
    <row r="2066" ht="12.75" hidden="1" x14ac:dyDescent="0.2"/>
    <row r="2067" ht="12.75" hidden="1" x14ac:dyDescent="0.2"/>
    <row r="2068" ht="12.75" hidden="1" x14ac:dyDescent="0.2"/>
    <row r="2069" ht="12.75" hidden="1" x14ac:dyDescent="0.2"/>
    <row r="2070" ht="12.75" hidden="1" x14ac:dyDescent="0.2"/>
    <row r="2071" ht="12.75" hidden="1" x14ac:dyDescent="0.2"/>
    <row r="2072" ht="12.75" hidden="1" x14ac:dyDescent="0.2"/>
    <row r="2073" ht="12.75" hidden="1" x14ac:dyDescent="0.2"/>
    <row r="2074" ht="12.75" hidden="1" x14ac:dyDescent="0.2"/>
    <row r="2075" ht="12.75" hidden="1" x14ac:dyDescent="0.2"/>
    <row r="2076" ht="12.75" hidden="1" x14ac:dyDescent="0.2"/>
    <row r="2077" ht="12.75" hidden="1" x14ac:dyDescent="0.2"/>
    <row r="2078" ht="12.75" hidden="1" x14ac:dyDescent="0.2"/>
    <row r="2079" ht="12.75" hidden="1" x14ac:dyDescent="0.2"/>
    <row r="2080" ht="12.75" hidden="1" x14ac:dyDescent="0.2"/>
    <row r="2081" ht="12.75" hidden="1" x14ac:dyDescent="0.2"/>
    <row r="2082" ht="12.75" hidden="1" x14ac:dyDescent="0.2"/>
    <row r="2083" ht="12.75" hidden="1" x14ac:dyDescent="0.2"/>
    <row r="2084" ht="12.75" hidden="1" x14ac:dyDescent="0.2"/>
    <row r="2085" ht="12.75" hidden="1" x14ac:dyDescent="0.2"/>
    <row r="2086" ht="12.75" hidden="1" x14ac:dyDescent="0.2"/>
    <row r="2087" ht="12.75" hidden="1" x14ac:dyDescent="0.2"/>
    <row r="2088" ht="12.75" hidden="1" x14ac:dyDescent="0.2"/>
    <row r="2089" ht="12.75" hidden="1" x14ac:dyDescent="0.2"/>
    <row r="2090" ht="12.75" hidden="1" x14ac:dyDescent="0.2"/>
    <row r="2091" ht="12.75" hidden="1" x14ac:dyDescent="0.2"/>
    <row r="2092" ht="12.75" hidden="1" x14ac:dyDescent="0.2"/>
    <row r="2093" ht="12.75" hidden="1" x14ac:dyDescent="0.2"/>
    <row r="2094" ht="12.75" hidden="1" x14ac:dyDescent="0.2"/>
    <row r="2095" ht="12.75" hidden="1" x14ac:dyDescent="0.2"/>
    <row r="2096" ht="12.75" hidden="1" x14ac:dyDescent="0.2"/>
    <row r="2097" ht="12.75" hidden="1" x14ac:dyDescent="0.2"/>
    <row r="2098" ht="12.75" hidden="1" x14ac:dyDescent="0.2"/>
    <row r="2099" ht="12.75" hidden="1" x14ac:dyDescent="0.2"/>
    <row r="2100" ht="12.75" hidden="1" x14ac:dyDescent="0.2"/>
    <row r="2101" ht="12.75" hidden="1" x14ac:dyDescent="0.2"/>
    <row r="2102" ht="12.75" hidden="1" x14ac:dyDescent="0.2"/>
    <row r="2103" ht="12.75" hidden="1" x14ac:dyDescent="0.2"/>
    <row r="2104" ht="12.75" hidden="1" x14ac:dyDescent="0.2"/>
    <row r="2105" ht="12.75" hidden="1" x14ac:dyDescent="0.2"/>
    <row r="2106" ht="12.75" hidden="1" x14ac:dyDescent="0.2"/>
    <row r="2107" ht="12.75" hidden="1" x14ac:dyDescent="0.2"/>
    <row r="2108" ht="12.75" hidden="1" x14ac:dyDescent="0.2"/>
    <row r="2109" ht="12.75" hidden="1" x14ac:dyDescent="0.2"/>
    <row r="2110" ht="12.75" hidden="1" x14ac:dyDescent="0.2"/>
    <row r="2111" ht="12.75" hidden="1" x14ac:dyDescent="0.2"/>
    <row r="2112" ht="12.75" hidden="1" x14ac:dyDescent="0.2"/>
    <row r="2113" ht="12.75" hidden="1" x14ac:dyDescent="0.2"/>
    <row r="2114" ht="12.75" hidden="1" x14ac:dyDescent="0.2"/>
    <row r="2115" ht="12.75" hidden="1" x14ac:dyDescent="0.2"/>
    <row r="2116" ht="12.75" hidden="1" x14ac:dyDescent="0.2"/>
    <row r="2117" ht="12.75" hidden="1" x14ac:dyDescent="0.2"/>
    <row r="2118" ht="12.75" hidden="1" x14ac:dyDescent="0.2"/>
    <row r="2119" ht="12.75" hidden="1" x14ac:dyDescent="0.2"/>
    <row r="2120" ht="12.75" hidden="1" x14ac:dyDescent="0.2"/>
    <row r="2121" ht="12.75" hidden="1" x14ac:dyDescent="0.2"/>
    <row r="2122" ht="12.75" hidden="1" x14ac:dyDescent="0.2"/>
    <row r="2123" ht="12.75" hidden="1" x14ac:dyDescent="0.2"/>
    <row r="2124" ht="12.75" hidden="1" x14ac:dyDescent="0.2"/>
    <row r="2125" ht="12.75" hidden="1" x14ac:dyDescent="0.2"/>
    <row r="2126" ht="12.75" hidden="1" x14ac:dyDescent="0.2"/>
    <row r="2127" ht="12.75" hidden="1" x14ac:dyDescent="0.2"/>
    <row r="2128" ht="12.75" hidden="1" x14ac:dyDescent="0.2"/>
    <row r="2129" ht="12.75" hidden="1" x14ac:dyDescent="0.2"/>
    <row r="2130" ht="12.75" hidden="1" x14ac:dyDescent="0.2"/>
    <row r="2131" ht="12.75" hidden="1" x14ac:dyDescent="0.2"/>
    <row r="2132" ht="12.75" hidden="1" x14ac:dyDescent="0.2"/>
    <row r="2133" ht="12.75" hidden="1" x14ac:dyDescent="0.2"/>
    <row r="2134" ht="12.75" hidden="1" x14ac:dyDescent="0.2"/>
    <row r="2135" ht="12.75" hidden="1" x14ac:dyDescent="0.2"/>
    <row r="2136" ht="12.75" hidden="1" x14ac:dyDescent="0.2"/>
    <row r="2137" ht="12.75" hidden="1" x14ac:dyDescent="0.2"/>
    <row r="2138" ht="12.75" hidden="1" x14ac:dyDescent="0.2"/>
    <row r="2139" ht="12.75" hidden="1" x14ac:dyDescent="0.2"/>
    <row r="2140" ht="12.75" hidden="1" x14ac:dyDescent="0.2"/>
    <row r="2141" ht="12.75" hidden="1" x14ac:dyDescent="0.2"/>
    <row r="2142" ht="12.75" hidden="1" x14ac:dyDescent="0.2"/>
    <row r="2143" ht="12.75" hidden="1" x14ac:dyDescent="0.2"/>
    <row r="2144" ht="12.75" hidden="1" x14ac:dyDescent="0.2"/>
    <row r="2145" ht="12.75" hidden="1" x14ac:dyDescent="0.2"/>
    <row r="2146" ht="12.75" hidden="1" x14ac:dyDescent="0.2"/>
    <row r="2147" ht="12.75" hidden="1" x14ac:dyDescent="0.2"/>
    <row r="2148" ht="12.75" hidden="1" x14ac:dyDescent="0.2"/>
    <row r="2149" ht="12.75" hidden="1" x14ac:dyDescent="0.2"/>
    <row r="2150" ht="12.75" hidden="1" x14ac:dyDescent="0.2"/>
    <row r="2151" ht="12.75" hidden="1" x14ac:dyDescent="0.2"/>
    <row r="2152" ht="12.75" hidden="1" x14ac:dyDescent="0.2"/>
    <row r="2153" ht="12.75" hidden="1" x14ac:dyDescent="0.2"/>
    <row r="2154" ht="12.75" hidden="1" x14ac:dyDescent="0.2"/>
    <row r="2155" ht="12.75" hidden="1" x14ac:dyDescent="0.2"/>
    <row r="2156" ht="12.75" hidden="1" x14ac:dyDescent="0.2"/>
    <row r="2157" ht="12.75" hidden="1" x14ac:dyDescent="0.2"/>
    <row r="2158" ht="12.75" hidden="1" x14ac:dyDescent="0.2"/>
    <row r="2159" ht="12.75" hidden="1" x14ac:dyDescent="0.2"/>
    <row r="2160" ht="12.75" hidden="1" x14ac:dyDescent="0.2"/>
    <row r="2161" ht="12.75" hidden="1" x14ac:dyDescent="0.2"/>
    <row r="2162" ht="12.75" hidden="1" x14ac:dyDescent="0.2"/>
    <row r="2163" ht="12.75" hidden="1" x14ac:dyDescent="0.2"/>
    <row r="2164" ht="12.75" hidden="1" x14ac:dyDescent="0.2"/>
    <row r="2165" ht="12.75" hidden="1" x14ac:dyDescent="0.2"/>
    <row r="2166" ht="12.75" hidden="1" x14ac:dyDescent="0.2"/>
    <row r="2167" ht="12.75" hidden="1" x14ac:dyDescent="0.2"/>
    <row r="2168" ht="12.75" hidden="1" x14ac:dyDescent="0.2"/>
    <row r="2169" ht="12.75" hidden="1" x14ac:dyDescent="0.2"/>
    <row r="2170" ht="12.75" hidden="1" x14ac:dyDescent="0.2"/>
    <row r="2171" ht="12.75" hidden="1" x14ac:dyDescent="0.2"/>
    <row r="2172" ht="12.75" hidden="1" x14ac:dyDescent="0.2"/>
    <row r="2173" ht="12.75" hidden="1" x14ac:dyDescent="0.2"/>
    <row r="2174" ht="12.75" hidden="1" x14ac:dyDescent="0.2"/>
    <row r="2175" ht="12.75" hidden="1" x14ac:dyDescent="0.2"/>
    <row r="2176" ht="12.75" hidden="1" x14ac:dyDescent="0.2"/>
    <row r="2177" ht="12.75" hidden="1" x14ac:dyDescent="0.2"/>
    <row r="2178" ht="12.75" hidden="1" x14ac:dyDescent="0.2"/>
    <row r="2179" ht="12.75" hidden="1" x14ac:dyDescent="0.2"/>
    <row r="2180" ht="12.75" hidden="1" x14ac:dyDescent="0.2"/>
    <row r="2181" ht="12.75" hidden="1" x14ac:dyDescent="0.2"/>
    <row r="2182" ht="12.75" hidden="1" x14ac:dyDescent="0.2"/>
    <row r="2183" ht="12.75" hidden="1" x14ac:dyDescent="0.2"/>
    <row r="2184" ht="12.75" hidden="1" x14ac:dyDescent="0.2"/>
    <row r="2185" ht="12.75" hidden="1" x14ac:dyDescent="0.2"/>
    <row r="2186" ht="12.75" hidden="1" x14ac:dyDescent="0.2"/>
    <row r="2187" ht="12.75" hidden="1" x14ac:dyDescent="0.2"/>
    <row r="2188" ht="12.75" hidden="1" x14ac:dyDescent="0.2"/>
    <row r="2189" ht="12.75" hidden="1" x14ac:dyDescent="0.2"/>
    <row r="2190" ht="12.75" hidden="1" x14ac:dyDescent="0.2"/>
    <row r="2191" ht="12.75" hidden="1" x14ac:dyDescent="0.2"/>
    <row r="2192" ht="12.75" hidden="1" x14ac:dyDescent="0.2"/>
    <row r="2193" ht="12.75" hidden="1" x14ac:dyDescent="0.2"/>
    <row r="2194" ht="12.75" hidden="1" x14ac:dyDescent="0.2"/>
    <row r="2195" ht="12.75" hidden="1" x14ac:dyDescent="0.2"/>
    <row r="2196" ht="12.75" hidden="1" x14ac:dyDescent="0.2"/>
    <row r="2197" ht="12.75" hidden="1" x14ac:dyDescent="0.2"/>
    <row r="2198" ht="12.75" hidden="1" x14ac:dyDescent="0.2"/>
    <row r="2199" ht="12.75" hidden="1" x14ac:dyDescent="0.2"/>
    <row r="2200" ht="12.75" hidden="1" x14ac:dyDescent="0.2"/>
    <row r="2201" ht="12.75" hidden="1" x14ac:dyDescent="0.2"/>
    <row r="2202" ht="12.75" hidden="1" x14ac:dyDescent="0.2"/>
    <row r="2203" ht="12.75" hidden="1" x14ac:dyDescent="0.2"/>
    <row r="2204" ht="12.75" hidden="1" x14ac:dyDescent="0.2"/>
    <row r="2205" ht="12.75" hidden="1" x14ac:dyDescent="0.2"/>
    <row r="2206" ht="12.75" hidden="1" x14ac:dyDescent="0.2"/>
    <row r="2207" ht="12.75" hidden="1" x14ac:dyDescent="0.2"/>
    <row r="2208" ht="12.75" hidden="1" x14ac:dyDescent="0.2"/>
    <row r="2209" ht="12.75" hidden="1" x14ac:dyDescent="0.2"/>
    <row r="2210" ht="12.75" hidden="1" x14ac:dyDescent="0.2"/>
    <row r="2211" ht="12.75" hidden="1" x14ac:dyDescent="0.2"/>
    <row r="2212" ht="12.75" hidden="1" x14ac:dyDescent="0.2"/>
    <row r="2213" ht="12.75" hidden="1" x14ac:dyDescent="0.2"/>
    <row r="2214" ht="12.75" hidden="1" x14ac:dyDescent="0.2"/>
    <row r="2215" ht="12.75" hidden="1" x14ac:dyDescent="0.2"/>
    <row r="2216" ht="12.75" hidden="1" x14ac:dyDescent="0.2"/>
    <row r="2217" ht="12.75" hidden="1" x14ac:dyDescent="0.2"/>
    <row r="2218" ht="12.75" hidden="1" x14ac:dyDescent="0.2"/>
    <row r="2219" ht="12.75" hidden="1" x14ac:dyDescent="0.2"/>
    <row r="2220" ht="12.75" hidden="1" x14ac:dyDescent="0.2"/>
    <row r="2221" ht="12.75" hidden="1" x14ac:dyDescent="0.2"/>
    <row r="2222" ht="12.75" hidden="1" x14ac:dyDescent="0.2"/>
    <row r="2223" ht="12.75" hidden="1" x14ac:dyDescent="0.2"/>
    <row r="2224" ht="12.75" hidden="1" x14ac:dyDescent="0.2"/>
    <row r="2225" ht="12.75" hidden="1" x14ac:dyDescent="0.2"/>
    <row r="2226" ht="12.75" hidden="1" x14ac:dyDescent="0.2"/>
    <row r="2227" ht="12.75" hidden="1" x14ac:dyDescent="0.2"/>
    <row r="2228" ht="12.75" hidden="1" x14ac:dyDescent="0.2"/>
    <row r="2229" ht="12.75" hidden="1" x14ac:dyDescent="0.2"/>
    <row r="2230" ht="12.75" hidden="1" x14ac:dyDescent="0.2"/>
    <row r="2231" ht="12.75" hidden="1" x14ac:dyDescent="0.2"/>
    <row r="2232" ht="12.75" hidden="1" x14ac:dyDescent="0.2"/>
    <row r="2233" ht="12.75" hidden="1" x14ac:dyDescent="0.2"/>
    <row r="2234" ht="12.75" hidden="1" x14ac:dyDescent="0.2"/>
    <row r="2235" ht="12.75" hidden="1" x14ac:dyDescent="0.2"/>
    <row r="2236" ht="12.75" hidden="1" x14ac:dyDescent="0.2"/>
    <row r="2237" ht="12.75" hidden="1" x14ac:dyDescent="0.2"/>
    <row r="2238" ht="12.75" hidden="1" x14ac:dyDescent="0.2"/>
    <row r="2239" ht="12.75" hidden="1" x14ac:dyDescent="0.2"/>
    <row r="2240" ht="12.75" hidden="1" x14ac:dyDescent="0.2"/>
    <row r="2241" ht="12.75" hidden="1" x14ac:dyDescent="0.2"/>
    <row r="2242" ht="12.75" hidden="1" x14ac:dyDescent="0.2"/>
    <row r="2243" ht="12.75" hidden="1" x14ac:dyDescent="0.2"/>
    <row r="2244" ht="12.75" hidden="1" x14ac:dyDescent="0.2"/>
    <row r="2245" ht="12.75" hidden="1" x14ac:dyDescent="0.2"/>
    <row r="2246" ht="12.75" hidden="1" x14ac:dyDescent="0.2"/>
    <row r="2247" ht="12.75" hidden="1" x14ac:dyDescent="0.2"/>
    <row r="2248" ht="12.75" hidden="1" x14ac:dyDescent="0.2"/>
    <row r="2249" ht="12.75" hidden="1" x14ac:dyDescent="0.2"/>
    <row r="2250" ht="12.75" hidden="1" x14ac:dyDescent="0.2"/>
    <row r="2251" ht="12.75" hidden="1" x14ac:dyDescent="0.2"/>
    <row r="2252" ht="12.75" hidden="1" x14ac:dyDescent="0.2"/>
    <row r="2253" ht="12.75" hidden="1" x14ac:dyDescent="0.2"/>
    <row r="2254" ht="12.75" hidden="1" x14ac:dyDescent="0.2"/>
    <row r="2255" ht="12.75" hidden="1" x14ac:dyDescent="0.2"/>
    <row r="2256" ht="12.75" hidden="1" x14ac:dyDescent="0.2"/>
    <row r="2257" ht="12.75" hidden="1" x14ac:dyDescent="0.2"/>
    <row r="2258" ht="12.75" hidden="1" x14ac:dyDescent="0.2"/>
    <row r="2259" ht="12.75" hidden="1" x14ac:dyDescent="0.2"/>
    <row r="2260" ht="12.75" hidden="1" x14ac:dyDescent="0.2"/>
    <row r="2261" ht="12.75" hidden="1" x14ac:dyDescent="0.2"/>
    <row r="2262" ht="12.75" hidden="1" x14ac:dyDescent="0.2"/>
    <row r="2263" ht="12.75" hidden="1" x14ac:dyDescent="0.2"/>
    <row r="2264" ht="12.75" hidden="1" x14ac:dyDescent="0.2"/>
    <row r="2265" ht="12.75" hidden="1" x14ac:dyDescent="0.2"/>
    <row r="2266" ht="12.75" hidden="1" x14ac:dyDescent="0.2"/>
    <row r="2267" ht="12.75" hidden="1" x14ac:dyDescent="0.2"/>
    <row r="2268" ht="12.75" hidden="1" x14ac:dyDescent="0.2"/>
    <row r="2269" ht="12.75" hidden="1" x14ac:dyDescent="0.2"/>
    <row r="2270" ht="12.75" hidden="1" x14ac:dyDescent="0.2"/>
    <row r="2271" ht="12.75" hidden="1" x14ac:dyDescent="0.2"/>
    <row r="2272" ht="12.75" hidden="1" x14ac:dyDescent="0.2"/>
    <row r="2273" ht="12.75" hidden="1" x14ac:dyDescent="0.2"/>
    <row r="2274" ht="12.75" hidden="1" x14ac:dyDescent="0.2"/>
    <row r="2275" ht="12.75" hidden="1" x14ac:dyDescent="0.2"/>
    <row r="2276" ht="12.75" hidden="1" x14ac:dyDescent="0.2"/>
    <row r="2277" ht="12.75" hidden="1" x14ac:dyDescent="0.2"/>
    <row r="2278" ht="12.75" hidden="1" x14ac:dyDescent="0.2"/>
    <row r="2279" ht="12.75" hidden="1" x14ac:dyDescent="0.2"/>
    <row r="2280" ht="12.75" hidden="1" x14ac:dyDescent="0.2"/>
    <row r="2281" ht="12.75" hidden="1" x14ac:dyDescent="0.2"/>
    <row r="2282" ht="12.75" hidden="1" x14ac:dyDescent="0.2"/>
    <row r="2283" ht="12.75" hidden="1" x14ac:dyDescent="0.2"/>
    <row r="2284" ht="12.75" hidden="1" x14ac:dyDescent="0.2"/>
    <row r="2285" ht="12.75" hidden="1" x14ac:dyDescent="0.2"/>
    <row r="2286" ht="12.75" hidden="1" x14ac:dyDescent="0.2"/>
    <row r="2287" ht="12.75" hidden="1" x14ac:dyDescent="0.2"/>
    <row r="2288" ht="12.75" hidden="1" x14ac:dyDescent="0.2"/>
    <row r="2289" ht="12.75" hidden="1" x14ac:dyDescent="0.2"/>
    <row r="2290" ht="12.75" hidden="1" x14ac:dyDescent="0.2"/>
    <row r="2291" ht="12.75" hidden="1" x14ac:dyDescent="0.2"/>
    <row r="2292" ht="12.75" hidden="1" x14ac:dyDescent="0.2"/>
    <row r="2293" ht="12.75" hidden="1" x14ac:dyDescent="0.2"/>
    <row r="2294" ht="12.75" hidden="1" x14ac:dyDescent="0.2"/>
    <row r="2295" ht="12.75" hidden="1" x14ac:dyDescent="0.2"/>
    <row r="2296" ht="12.75" hidden="1" x14ac:dyDescent="0.2"/>
    <row r="2297" ht="12.75" hidden="1" x14ac:dyDescent="0.2"/>
    <row r="2298" ht="12.75" hidden="1" x14ac:dyDescent="0.2"/>
    <row r="2299" ht="12.75" hidden="1" x14ac:dyDescent="0.2"/>
    <row r="2300" ht="12.75" hidden="1" x14ac:dyDescent="0.2"/>
    <row r="2301" ht="12.75" hidden="1" x14ac:dyDescent="0.2"/>
    <row r="2302" ht="12.75" hidden="1" x14ac:dyDescent="0.2"/>
    <row r="2303" ht="12.75" hidden="1" x14ac:dyDescent="0.2"/>
    <row r="2304" ht="12.75" hidden="1" x14ac:dyDescent="0.2"/>
    <row r="2305" ht="12.75" hidden="1" x14ac:dyDescent="0.2"/>
    <row r="2306" ht="12.75" hidden="1" x14ac:dyDescent="0.2"/>
    <row r="2307" ht="12.75" hidden="1" x14ac:dyDescent="0.2"/>
    <row r="2308" ht="12.75" hidden="1" x14ac:dyDescent="0.2"/>
    <row r="2309" ht="12.75" hidden="1" x14ac:dyDescent="0.2"/>
    <row r="2310" ht="12.75" hidden="1" x14ac:dyDescent="0.2"/>
    <row r="2311" ht="12.75" hidden="1" x14ac:dyDescent="0.2"/>
    <row r="2312" ht="12.75" hidden="1" x14ac:dyDescent="0.2"/>
    <row r="2313" ht="12.75" hidden="1" x14ac:dyDescent="0.2"/>
    <row r="2314" ht="12.75" hidden="1" x14ac:dyDescent="0.2"/>
    <row r="2315" ht="12.75" hidden="1" x14ac:dyDescent="0.2"/>
    <row r="2316" ht="12.75" hidden="1" x14ac:dyDescent="0.2"/>
    <row r="2317" ht="12.75" hidden="1" x14ac:dyDescent="0.2"/>
    <row r="2318" ht="12.75" hidden="1" x14ac:dyDescent="0.2"/>
    <row r="2319" ht="12.75" hidden="1" x14ac:dyDescent="0.2"/>
    <row r="2320" ht="12.75" hidden="1" x14ac:dyDescent="0.2"/>
    <row r="2321" ht="12.75" hidden="1" x14ac:dyDescent="0.2"/>
    <row r="2322" ht="12.75" hidden="1" x14ac:dyDescent="0.2"/>
    <row r="2323" ht="12.75" hidden="1" x14ac:dyDescent="0.2"/>
    <row r="2324" ht="12.75" hidden="1" x14ac:dyDescent="0.2"/>
    <row r="2325" ht="12.75" hidden="1" x14ac:dyDescent="0.2"/>
    <row r="2326" ht="12.75" hidden="1" x14ac:dyDescent="0.2"/>
    <row r="2327" ht="12.75" hidden="1" x14ac:dyDescent="0.2"/>
    <row r="2328" ht="12.75" hidden="1" x14ac:dyDescent="0.2"/>
    <row r="2329" ht="12.75" hidden="1" x14ac:dyDescent="0.2"/>
    <row r="2330" ht="12.75" hidden="1" x14ac:dyDescent="0.2"/>
    <row r="2331" ht="12.75" hidden="1" x14ac:dyDescent="0.2"/>
    <row r="2332" ht="12.75" hidden="1" x14ac:dyDescent="0.2"/>
    <row r="2333" ht="12.75" hidden="1" x14ac:dyDescent="0.2"/>
    <row r="2334" ht="12.75" hidden="1" x14ac:dyDescent="0.2"/>
    <row r="2335" ht="12.75" hidden="1" x14ac:dyDescent="0.2"/>
    <row r="2336" ht="12.75" hidden="1" x14ac:dyDescent="0.2"/>
    <row r="2337" ht="12.75" hidden="1" x14ac:dyDescent="0.2"/>
    <row r="2338" ht="12.75" hidden="1" x14ac:dyDescent="0.2"/>
    <row r="2339" ht="12.75" hidden="1" x14ac:dyDescent="0.2"/>
    <row r="2340" ht="12.75" hidden="1" x14ac:dyDescent="0.2"/>
    <row r="2341" ht="12.75" hidden="1" x14ac:dyDescent="0.2"/>
    <row r="2342" ht="12.75" hidden="1" x14ac:dyDescent="0.2"/>
    <row r="2343" ht="12.75" hidden="1" x14ac:dyDescent="0.2"/>
    <row r="2344" ht="12.75" hidden="1" x14ac:dyDescent="0.2"/>
    <row r="2345" ht="12.75" hidden="1" x14ac:dyDescent="0.2"/>
    <row r="2346" ht="12.75" hidden="1" x14ac:dyDescent="0.2"/>
    <row r="2347" ht="12.75" hidden="1" x14ac:dyDescent="0.2"/>
    <row r="2348" ht="12.75" hidden="1" x14ac:dyDescent="0.2"/>
    <row r="2349" ht="12.75" hidden="1" x14ac:dyDescent="0.2"/>
    <row r="2350" ht="12.75" hidden="1" x14ac:dyDescent="0.2"/>
    <row r="2351" ht="12.75" hidden="1" x14ac:dyDescent="0.2"/>
    <row r="2352" ht="12.75" hidden="1" x14ac:dyDescent="0.2"/>
    <row r="2353" ht="12.75" hidden="1" x14ac:dyDescent="0.2"/>
    <row r="2354" ht="12.75" hidden="1" x14ac:dyDescent="0.2"/>
    <row r="2355" ht="12.75" hidden="1" x14ac:dyDescent="0.2"/>
    <row r="2356" ht="12.75" hidden="1" x14ac:dyDescent="0.2"/>
    <row r="2357" ht="12.75" hidden="1" x14ac:dyDescent="0.2"/>
    <row r="2358" ht="12.75" hidden="1" x14ac:dyDescent="0.2"/>
    <row r="2359" ht="12.75" hidden="1" x14ac:dyDescent="0.2"/>
    <row r="2360" ht="12.75" hidden="1" x14ac:dyDescent="0.2"/>
    <row r="2361" ht="12.75" hidden="1" x14ac:dyDescent="0.2"/>
    <row r="2362" ht="12.75" hidden="1" x14ac:dyDescent="0.2"/>
    <row r="2363" ht="12.75" hidden="1" x14ac:dyDescent="0.2"/>
    <row r="2364" ht="12.75" hidden="1" x14ac:dyDescent="0.2"/>
    <row r="2365" ht="12.75" hidden="1" x14ac:dyDescent="0.2"/>
    <row r="2366" ht="12.75" hidden="1" x14ac:dyDescent="0.2"/>
    <row r="2367" ht="12.75" hidden="1" x14ac:dyDescent="0.2"/>
    <row r="2368" ht="12.75" hidden="1" x14ac:dyDescent="0.2"/>
    <row r="2369" ht="12.75" hidden="1" x14ac:dyDescent="0.2"/>
    <row r="2370" ht="12.75" hidden="1" x14ac:dyDescent="0.2"/>
    <row r="2371" ht="12.75" hidden="1" x14ac:dyDescent="0.2"/>
    <row r="2372" ht="12.75" hidden="1" x14ac:dyDescent="0.2"/>
    <row r="2373" ht="12.75" hidden="1" x14ac:dyDescent="0.2"/>
    <row r="2374" ht="12.75" hidden="1" x14ac:dyDescent="0.2"/>
    <row r="2375" ht="12.75" hidden="1" x14ac:dyDescent="0.2"/>
    <row r="2376" ht="12.75" hidden="1" x14ac:dyDescent="0.2"/>
    <row r="2377" ht="12.75" hidden="1" x14ac:dyDescent="0.2"/>
    <row r="2378" ht="12.75" hidden="1" x14ac:dyDescent="0.2"/>
    <row r="2379" ht="12.75" hidden="1" x14ac:dyDescent="0.2"/>
    <row r="2380" ht="12.75" hidden="1" x14ac:dyDescent="0.2"/>
    <row r="2381" ht="12.75" hidden="1" x14ac:dyDescent="0.2"/>
    <row r="2382" ht="12.75" hidden="1" x14ac:dyDescent="0.2"/>
    <row r="2383" ht="12.75" hidden="1" x14ac:dyDescent="0.2"/>
    <row r="2384" ht="12.75" hidden="1" x14ac:dyDescent="0.2"/>
    <row r="2385" ht="12.75" hidden="1" x14ac:dyDescent="0.2"/>
    <row r="2386" ht="12.75" hidden="1" x14ac:dyDescent="0.2"/>
    <row r="2387" ht="12.75" hidden="1" x14ac:dyDescent="0.2"/>
    <row r="2388" ht="12.75" hidden="1" x14ac:dyDescent="0.2"/>
    <row r="2389" ht="12.75" hidden="1" x14ac:dyDescent="0.2"/>
    <row r="2390" ht="12.75" hidden="1" x14ac:dyDescent="0.2"/>
    <row r="2391" ht="12.75" hidden="1" x14ac:dyDescent="0.2"/>
    <row r="2392" ht="12.75" hidden="1" x14ac:dyDescent="0.2"/>
    <row r="2393" ht="12.75" hidden="1" x14ac:dyDescent="0.2"/>
    <row r="2394" ht="12.75" hidden="1" x14ac:dyDescent="0.2"/>
    <row r="2395" ht="12.75" hidden="1" x14ac:dyDescent="0.2"/>
    <row r="2396" ht="12.75" hidden="1" x14ac:dyDescent="0.2"/>
    <row r="2397" ht="12.75" hidden="1" x14ac:dyDescent="0.2"/>
    <row r="2398" ht="12.75" hidden="1" x14ac:dyDescent="0.2"/>
    <row r="2399" ht="12.75" hidden="1" x14ac:dyDescent="0.2"/>
    <row r="2400" ht="12.75" hidden="1" x14ac:dyDescent="0.2"/>
    <row r="2401" ht="12.75" hidden="1" x14ac:dyDescent="0.2"/>
    <row r="2402" ht="12.75" hidden="1" x14ac:dyDescent="0.2"/>
    <row r="2403" ht="12.75" hidden="1" x14ac:dyDescent="0.2"/>
    <row r="2404" ht="12.75" hidden="1" x14ac:dyDescent="0.2"/>
    <row r="2405" ht="12.75" hidden="1" x14ac:dyDescent="0.2"/>
    <row r="2406" ht="12.75" hidden="1" x14ac:dyDescent="0.2"/>
    <row r="2407" ht="12.75" hidden="1" x14ac:dyDescent="0.2"/>
    <row r="2408" ht="12.75" hidden="1" x14ac:dyDescent="0.2"/>
    <row r="2409" ht="12.75" hidden="1" x14ac:dyDescent="0.2"/>
    <row r="2410" ht="12.75" hidden="1" x14ac:dyDescent="0.2"/>
    <row r="2411" ht="12.75" hidden="1" x14ac:dyDescent="0.2"/>
    <row r="2412" ht="12.75" hidden="1" x14ac:dyDescent="0.2"/>
    <row r="2413" ht="12.75" hidden="1" x14ac:dyDescent="0.2"/>
    <row r="2414" ht="12.75" hidden="1" x14ac:dyDescent="0.2"/>
    <row r="2415" ht="12.75" hidden="1" x14ac:dyDescent="0.2"/>
    <row r="2416" ht="12.75" hidden="1" x14ac:dyDescent="0.2"/>
    <row r="2417" ht="12.75" hidden="1" x14ac:dyDescent="0.2"/>
    <row r="2418" ht="12.75" hidden="1" x14ac:dyDescent="0.2"/>
    <row r="2419" ht="12.75" hidden="1" x14ac:dyDescent="0.2"/>
    <row r="2420" ht="12.75" hidden="1" x14ac:dyDescent="0.2"/>
    <row r="2421" ht="12.75" hidden="1" x14ac:dyDescent="0.2"/>
    <row r="2422" ht="12.75" hidden="1" x14ac:dyDescent="0.2"/>
    <row r="2423" ht="12.75" hidden="1" x14ac:dyDescent="0.2"/>
    <row r="2424" ht="12.75" hidden="1" x14ac:dyDescent="0.2"/>
    <row r="2425" ht="12.75" hidden="1" x14ac:dyDescent="0.2"/>
    <row r="2426" ht="12.75" hidden="1" x14ac:dyDescent="0.2"/>
    <row r="2427" ht="12.75" hidden="1" x14ac:dyDescent="0.2"/>
    <row r="2428" ht="12.75" hidden="1" x14ac:dyDescent="0.2"/>
    <row r="2429" ht="12.75" hidden="1" x14ac:dyDescent="0.2"/>
    <row r="2430" ht="12.75" hidden="1" x14ac:dyDescent="0.2"/>
    <row r="2431" ht="12.75" hidden="1" x14ac:dyDescent="0.2"/>
    <row r="2432" ht="12.75" hidden="1" x14ac:dyDescent="0.2"/>
    <row r="2433" ht="12.75" hidden="1" x14ac:dyDescent="0.2"/>
    <row r="2434" ht="12.75" hidden="1" x14ac:dyDescent="0.2"/>
    <row r="2435" ht="12.75" hidden="1" x14ac:dyDescent="0.2"/>
    <row r="2436" ht="12.75" hidden="1" x14ac:dyDescent="0.2"/>
    <row r="2437" ht="12.75" hidden="1" x14ac:dyDescent="0.2"/>
    <row r="2438" ht="12.75" hidden="1" x14ac:dyDescent="0.2"/>
    <row r="2439" ht="12.75" hidden="1" x14ac:dyDescent="0.2"/>
    <row r="2440" ht="12.75" hidden="1" x14ac:dyDescent="0.2"/>
    <row r="2441" ht="12.75" hidden="1" x14ac:dyDescent="0.2"/>
    <row r="2442" ht="12.75" hidden="1" x14ac:dyDescent="0.2"/>
    <row r="2443" ht="12.75" hidden="1" x14ac:dyDescent="0.2"/>
    <row r="2444" ht="12.75" hidden="1" x14ac:dyDescent="0.2"/>
    <row r="2445" ht="12.75" hidden="1" x14ac:dyDescent="0.2"/>
    <row r="2446" ht="12.75" hidden="1" x14ac:dyDescent="0.2"/>
    <row r="2447" ht="12.75" hidden="1" x14ac:dyDescent="0.2"/>
    <row r="2448" ht="12.75" hidden="1" x14ac:dyDescent="0.2"/>
    <row r="2449" ht="12.75" hidden="1" x14ac:dyDescent="0.2"/>
    <row r="2450" ht="12.75" hidden="1" x14ac:dyDescent="0.2"/>
    <row r="2451" ht="12.75" hidden="1" x14ac:dyDescent="0.2"/>
    <row r="2452" ht="12.75" hidden="1" x14ac:dyDescent="0.2"/>
    <row r="2453" ht="12.75" hidden="1" x14ac:dyDescent="0.2"/>
    <row r="2454" ht="12.75" hidden="1" x14ac:dyDescent="0.2"/>
    <row r="2455" ht="12.75" hidden="1" x14ac:dyDescent="0.2"/>
    <row r="2456" ht="12.75" hidden="1" x14ac:dyDescent="0.2"/>
    <row r="2457" ht="12.75" hidden="1" x14ac:dyDescent="0.2"/>
    <row r="2458" ht="12.75" hidden="1" x14ac:dyDescent="0.2"/>
    <row r="2459" ht="12.75" hidden="1" x14ac:dyDescent="0.2"/>
    <row r="2460" ht="12.75" hidden="1" x14ac:dyDescent="0.2"/>
    <row r="2461" ht="12.75" hidden="1" x14ac:dyDescent="0.2"/>
    <row r="2462" ht="12.75" hidden="1" x14ac:dyDescent="0.2"/>
    <row r="2463" ht="12.75" hidden="1" x14ac:dyDescent="0.2"/>
    <row r="2464" ht="12.75" hidden="1" x14ac:dyDescent="0.2"/>
    <row r="2465" ht="12.75" hidden="1" x14ac:dyDescent="0.2"/>
    <row r="2466" ht="12.75" hidden="1" x14ac:dyDescent="0.2"/>
    <row r="2467" ht="12.75" hidden="1" x14ac:dyDescent="0.2"/>
    <row r="2468" ht="12.75" hidden="1" x14ac:dyDescent="0.2"/>
    <row r="2469" ht="12.75" hidden="1" x14ac:dyDescent="0.2"/>
    <row r="2470" ht="12.75" hidden="1" x14ac:dyDescent="0.2"/>
    <row r="2471" ht="12.75" hidden="1" x14ac:dyDescent="0.2"/>
    <row r="2472" ht="12.75" hidden="1" x14ac:dyDescent="0.2"/>
    <row r="2473" ht="12.75" hidden="1" x14ac:dyDescent="0.2"/>
    <row r="2474" ht="12.75" hidden="1" x14ac:dyDescent="0.2"/>
    <row r="2475" ht="12.75" hidden="1" x14ac:dyDescent="0.2"/>
    <row r="2476" ht="12.75" hidden="1" x14ac:dyDescent="0.2"/>
    <row r="2477" ht="12.75" hidden="1" x14ac:dyDescent="0.2"/>
    <row r="2478" ht="12.75" hidden="1" x14ac:dyDescent="0.2"/>
    <row r="2479" ht="12.75" hidden="1" x14ac:dyDescent="0.2"/>
    <row r="2480" ht="12.75" hidden="1" x14ac:dyDescent="0.2"/>
    <row r="2481" ht="12.75" hidden="1" x14ac:dyDescent="0.2"/>
    <row r="2482" ht="12.75" hidden="1" x14ac:dyDescent="0.2"/>
    <row r="2483" ht="12.75" hidden="1" x14ac:dyDescent="0.2"/>
    <row r="2484" ht="12.75" hidden="1" x14ac:dyDescent="0.2"/>
    <row r="2485" ht="12.75" hidden="1" x14ac:dyDescent="0.2"/>
    <row r="2486" ht="12.75" hidden="1" x14ac:dyDescent="0.2"/>
    <row r="2487" ht="12.75" hidden="1" x14ac:dyDescent="0.2"/>
    <row r="2488" ht="12.75" hidden="1" x14ac:dyDescent="0.2"/>
    <row r="2489" ht="12.75" hidden="1" x14ac:dyDescent="0.2"/>
    <row r="2490" ht="12.75" hidden="1" x14ac:dyDescent="0.2"/>
    <row r="2491" ht="12.75" hidden="1" x14ac:dyDescent="0.2"/>
    <row r="2492" ht="12.75" hidden="1" x14ac:dyDescent="0.2"/>
    <row r="2493" ht="12.75" hidden="1" x14ac:dyDescent="0.2"/>
    <row r="2494" ht="12.75" hidden="1" x14ac:dyDescent="0.2"/>
    <row r="2495" ht="12.75" hidden="1" x14ac:dyDescent="0.2"/>
    <row r="2496" ht="12.75" hidden="1" x14ac:dyDescent="0.2"/>
    <row r="2497" ht="12.75" hidden="1" x14ac:dyDescent="0.2"/>
    <row r="2498" ht="12.75" hidden="1" x14ac:dyDescent="0.2"/>
    <row r="2499" ht="12.75" hidden="1" x14ac:dyDescent="0.2"/>
    <row r="2500" ht="12.75" hidden="1" x14ac:dyDescent="0.2"/>
    <row r="2501" ht="12.75" hidden="1" x14ac:dyDescent="0.2"/>
    <row r="2502" ht="12.75" hidden="1" x14ac:dyDescent="0.2"/>
    <row r="2503" ht="12.75" hidden="1" x14ac:dyDescent="0.2"/>
    <row r="2504" ht="12.75" hidden="1" x14ac:dyDescent="0.2"/>
    <row r="2505" ht="12.75" hidden="1" x14ac:dyDescent="0.2"/>
    <row r="2506" ht="12.75" hidden="1" x14ac:dyDescent="0.2"/>
    <row r="2507" ht="12.75" hidden="1" x14ac:dyDescent="0.2"/>
    <row r="2508" ht="12.75" hidden="1" x14ac:dyDescent="0.2"/>
    <row r="2509" ht="12.75" hidden="1" x14ac:dyDescent="0.2"/>
    <row r="2510" ht="12.75" hidden="1" x14ac:dyDescent="0.2"/>
    <row r="2511" ht="12.75" hidden="1" x14ac:dyDescent="0.2"/>
    <row r="2512" ht="12.75" hidden="1" x14ac:dyDescent="0.2"/>
    <row r="2513" ht="12.75" hidden="1" x14ac:dyDescent="0.2"/>
    <row r="2514" ht="12.75" hidden="1" x14ac:dyDescent="0.2"/>
    <row r="2515" ht="12.75" hidden="1" x14ac:dyDescent="0.2"/>
    <row r="2516" ht="12.75" hidden="1" x14ac:dyDescent="0.2"/>
    <row r="2517" ht="12.75" hidden="1" x14ac:dyDescent="0.2"/>
    <row r="2518" ht="12.75" hidden="1" x14ac:dyDescent="0.2"/>
    <row r="2519" ht="12.75" hidden="1" x14ac:dyDescent="0.2"/>
    <row r="2520" ht="12.75" hidden="1" x14ac:dyDescent="0.2"/>
    <row r="2521" ht="12.75" hidden="1" x14ac:dyDescent="0.2"/>
    <row r="2522" ht="12.75" hidden="1" x14ac:dyDescent="0.2"/>
    <row r="2523" ht="12.75" hidden="1" x14ac:dyDescent="0.2"/>
    <row r="2524" ht="12.75" hidden="1" x14ac:dyDescent="0.2"/>
    <row r="2525" ht="12.75" hidden="1" x14ac:dyDescent="0.2"/>
    <row r="2526" ht="12.75" hidden="1" x14ac:dyDescent="0.2"/>
    <row r="2527" ht="12.75" hidden="1" x14ac:dyDescent="0.2"/>
    <row r="2528" ht="12.75" hidden="1" x14ac:dyDescent="0.2"/>
    <row r="2529" ht="12.75" hidden="1" x14ac:dyDescent="0.2"/>
    <row r="2530" ht="12.75" hidden="1" x14ac:dyDescent="0.2"/>
    <row r="2531" ht="12.75" hidden="1" x14ac:dyDescent="0.2"/>
    <row r="2532" ht="12.75" hidden="1" x14ac:dyDescent="0.2"/>
    <row r="2533" ht="12.75" hidden="1" x14ac:dyDescent="0.2"/>
    <row r="2534" ht="12.75" hidden="1" x14ac:dyDescent="0.2"/>
    <row r="2535" ht="12.75" hidden="1" x14ac:dyDescent="0.2"/>
    <row r="2536" ht="12.75" hidden="1" x14ac:dyDescent="0.2"/>
    <row r="2537" ht="12.75" hidden="1" x14ac:dyDescent="0.2"/>
    <row r="2538" ht="12.75" hidden="1" x14ac:dyDescent="0.2"/>
    <row r="2539" ht="12.75" hidden="1" x14ac:dyDescent="0.2"/>
    <row r="2540" ht="12.75" hidden="1" x14ac:dyDescent="0.2"/>
    <row r="2541" ht="12.75" hidden="1" x14ac:dyDescent="0.2"/>
    <row r="2542" ht="12.75" hidden="1" x14ac:dyDescent="0.2"/>
    <row r="2543" ht="12.75" hidden="1" x14ac:dyDescent="0.2"/>
    <row r="2544" ht="12.75" hidden="1" x14ac:dyDescent="0.2"/>
    <row r="2545" ht="12.75" hidden="1" x14ac:dyDescent="0.2"/>
    <row r="2546" ht="12.75" hidden="1" x14ac:dyDescent="0.2"/>
    <row r="2547" ht="12.75" hidden="1" x14ac:dyDescent="0.2"/>
    <row r="2548" ht="12.75" hidden="1" x14ac:dyDescent="0.2"/>
    <row r="2549" ht="12.75" hidden="1" x14ac:dyDescent="0.2"/>
    <row r="2550" ht="12.75" hidden="1" x14ac:dyDescent="0.2"/>
    <row r="2551" ht="12.75" hidden="1" x14ac:dyDescent="0.2"/>
    <row r="2552" ht="12.75" hidden="1" x14ac:dyDescent="0.2"/>
    <row r="2553" ht="12.75" hidden="1" x14ac:dyDescent="0.2"/>
    <row r="2554" ht="12.75" hidden="1" x14ac:dyDescent="0.2"/>
    <row r="2555" ht="12.75" hidden="1" x14ac:dyDescent="0.2"/>
    <row r="2556" ht="12.75" hidden="1" x14ac:dyDescent="0.2"/>
    <row r="2557" ht="12.75" hidden="1" x14ac:dyDescent="0.2"/>
    <row r="2558" ht="12.75" hidden="1" x14ac:dyDescent="0.2"/>
    <row r="2559" ht="12.75" hidden="1" x14ac:dyDescent="0.2"/>
    <row r="2560" ht="12.75" hidden="1" x14ac:dyDescent="0.2"/>
    <row r="2561" ht="12.75" hidden="1" x14ac:dyDescent="0.2"/>
    <row r="2562" ht="12.75" hidden="1" x14ac:dyDescent="0.2"/>
    <row r="2563" ht="12.75" hidden="1" x14ac:dyDescent="0.2"/>
    <row r="2564" ht="12.75" hidden="1" x14ac:dyDescent="0.2"/>
    <row r="2565" ht="12.75" hidden="1" x14ac:dyDescent="0.2"/>
    <row r="2566" ht="12.75" hidden="1" x14ac:dyDescent="0.2"/>
    <row r="2567" ht="12.75" hidden="1" x14ac:dyDescent="0.2"/>
    <row r="2568" ht="12.75" hidden="1" x14ac:dyDescent="0.2"/>
    <row r="2569" ht="12.75" hidden="1" x14ac:dyDescent="0.2"/>
    <row r="2570" ht="12.75" hidden="1" x14ac:dyDescent="0.2"/>
    <row r="2571" ht="12.75" hidden="1" x14ac:dyDescent="0.2"/>
    <row r="2572" ht="12.75" hidden="1" x14ac:dyDescent="0.2"/>
    <row r="2573" ht="12.75" hidden="1" x14ac:dyDescent="0.2"/>
    <row r="2574" ht="12.75" hidden="1" x14ac:dyDescent="0.2"/>
    <row r="2575" ht="12.75" hidden="1" x14ac:dyDescent="0.2"/>
    <row r="2576" ht="12.75" hidden="1" x14ac:dyDescent="0.2"/>
    <row r="2577" ht="12.75" hidden="1" x14ac:dyDescent="0.2"/>
    <row r="2578" ht="12.75" hidden="1" x14ac:dyDescent="0.2"/>
    <row r="2579" ht="12.75" hidden="1" x14ac:dyDescent="0.2"/>
    <row r="2580" ht="12.75" hidden="1" x14ac:dyDescent="0.2"/>
    <row r="2581" ht="12.75" hidden="1" x14ac:dyDescent="0.2"/>
    <row r="2582" ht="12.75" hidden="1" x14ac:dyDescent="0.2"/>
    <row r="2583" ht="12.75" hidden="1" x14ac:dyDescent="0.2"/>
    <row r="2584" ht="12.75" hidden="1" x14ac:dyDescent="0.2"/>
    <row r="2585" ht="12.75" hidden="1" x14ac:dyDescent="0.2"/>
    <row r="2586" ht="12.75" hidden="1" x14ac:dyDescent="0.2"/>
    <row r="2587" ht="12.75" hidden="1" x14ac:dyDescent="0.2"/>
    <row r="2588" ht="12.75" hidden="1" x14ac:dyDescent="0.2"/>
    <row r="2589" ht="12.75" hidden="1" x14ac:dyDescent="0.2"/>
    <row r="2590" ht="12.75" hidden="1" x14ac:dyDescent="0.2"/>
    <row r="2591" ht="12.75" hidden="1" x14ac:dyDescent="0.2"/>
    <row r="2592" ht="12.75" hidden="1" x14ac:dyDescent="0.2"/>
    <row r="2593" ht="12.75" hidden="1" x14ac:dyDescent="0.2"/>
    <row r="2594" ht="12.75" hidden="1" x14ac:dyDescent="0.2"/>
    <row r="2595" ht="12.75" hidden="1" x14ac:dyDescent="0.2"/>
    <row r="2596" ht="12.75" hidden="1" x14ac:dyDescent="0.2"/>
    <row r="2597" ht="12.75" hidden="1" x14ac:dyDescent="0.2"/>
    <row r="2598" ht="12.75" hidden="1" x14ac:dyDescent="0.2"/>
    <row r="2599" ht="12.75" hidden="1" x14ac:dyDescent="0.2"/>
    <row r="2600" ht="12.75" hidden="1" x14ac:dyDescent="0.2"/>
    <row r="2601" ht="12.75" hidden="1" x14ac:dyDescent="0.2"/>
    <row r="2602" ht="12.75" hidden="1" x14ac:dyDescent="0.2"/>
    <row r="2603" ht="12.75" hidden="1" x14ac:dyDescent="0.2"/>
    <row r="2604" ht="12.75" hidden="1" x14ac:dyDescent="0.2"/>
    <row r="2605" ht="12.75" hidden="1" x14ac:dyDescent="0.2"/>
    <row r="2606" ht="12.75" hidden="1" x14ac:dyDescent="0.2"/>
    <row r="2607" ht="12.75" hidden="1" x14ac:dyDescent="0.2"/>
    <row r="2608" ht="12.75" hidden="1" x14ac:dyDescent="0.2"/>
    <row r="2609" ht="12.75" hidden="1" x14ac:dyDescent="0.2"/>
    <row r="2610" ht="12.75" hidden="1" x14ac:dyDescent="0.2"/>
    <row r="2611" ht="12.75" hidden="1" x14ac:dyDescent="0.2"/>
    <row r="2612" ht="12.75" hidden="1" x14ac:dyDescent="0.2"/>
    <row r="2613" ht="12.75" hidden="1" x14ac:dyDescent="0.2"/>
    <row r="2614" ht="12.75" hidden="1" x14ac:dyDescent="0.2"/>
    <row r="2615" ht="12.75" hidden="1" x14ac:dyDescent="0.2"/>
    <row r="2616" ht="12.75" hidden="1" x14ac:dyDescent="0.2"/>
    <row r="2617" ht="12.75" hidden="1" x14ac:dyDescent="0.2"/>
    <row r="2618" ht="12.75" hidden="1" x14ac:dyDescent="0.2"/>
    <row r="2619" ht="12.75" hidden="1" x14ac:dyDescent="0.2"/>
    <row r="2620" ht="12.75" hidden="1" x14ac:dyDescent="0.2"/>
    <row r="2621" ht="12.75" hidden="1" x14ac:dyDescent="0.2"/>
    <row r="2622" ht="12.75" hidden="1" x14ac:dyDescent="0.2"/>
    <row r="2623" ht="12.75" hidden="1" x14ac:dyDescent="0.2"/>
    <row r="2624" ht="12.75" hidden="1" x14ac:dyDescent="0.2"/>
    <row r="2625" ht="12.75" hidden="1" x14ac:dyDescent="0.2"/>
    <row r="2626" ht="12.75" hidden="1" x14ac:dyDescent="0.2"/>
    <row r="2627" ht="12.75" hidden="1" x14ac:dyDescent="0.2"/>
    <row r="2628" ht="12.75" hidden="1" x14ac:dyDescent="0.2"/>
    <row r="2629" ht="12.75" hidden="1" x14ac:dyDescent="0.2"/>
    <row r="2630" ht="12.75" hidden="1" x14ac:dyDescent="0.2"/>
    <row r="2631" ht="12.75" hidden="1" x14ac:dyDescent="0.2"/>
    <row r="2632" ht="12.75" hidden="1" x14ac:dyDescent="0.2"/>
    <row r="2633" ht="12.75" hidden="1" x14ac:dyDescent="0.2"/>
    <row r="2634" ht="12.75" hidden="1" x14ac:dyDescent="0.2"/>
    <row r="2635" ht="12.75" hidden="1" x14ac:dyDescent="0.2"/>
    <row r="2636" ht="12.75" hidden="1" x14ac:dyDescent="0.2"/>
    <row r="2637" ht="12.75" hidden="1" x14ac:dyDescent="0.2"/>
    <row r="2638" ht="12.75" hidden="1" x14ac:dyDescent="0.2"/>
    <row r="2639" ht="12.75" hidden="1" x14ac:dyDescent="0.2"/>
    <row r="2640" ht="12.75" hidden="1" x14ac:dyDescent="0.2"/>
    <row r="2641" ht="12.75" hidden="1" x14ac:dyDescent="0.2"/>
    <row r="2642" ht="12.75" hidden="1" x14ac:dyDescent="0.2"/>
    <row r="2643" ht="12.75" hidden="1" x14ac:dyDescent="0.2"/>
    <row r="2644" ht="12.75" hidden="1" x14ac:dyDescent="0.2"/>
    <row r="2645" ht="12.75" hidden="1" x14ac:dyDescent="0.2"/>
    <row r="2646" ht="12.75" hidden="1" x14ac:dyDescent="0.2"/>
    <row r="2647" ht="12.75" hidden="1" x14ac:dyDescent="0.2"/>
    <row r="2648" ht="12.75" hidden="1" x14ac:dyDescent="0.2"/>
    <row r="2649" ht="12.75" hidden="1" x14ac:dyDescent="0.2"/>
    <row r="2650" ht="12.75" hidden="1" x14ac:dyDescent="0.2"/>
    <row r="2651" ht="12.75" hidden="1" x14ac:dyDescent="0.2"/>
    <row r="2652" ht="12.75" hidden="1" x14ac:dyDescent="0.2"/>
    <row r="2653" ht="12.75" hidden="1" x14ac:dyDescent="0.2"/>
    <row r="2654" ht="12.75" hidden="1" x14ac:dyDescent="0.2"/>
    <row r="2655" ht="12.75" hidden="1" x14ac:dyDescent="0.2"/>
    <row r="2656" ht="12.75" hidden="1" x14ac:dyDescent="0.2"/>
    <row r="2657" ht="12.75" hidden="1" x14ac:dyDescent="0.2"/>
    <row r="2658" ht="12.75" hidden="1" x14ac:dyDescent="0.2"/>
    <row r="2659" ht="12.75" hidden="1" x14ac:dyDescent="0.2"/>
    <row r="2660" ht="12.75" hidden="1" x14ac:dyDescent="0.2"/>
    <row r="2661" ht="12.75" hidden="1" x14ac:dyDescent="0.2"/>
    <row r="2662" ht="12.75" hidden="1" x14ac:dyDescent="0.2"/>
    <row r="2663" ht="12.75" hidden="1" x14ac:dyDescent="0.2"/>
    <row r="2664" ht="12.75" hidden="1" x14ac:dyDescent="0.2"/>
    <row r="2665" ht="12.75" hidden="1" x14ac:dyDescent="0.2"/>
    <row r="2666" ht="12.75" hidden="1" x14ac:dyDescent="0.2"/>
    <row r="2667" ht="12.75" hidden="1" x14ac:dyDescent="0.2"/>
    <row r="2668" ht="12.75" hidden="1" x14ac:dyDescent="0.2"/>
    <row r="2669" ht="12.75" hidden="1" x14ac:dyDescent="0.2"/>
    <row r="2670" ht="12.75" hidden="1" x14ac:dyDescent="0.2"/>
    <row r="2671" ht="12.75" hidden="1" x14ac:dyDescent="0.2"/>
    <row r="2672" ht="12.75" hidden="1" x14ac:dyDescent="0.2"/>
    <row r="2673" ht="12.75" hidden="1" x14ac:dyDescent="0.2"/>
    <row r="2674" ht="12.75" hidden="1" x14ac:dyDescent="0.2"/>
    <row r="2675" ht="12.75" hidden="1" x14ac:dyDescent="0.2"/>
    <row r="2676" ht="12.75" hidden="1" x14ac:dyDescent="0.2"/>
    <row r="2677" ht="12.75" hidden="1" x14ac:dyDescent="0.2"/>
    <row r="2678" ht="12.75" hidden="1" x14ac:dyDescent="0.2"/>
    <row r="2679" ht="12.75" hidden="1" x14ac:dyDescent="0.2"/>
    <row r="2680" ht="12.75" hidden="1" x14ac:dyDescent="0.2"/>
    <row r="2681" ht="12.75" hidden="1" x14ac:dyDescent="0.2"/>
    <row r="2682" ht="12.75" hidden="1" x14ac:dyDescent="0.2"/>
    <row r="2683" ht="12.75" hidden="1" x14ac:dyDescent="0.2"/>
    <row r="2684" ht="12.75" hidden="1" x14ac:dyDescent="0.2"/>
    <row r="2685" ht="12.75" hidden="1" x14ac:dyDescent="0.2"/>
    <row r="2686" ht="12.75" hidden="1" x14ac:dyDescent="0.2"/>
    <row r="2687" ht="12.75" hidden="1" x14ac:dyDescent="0.2"/>
    <row r="2688" ht="12.75" hidden="1" x14ac:dyDescent="0.2"/>
    <row r="2689" ht="12.75" hidden="1" x14ac:dyDescent="0.2"/>
    <row r="2690" ht="12.75" hidden="1" x14ac:dyDescent="0.2"/>
    <row r="2691" ht="12.75" hidden="1" x14ac:dyDescent="0.2"/>
    <row r="2692" ht="12.75" hidden="1" x14ac:dyDescent="0.2"/>
    <row r="2693" ht="12.75" hidden="1" x14ac:dyDescent="0.2"/>
    <row r="2694" ht="12.75" hidden="1" x14ac:dyDescent="0.2"/>
    <row r="2695" ht="12.75" hidden="1" x14ac:dyDescent="0.2"/>
    <row r="2696" ht="12.75" hidden="1" x14ac:dyDescent="0.2"/>
    <row r="2697" ht="12.75" hidden="1" x14ac:dyDescent="0.2"/>
    <row r="2698" ht="12.75" hidden="1" x14ac:dyDescent="0.2"/>
    <row r="2699" ht="12.75" hidden="1" x14ac:dyDescent="0.2"/>
    <row r="2700" ht="12.75" hidden="1" x14ac:dyDescent="0.2"/>
    <row r="2701" ht="12.75" hidden="1" x14ac:dyDescent="0.2"/>
    <row r="2702" ht="12.75" hidden="1" x14ac:dyDescent="0.2"/>
    <row r="2703" ht="12.75" hidden="1" x14ac:dyDescent="0.2"/>
    <row r="2704" ht="12.75" hidden="1" x14ac:dyDescent="0.2"/>
    <row r="2705" ht="12.75" hidden="1" x14ac:dyDescent="0.2"/>
    <row r="2706" ht="12.75" hidden="1" x14ac:dyDescent="0.2"/>
    <row r="2707" ht="12.75" hidden="1" x14ac:dyDescent="0.2"/>
    <row r="2708" ht="12.75" hidden="1" x14ac:dyDescent="0.2"/>
    <row r="2709" ht="12.75" hidden="1" x14ac:dyDescent="0.2"/>
    <row r="2710" ht="12.75" hidden="1" x14ac:dyDescent="0.2"/>
    <row r="2711" ht="12.75" hidden="1" x14ac:dyDescent="0.2"/>
    <row r="2712" ht="12.75" hidden="1" x14ac:dyDescent="0.2"/>
    <row r="2713" ht="12.75" hidden="1" x14ac:dyDescent="0.2"/>
    <row r="2714" ht="12.75" hidden="1" x14ac:dyDescent="0.2"/>
    <row r="2715" ht="12.75" hidden="1" x14ac:dyDescent="0.2"/>
    <row r="2716" ht="12.75" hidden="1" x14ac:dyDescent="0.2"/>
    <row r="2717" ht="12.75" hidden="1" x14ac:dyDescent="0.2"/>
    <row r="2718" ht="12.75" hidden="1" x14ac:dyDescent="0.2"/>
    <row r="2719" ht="12.75" hidden="1" x14ac:dyDescent="0.2"/>
    <row r="2720" ht="12.75" hidden="1" x14ac:dyDescent="0.2"/>
    <row r="2721" ht="12.75" hidden="1" x14ac:dyDescent="0.2"/>
    <row r="2722" ht="12.75" hidden="1" x14ac:dyDescent="0.2"/>
    <row r="2723" ht="12.75" hidden="1" x14ac:dyDescent="0.2"/>
    <row r="2724" ht="12.75" hidden="1" x14ac:dyDescent="0.2"/>
    <row r="2725" ht="12.75" hidden="1" x14ac:dyDescent="0.2"/>
    <row r="2726" ht="12.75" hidden="1" x14ac:dyDescent="0.2"/>
    <row r="2727" ht="12.75" hidden="1" x14ac:dyDescent="0.2"/>
    <row r="2728" ht="12.75" hidden="1" x14ac:dyDescent="0.2"/>
    <row r="2729" ht="12.75" hidden="1" x14ac:dyDescent="0.2"/>
    <row r="2730" ht="12.75" hidden="1" x14ac:dyDescent="0.2"/>
    <row r="2731" ht="12.75" hidden="1" x14ac:dyDescent="0.2"/>
    <row r="2732" ht="12.75" hidden="1" x14ac:dyDescent="0.2"/>
    <row r="2733" ht="12.75" hidden="1" x14ac:dyDescent="0.2"/>
    <row r="2734" ht="12.75" hidden="1" x14ac:dyDescent="0.2"/>
    <row r="2735" ht="12.75" hidden="1" x14ac:dyDescent="0.2"/>
    <row r="2736" ht="12.75" hidden="1" x14ac:dyDescent="0.2"/>
    <row r="2737" ht="12.75" hidden="1" x14ac:dyDescent="0.2"/>
    <row r="2738" ht="12.75" hidden="1" x14ac:dyDescent="0.2"/>
    <row r="2739" ht="12.75" hidden="1" x14ac:dyDescent="0.2"/>
    <row r="2740" ht="12.75" hidden="1" x14ac:dyDescent="0.2"/>
    <row r="2741" ht="12.75" hidden="1" x14ac:dyDescent="0.2"/>
    <row r="2742" ht="12.75" hidden="1" x14ac:dyDescent="0.2"/>
    <row r="2743" ht="12.75" hidden="1" x14ac:dyDescent="0.2"/>
    <row r="2744" ht="12.75" hidden="1" x14ac:dyDescent="0.2"/>
    <row r="2745" ht="12.75" hidden="1" x14ac:dyDescent="0.2"/>
    <row r="2746" ht="12.75" hidden="1" x14ac:dyDescent="0.2"/>
    <row r="2747" ht="12.75" hidden="1" x14ac:dyDescent="0.2"/>
    <row r="2748" ht="12.75" hidden="1" x14ac:dyDescent="0.2"/>
    <row r="2749" ht="12.75" hidden="1" x14ac:dyDescent="0.2"/>
    <row r="2750" ht="12.75" hidden="1" x14ac:dyDescent="0.2"/>
    <row r="2751" ht="12.75" hidden="1" x14ac:dyDescent="0.2"/>
    <row r="2752" ht="12.75" hidden="1" x14ac:dyDescent="0.2"/>
    <row r="2753" ht="12.75" hidden="1" x14ac:dyDescent="0.2"/>
    <row r="2754" ht="12.75" hidden="1" x14ac:dyDescent="0.2"/>
    <row r="2755" ht="12.75" hidden="1" x14ac:dyDescent="0.2"/>
    <row r="2756" ht="12.75" hidden="1" x14ac:dyDescent="0.2"/>
    <row r="2757" ht="12.75" hidden="1" x14ac:dyDescent="0.2"/>
    <row r="2758" ht="12.75" hidden="1" x14ac:dyDescent="0.2"/>
    <row r="2759" ht="12.75" hidden="1" x14ac:dyDescent="0.2"/>
    <row r="2760" ht="12.75" hidden="1" x14ac:dyDescent="0.2"/>
    <row r="2761" ht="12.75" hidden="1" x14ac:dyDescent="0.2"/>
    <row r="2762" ht="12.75" hidden="1" x14ac:dyDescent="0.2"/>
    <row r="2763" ht="12.75" hidden="1" x14ac:dyDescent="0.2"/>
    <row r="2764" ht="12.75" hidden="1" x14ac:dyDescent="0.2"/>
    <row r="2765" ht="12.75" hidden="1" x14ac:dyDescent="0.2"/>
    <row r="2766" ht="12.75" hidden="1" x14ac:dyDescent="0.2"/>
    <row r="2767" ht="12.75" hidden="1" x14ac:dyDescent="0.2"/>
    <row r="2768" ht="12.75" hidden="1" x14ac:dyDescent="0.2"/>
    <row r="2769" ht="12.75" hidden="1" x14ac:dyDescent="0.2"/>
    <row r="2770" ht="12.75" hidden="1" x14ac:dyDescent="0.2"/>
    <row r="2771" ht="12.75" hidden="1" x14ac:dyDescent="0.2"/>
    <row r="2772" ht="12.75" hidden="1" x14ac:dyDescent="0.2"/>
    <row r="2773" ht="12.75" hidden="1" x14ac:dyDescent="0.2"/>
    <row r="2774" ht="12.75" hidden="1" x14ac:dyDescent="0.2"/>
    <row r="2775" ht="12.75" hidden="1" x14ac:dyDescent="0.2"/>
    <row r="2776" ht="12.75" hidden="1" x14ac:dyDescent="0.2"/>
    <row r="2777" ht="12.75" hidden="1" x14ac:dyDescent="0.2"/>
    <row r="2778" ht="12.75" hidden="1" x14ac:dyDescent="0.2"/>
    <row r="2779" ht="12.75" hidden="1" x14ac:dyDescent="0.2"/>
    <row r="2780" ht="12.75" hidden="1" x14ac:dyDescent="0.2"/>
    <row r="2781" ht="12.75" hidden="1" x14ac:dyDescent="0.2"/>
    <row r="2782" ht="12.75" hidden="1" x14ac:dyDescent="0.2"/>
    <row r="2783" ht="12.75" hidden="1" x14ac:dyDescent="0.2"/>
    <row r="2784" ht="12.75" hidden="1" x14ac:dyDescent="0.2"/>
    <row r="2785" ht="12.75" hidden="1" x14ac:dyDescent="0.2"/>
    <row r="2786" ht="12.75" hidden="1" x14ac:dyDescent="0.2"/>
    <row r="2787" ht="12.75" hidden="1" x14ac:dyDescent="0.2"/>
    <row r="2788" ht="12.75" hidden="1" x14ac:dyDescent="0.2"/>
    <row r="2789" ht="12.75" hidden="1" x14ac:dyDescent="0.2"/>
    <row r="2790" ht="12.75" hidden="1" x14ac:dyDescent="0.2"/>
    <row r="2791" ht="12.75" hidden="1" x14ac:dyDescent="0.2"/>
    <row r="2792" ht="12.75" hidden="1" x14ac:dyDescent="0.2"/>
    <row r="2793" ht="12.75" hidden="1" x14ac:dyDescent="0.2"/>
    <row r="2794" ht="12.75" hidden="1" x14ac:dyDescent="0.2"/>
    <row r="2795" ht="12.75" hidden="1" x14ac:dyDescent="0.2"/>
    <row r="2796" ht="12.75" hidden="1" x14ac:dyDescent="0.2"/>
    <row r="2797" ht="12.75" hidden="1" x14ac:dyDescent="0.2"/>
    <row r="2798" ht="12.75" hidden="1" x14ac:dyDescent="0.2"/>
    <row r="2799" ht="12.75" hidden="1" x14ac:dyDescent="0.2"/>
    <row r="2800" ht="12.75" hidden="1" x14ac:dyDescent="0.2"/>
    <row r="2801" ht="12.75" hidden="1" x14ac:dyDescent="0.2"/>
    <row r="2802" ht="12.75" hidden="1" x14ac:dyDescent="0.2"/>
    <row r="2803" ht="12.75" hidden="1" x14ac:dyDescent="0.2"/>
    <row r="2804" ht="12.75" hidden="1" x14ac:dyDescent="0.2"/>
    <row r="2805" ht="12.75" hidden="1" x14ac:dyDescent="0.2"/>
    <row r="2806" ht="12.75" hidden="1" x14ac:dyDescent="0.2"/>
    <row r="2807" ht="12.75" hidden="1" x14ac:dyDescent="0.2"/>
    <row r="2808" ht="12.75" hidden="1" x14ac:dyDescent="0.2"/>
    <row r="2809" ht="12.75" hidden="1" x14ac:dyDescent="0.2"/>
    <row r="2810" ht="12.75" hidden="1" x14ac:dyDescent="0.2"/>
    <row r="2811" ht="12.75" hidden="1" x14ac:dyDescent="0.2"/>
    <row r="2812" ht="12.75" hidden="1" x14ac:dyDescent="0.2"/>
    <row r="2813" ht="12.75" hidden="1" x14ac:dyDescent="0.2"/>
    <row r="2814" ht="12.75" hidden="1" x14ac:dyDescent="0.2"/>
    <row r="2815" ht="12.75" hidden="1" x14ac:dyDescent="0.2"/>
    <row r="2816" ht="12.75" hidden="1" x14ac:dyDescent="0.2"/>
    <row r="2817" ht="12.75" hidden="1" x14ac:dyDescent="0.2"/>
    <row r="2818" ht="12.75" hidden="1" x14ac:dyDescent="0.2"/>
    <row r="2819" ht="12.75" hidden="1" x14ac:dyDescent="0.2"/>
    <row r="2820" ht="12.75" hidden="1" x14ac:dyDescent="0.2"/>
    <row r="2821" ht="12.75" hidden="1" x14ac:dyDescent="0.2"/>
    <row r="2822" ht="12.75" hidden="1" x14ac:dyDescent="0.2"/>
    <row r="2823" ht="12.75" hidden="1" x14ac:dyDescent="0.2"/>
    <row r="2824" ht="12.75" hidden="1" x14ac:dyDescent="0.2"/>
    <row r="2825" ht="12.75" hidden="1" x14ac:dyDescent="0.2"/>
    <row r="2826" ht="12.75" hidden="1" x14ac:dyDescent="0.2"/>
    <row r="2827" ht="12.75" hidden="1" x14ac:dyDescent="0.2"/>
    <row r="2828" ht="12.75" hidden="1" x14ac:dyDescent="0.2"/>
    <row r="2829" ht="12.75" hidden="1" x14ac:dyDescent="0.2"/>
    <row r="2830" ht="12.75" hidden="1" x14ac:dyDescent="0.2"/>
    <row r="2831" ht="12.75" hidden="1" x14ac:dyDescent="0.2"/>
    <row r="2832" ht="12.75" hidden="1" x14ac:dyDescent="0.2"/>
    <row r="2833" ht="12.75" hidden="1" x14ac:dyDescent="0.2"/>
    <row r="2834" ht="12.75" hidden="1" x14ac:dyDescent="0.2"/>
    <row r="2835" ht="12.75" hidden="1" x14ac:dyDescent="0.2"/>
    <row r="2836" ht="12.75" hidden="1" x14ac:dyDescent="0.2"/>
    <row r="2837" ht="12.75" hidden="1" x14ac:dyDescent="0.2"/>
    <row r="2838" ht="12.75" hidden="1" x14ac:dyDescent="0.2"/>
    <row r="2839" ht="12.75" hidden="1" x14ac:dyDescent="0.2"/>
    <row r="2840" ht="12.75" hidden="1" x14ac:dyDescent="0.2"/>
    <row r="2841" ht="12.75" hidden="1" x14ac:dyDescent="0.2"/>
    <row r="2842" ht="12.75" hidden="1" x14ac:dyDescent="0.2"/>
    <row r="2843" ht="12.75" hidden="1" x14ac:dyDescent="0.2"/>
    <row r="2844" ht="12.75" hidden="1" x14ac:dyDescent="0.2"/>
    <row r="2845" ht="12.75" hidden="1" x14ac:dyDescent="0.2"/>
    <row r="2846" ht="12.75" hidden="1" x14ac:dyDescent="0.2"/>
    <row r="2847" ht="12.75" hidden="1" x14ac:dyDescent="0.2"/>
    <row r="2848" ht="12.75" hidden="1" x14ac:dyDescent="0.2"/>
    <row r="2849" ht="12.75" hidden="1" x14ac:dyDescent="0.2"/>
    <row r="2850" ht="12.75" hidden="1" x14ac:dyDescent="0.2"/>
    <row r="2851" ht="12.75" hidden="1" x14ac:dyDescent="0.2"/>
    <row r="2852" ht="12.75" hidden="1" x14ac:dyDescent="0.2"/>
    <row r="2853" ht="12.75" hidden="1" x14ac:dyDescent="0.2"/>
    <row r="2854" ht="12.75" hidden="1" x14ac:dyDescent="0.2"/>
    <row r="2855" ht="12.75" hidden="1" x14ac:dyDescent="0.2"/>
    <row r="2856" ht="12.75" hidden="1" x14ac:dyDescent="0.2"/>
    <row r="2857" ht="12.75" hidden="1" x14ac:dyDescent="0.2"/>
    <row r="2858" ht="12.75" hidden="1" x14ac:dyDescent="0.2"/>
    <row r="2859" ht="12.75" hidden="1" x14ac:dyDescent="0.2"/>
    <row r="2860" ht="12.75" hidden="1" x14ac:dyDescent="0.2"/>
    <row r="2861" ht="12.75" hidden="1" x14ac:dyDescent="0.2"/>
    <row r="2862" ht="12.75" hidden="1" x14ac:dyDescent="0.2"/>
    <row r="2863" ht="12.75" hidden="1" x14ac:dyDescent="0.2"/>
    <row r="2864" ht="12.75" hidden="1" x14ac:dyDescent="0.2"/>
    <row r="2865" ht="12.75" hidden="1" x14ac:dyDescent="0.2"/>
    <row r="2866" ht="12.75" hidden="1" x14ac:dyDescent="0.2"/>
    <row r="2867" ht="12.75" hidden="1" x14ac:dyDescent="0.2"/>
    <row r="2868" ht="12.75" hidden="1" x14ac:dyDescent="0.2"/>
    <row r="2869" ht="12.75" hidden="1" x14ac:dyDescent="0.2"/>
    <row r="2870" ht="12.75" hidden="1" x14ac:dyDescent="0.2"/>
    <row r="2871" ht="12.75" hidden="1" x14ac:dyDescent="0.2"/>
    <row r="2872" ht="12.75" hidden="1" x14ac:dyDescent="0.2"/>
    <row r="2873" ht="12.75" hidden="1" x14ac:dyDescent="0.2"/>
    <row r="2874" ht="12.75" hidden="1" x14ac:dyDescent="0.2"/>
    <row r="2875" ht="12.75" hidden="1" x14ac:dyDescent="0.2"/>
    <row r="2876" ht="12.75" hidden="1" x14ac:dyDescent="0.2"/>
    <row r="2877" ht="12.75" hidden="1" x14ac:dyDescent="0.2"/>
    <row r="2878" ht="12.75" hidden="1" x14ac:dyDescent="0.2"/>
    <row r="2879" ht="12.75" hidden="1" x14ac:dyDescent="0.2"/>
    <row r="2880" ht="12.75" hidden="1" x14ac:dyDescent="0.2"/>
    <row r="2881" ht="12.75" hidden="1" x14ac:dyDescent="0.2"/>
    <row r="2882" ht="12.75" hidden="1" x14ac:dyDescent="0.2"/>
    <row r="2883" ht="12.75" hidden="1" x14ac:dyDescent="0.2"/>
    <row r="2884" ht="12.75" hidden="1" x14ac:dyDescent="0.2"/>
    <row r="2885" ht="12.75" hidden="1" x14ac:dyDescent="0.2"/>
    <row r="2886" ht="12.75" hidden="1" x14ac:dyDescent="0.2"/>
    <row r="2887" ht="12.75" hidden="1" x14ac:dyDescent="0.2"/>
    <row r="2888" ht="12.75" hidden="1" x14ac:dyDescent="0.2"/>
    <row r="2889" ht="12.75" hidden="1" x14ac:dyDescent="0.2"/>
    <row r="2890" ht="12.75" hidden="1" x14ac:dyDescent="0.2"/>
    <row r="2891" ht="12.75" hidden="1" x14ac:dyDescent="0.2"/>
    <row r="2892" ht="12.75" hidden="1" x14ac:dyDescent="0.2"/>
    <row r="2893" ht="12.75" hidden="1" x14ac:dyDescent="0.2"/>
    <row r="2894" ht="12.75" hidden="1" x14ac:dyDescent="0.2"/>
    <row r="2895" ht="12.75" hidden="1" x14ac:dyDescent="0.2"/>
    <row r="2896" ht="12.75" hidden="1" x14ac:dyDescent="0.2"/>
    <row r="2897" ht="12.75" hidden="1" x14ac:dyDescent="0.2"/>
    <row r="2898" ht="12.75" hidden="1" x14ac:dyDescent="0.2"/>
    <row r="2899" ht="12.75" hidden="1" x14ac:dyDescent="0.2"/>
    <row r="2900" ht="12.75" hidden="1" x14ac:dyDescent="0.2"/>
    <row r="2901" ht="12.75" hidden="1" x14ac:dyDescent="0.2"/>
    <row r="2902" ht="12.75" hidden="1" x14ac:dyDescent="0.2"/>
    <row r="2903" ht="12.75" hidden="1" x14ac:dyDescent="0.2"/>
    <row r="2904" ht="12.75" hidden="1" x14ac:dyDescent="0.2"/>
    <row r="2905" ht="12.75" hidden="1" x14ac:dyDescent="0.2"/>
    <row r="2906" ht="12.75" hidden="1" x14ac:dyDescent="0.2"/>
    <row r="2907" ht="12.75" hidden="1" x14ac:dyDescent="0.2"/>
    <row r="2908" ht="12.75" hidden="1" x14ac:dyDescent="0.2"/>
    <row r="2909" ht="12.75" hidden="1" x14ac:dyDescent="0.2"/>
    <row r="2910" ht="12.75" hidden="1" x14ac:dyDescent="0.2"/>
    <row r="2911" ht="12.75" hidden="1" x14ac:dyDescent="0.2"/>
    <row r="2912" ht="12.75" hidden="1" x14ac:dyDescent="0.2"/>
    <row r="2913" ht="12.75" hidden="1" x14ac:dyDescent="0.2"/>
    <row r="2914" ht="12.75" hidden="1" x14ac:dyDescent="0.2"/>
    <row r="2915" ht="12.75" hidden="1" x14ac:dyDescent="0.2"/>
    <row r="2916" ht="12.75" hidden="1" x14ac:dyDescent="0.2"/>
    <row r="2917" ht="12.75" hidden="1" x14ac:dyDescent="0.2"/>
    <row r="2918" ht="12.75" hidden="1" x14ac:dyDescent="0.2"/>
    <row r="2919" ht="12.75" hidden="1" x14ac:dyDescent="0.2"/>
    <row r="2920" ht="12.75" hidden="1" x14ac:dyDescent="0.2"/>
    <row r="2921" ht="12.75" hidden="1" x14ac:dyDescent="0.2"/>
    <row r="2922" ht="12.75" hidden="1" x14ac:dyDescent="0.2"/>
    <row r="2923" ht="12.75" hidden="1" x14ac:dyDescent="0.2"/>
    <row r="2924" ht="12.75" hidden="1" x14ac:dyDescent="0.2"/>
    <row r="2925" ht="12.75" hidden="1" x14ac:dyDescent="0.2"/>
    <row r="2926" ht="12.75" hidden="1" x14ac:dyDescent="0.2"/>
    <row r="2927" ht="12.75" hidden="1" x14ac:dyDescent="0.2"/>
    <row r="2928" ht="12.75" hidden="1" x14ac:dyDescent="0.2"/>
    <row r="2929" ht="12.75" hidden="1" x14ac:dyDescent="0.2"/>
    <row r="2930" ht="12.75" hidden="1" x14ac:dyDescent="0.2"/>
    <row r="2931" ht="12.75" hidden="1" x14ac:dyDescent="0.2"/>
    <row r="2932" ht="12.75" hidden="1" x14ac:dyDescent="0.2"/>
    <row r="2933" ht="12.75" hidden="1" x14ac:dyDescent="0.2"/>
    <row r="2934" ht="12.75" hidden="1" x14ac:dyDescent="0.2"/>
    <row r="2935" ht="12.75" hidden="1" x14ac:dyDescent="0.2"/>
    <row r="2936" ht="12.75" hidden="1" x14ac:dyDescent="0.2"/>
    <row r="2937" ht="12.75" hidden="1" x14ac:dyDescent="0.2"/>
    <row r="2938" ht="12.75" hidden="1" x14ac:dyDescent="0.2"/>
    <row r="2939" ht="12.75" hidden="1" x14ac:dyDescent="0.2"/>
    <row r="2940" ht="12.75" hidden="1" x14ac:dyDescent="0.2"/>
    <row r="2941" ht="12.75" hidden="1" x14ac:dyDescent="0.2"/>
    <row r="2942" ht="12.75" hidden="1" x14ac:dyDescent="0.2"/>
    <row r="2943" ht="12.75" hidden="1" x14ac:dyDescent="0.2"/>
    <row r="2944" ht="12.75" hidden="1" x14ac:dyDescent="0.2"/>
    <row r="2945" ht="12.75" hidden="1" x14ac:dyDescent="0.2"/>
    <row r="2946" ht="12.75" hidden="1" x14ac:dyDescent="0.2"/>
    <row r="2947" ht="12.75" hidden="1" x14ac:dyDescent="0.2"/>
    <row r="2948" ht="12.75" hidden="1" x14ac:dyDescent="0.2"/>
    <row r="2949" ht="12.75" hidden="1" x14ac:dyDescent="0.2"/>
    <row r="2950" ht="12.75" hidden="1" x14ac:dyDescent="0.2"/>
    <row r="2951" ht="12.75" hidden="1" x14ac:dyDescent="0.2"/>
    <row r="2952" ht="12.75" hidden="1" x14ac:dyDescent="0.2"/>
    <row r="2953" ht="12.75" hidden="1" x14ac:dyDescent="0.2"/>
    <row r="2954" ht="12.75" hidden="1" x14ac:dyDescent="0.2"/>
    <row r="2955" ht="12.75" hidden="1" x14ac:dyDescent="0.2"/>
    <row r="2956" ht="12.75" hidden="1" x14ac:dyDescent="0.2"/>
    <row r="2957" ht="12.75" hidden="1" x14ac:dyDescent="0.2"/>
    <row r="2958" ht="12.75" hidden="1" x14ac:dyDescent="0.2"/>
    <row r="2959" ht="12.75" hidden="1" x14ac:dyDescent="0.2"/>
    <row r="2960" ht="12.75" hidden="1" x14ac:dyDescent="0.2"/>
    <row r="2961" ht="12.75" hidden="1" x14ac:dyDescent="0.2"/>
    <row r="2962" ht="12.75" hidden="1" x14ac:dyDescent="0.2"/>
    <row r="2963" ht="12.75" hidden="1" x14ac:dyDescent="0.2"/>
    <row r="2964" ht="12.75" hidden="1" x14ac:dyDescent="0.2"/>
    <row r="2965" ht="12.75" hidden="1" x14ac:dyDescent="0.2"/>
    <row r="2966" ht="12.75" hidden="1" x14ac:dyDescent="0.2"/>
    <row r="2967" ht="12.75" hidden="1" x14ac:dyDescent="0.2"/>
    <row r="2968" ht="12.75" hidden="1" x14ac:dyDescent="0.2"/>
    <row r="2969" ht="12.75" hidden="1" x14ac:dyDescent="0.2"/>
    <row r="2970" ht="12.75" hidden="1" x14ac:dyDescent="0.2"/>
    <row r="2971" ht="12.75" hidden="1" x14ac:dyDescent="0.2"/>
    <row r="2972" ht="12.75" hidden="1" x14ac:dyDescent="0.2"/>
    <row r="2973" ht="12.75" hidden="1" x14ac:dyDescent="0.2"/>
    <row r="2974" ht="12.75" hidden="1" x14ac:dyDescent="0.2"/>
    <row r="2975" ht="12.75" hidden="1" x14ac:dyDescent="0.2"/>
    <row r="2976" ht="12.75" hidden="1" x14ac:dyDescent="0.2"/>
    <row r="2977" ht="12.75" hidden="1" x14ac:dyDescent="0.2"/>
    <row r="2978" ht="12.75" hidden="1" x14ac:dyDescent="0.2"/>
    <row r="2979" ht="12.75" hidden="1" x14ac:dyDescent="0.2"/>
    <row r="2980" ht="12.75" hidden="1" x14ac:dyDescent="0.2"/>
    <row r="2981" ht="12.75" hidden="1" x14ac:dyDescent="0.2"/>
    <row r="2982" ht="12.75" hidden="1" x14ac:dyDescent="0.2"/>
    <row r="2983" ht="12.75" hidden="1" x14ac:dyDescent="0.2"/>
    <row r="2984" ht="12.75" hidden="1" x14ac:dyDescent="0.2"/>
    <row r="2985" ht="12.75" hidden="1" x14ac:dyDescent="0.2"/>
    <row r="2986" ht="12.75" hidden="1" x14ac:dyDescent="0.2"/>
    <row r="2987" ht="12.75" hidden="1" x14ac:dyDescent="0.2"/>
    <row r="2988" ht="12.75" hidden="1" x14ac:dyDescent="0.2"/>
    <row r="2989" ht="12.75" hidden="1" x14ac:dyDescent="0.2"/>
    <row r="2990" ht="12.75" hidden="1" x14ac:dyDescent="0.2"/>
    <row r="2991" ht="12.75" hidden="1" x14ac:dyDescent="0.2"/>
    <row r="2992" ht="12.75" hidden="1" x14ac:dyDescent="0.2"/>
    <row r="2993" ht="12.75" hidden="1" x14ac:dyDescent="0.2"/>
    <row r="2994" ht="12.75" hidden="1" x14ac:dyDescent="0.2"/>
    <row r="2995" ht="12.75" hidden="1" x14ac:dyDescent="0.2"/>
    <row r="2996" ht="12.75" hidden="1" x14ac:dyDescent="0.2"/>
    <row r="2997" ht="12.75" hidden="1" x14ac:dyDescent="0.2"/>
    <row r="2998" ht="12.75" hidden="1" x14ac:dyDescent="0.2"/>
    <row r="2999" ht="12.75" hidden="1" x14ac:dyDescent="0.2"/>
    <row r="3000" ht="12.75" hidden="1" x14ac:dyDescent="0.2"/>
    <row r="3001" ht="12.75" hidden="1" x14ac:dyDescent="0.2"/>
    <row r="3002" ht="12.75" hidden="1" x14ac:dyDescent="0.2"/>
    <row r="3003" ht="12.75" hidden="1" x14ac:dyDescent="0.2"/>
    <row r="3004" ht="12.75" hidden="1" x14ac:dyDescent="0.2"/>
    <row r="3005" ht="12.75" hidden="1" x14ac:dyDescent="0.2"/>
    <row r="3006" ht="12.75" hidden="1" x14ac:dyDescent="0.2"/>
    <row r="3007" ht="12.75" hidden="1" x14ac:dyDescent="0.2"/>
    <row r="3008" ht="12.75" hidden="1" x14ac:dyDescent="0.2"/>
    <row r="3009" ht="12.75" hidden="1" x14ac:dyDescent="0.2"/>
    <row r="3010" ht="12.75" hidden="1" x14ac:dyDescent="0.2"/>
    <row r="3011" ht="12.75" hidden="1" x14ac:dyDescent="0.2"/>
    <row r="3012" ht="12.75" hidden="1" x14ac:dyDescent="0.2"/>
    <row r="3013" ht="12.75" hidden="1" x14ac:dyDescent="0.2"/>
    <row r="3014" ht="12.75" hidden="1" x14ac:dyDescent="0.2"/>
    <row r="3015" ht="12.75" hidden="1" x14ac:dyDescent="0.2"/>
    <row r="3016" ht="12.75" hidden="1" x14ac:dyDescent="0.2"/>
    <row r="3017" ht="12.75" hidden="1" x14ac:dyDescent="0.2"/>
    <row r="3018" ht="12.75" hidden="1" x14ac:dyDescent="0.2"/>
    <row r="3019" ht="12.75" hidden="1" x14ac:dyDescent="0.2"/>
    <row r="3020" ht="12.75" hidden="1" x14ac:dyDescent="0.2"/>
    <row r="3021" ht="12.75" hidden="1" x14ac:dyDescent="0.2"/>
    <row r="3022" ht="12.75" hidden="1" x14ac:dyDescent="0.2"/>
    <row r="3023" ht="12.75" hidden="1" x14ac:dyDescent="0.2"/>
    <row r="3024" ht="12.75" hidden="1" x14ac:dyDescent="0.2"/>
    <row r="3025" ht="12.75" hidden="1" x14ac:dyDescent="0.2"/>
    <row r="3026" ht="12.75" hidden="1" x14ac:dyDescent="0.2"/>
    <row r="3027" ht="12.75" hidden="1" x14ac:dyDescent="0.2"/>
    <row r="3028" ht="12.75" hidden="1" x14ac:dyDescent="0.2"/>
    <row r="3029" ht="12.75" hidden="1" x14ac:dyDescent="0.2"/>
    <row r="3030" ht="12.75" hidden="1" x14ac:dyDescent="0.2"/>
    <row r="3031" ht="12.75" hidden="1" x14ac:dyDescent="0.2"/>
    <row r="3032" ht="12.75" hidden="1" x14ac:dyDescent="0.2"/>
    <row r="3033" ht="12.75" hidden="1" x14ac:dyDescent="0.2"/>
    <row r="3034" ht="12.75" hidden="1" x14ac:dyDescent="0.2"/>
    <row r="3035" ht="12.75" hidden="1" x14ac:dyDescent="0.2"/>
    <row r="3036" ht="12.75" hidden="1" x14ac:dyDescent="0.2"/>
    <row r="3037" ht="12.75" hidden="1" x14ac:dyDescent="0.2"/>
    <row r="3038" ht="12.75" hidden="1" x14ac:dyDescent="0.2"/>
    <row r="3039" ht="12.75" hidden="1" x14ac:dyDescent="0.2"/>
    <row r="3040" ht="12.75" hidden="1" x14ac:dyDescent="0.2"/>
    <row r="3041" ht="12.75" hidden="1" x14ac:dyDescent="0.2"/>
    <row r="3042" ht="12.75" hidden="1" x14ac:dyDescent="0.2"/>
    <row r="3043" ht="12.75" hidden="1" x14ac:dyDescent="0.2"/>
    <row r="3044" ht="12.75" hidden="1" x14ac:dyDescent="0.2"/>
    <row r="3045" ht="12.75" hidden="1" x14ac:dyDescent="0.2"/>
    <row r="3046" ht="12.75" hidden="1" x14ac:dyDescent="0.2"/>
    <row r="3047" ht="12.75" hidden="1" x14ac:dyDescent="0.2"/>
    <row r="3048" ht="12.75" hidden="1" x14ac:dyDescent="0.2"/>
    <row r="3049" ht="12.75" hidden="1" x14ac:dyDescent="0.2"/>
    <row r="3050" ht="12.75" hidden="1" x14ac:dyDescent="0.2"/>
    <row r="3051" ht="12.75" hidden="1" x14ac:dyDescent="0.2"/>
    <row r="3052" ht="12.75" hidden="1" x14ac:dyDescent="0.2"/>
    <row r="3053" ht="12.75" hidden="1" x14ac:dyDescent="0.2"/>
    <row r="3054" ht="12.75" hidden="1" x14ac:dyDescent="0.2"/>
    <row r="3055" ht="12.75" hidden="1" x14ac:dyDescent="0.2"/>
    <row r="3056" ht="12.75" hidden="1" x14ac:dyDescent="0.2"/>
    <row r="3057" ht="12.75" hidden="1" x14ac:dyDescent="0.2"/>
    <row r="3058" ht="12.75" hidden="1" x14ac:dyDescent="0.2"/>
    <row r="3059" ht="12.75" hidden="1" x14ac:dyDescent="0.2"/>
    <row r="3060" ht="12.75" hidden="1" x14ac:dyDescent="0.2"/>
    <row r="3061" ht="12.75" hidden="1" x14ac:dyDescent="0.2"/>
    <row r="3062" ht="12.75" hidden="1" x14ac:dyDescent="0.2"/>
    <row r="3063" ht="12.75" hidden="1" x14ac:dyDescent="0.2"/>
    <row r="3064" ht="12.75" hidden="1" x14ac:dyDescent="0.2"/>
    <row r="3065" ht="12.75" hidden="1" x14ac:dyDescent="0.2"/>
    <row r="3066" ht="12.75" hidden="1" x14ac:dyDescent="0.2"/>
    <row r="3067" ht="12.75" hidden="1" x14ac:dyDescent="0.2"/>
    <row r="3068" ht="12.75" hidden="1" x14ac:dyDescent="0.2"/>
    <row r="3069" ht="12.75" hidden="1" x14ac:dyDescent="0.2"/>
    <row r="3070" ht="12.75" hidden="1" x14ac:dyDescent="0.2"/>
    <row r="3071" ht="12.75" hidden="1" x14ac:dyDescent="0.2"/>
    <row r="3072" ht="12.75" hidden="1" x14ac:dyDescent="0.2"/>
    <row r="3073" ht="12.75" hidden="1" x14ac:dyDescent="0.2"/>
    <row r="3074" ht="12.75" hidden="1" x14ac:dyDescent="0.2"/>
    <row r="3075" ht="12.75" hidden="1" x14ac:dyDescent="0.2"/>
    <row r="3076" ht="12.75" hidden="1" x14ac:dyDescent="0.2"/>
    <row r="3077" ht="12.75" hidden="1" x14ac:dyDescent="0.2"/>
    <row r="3078" ht="12.75" hidden="1" x14ac:dyDescent="0.2"/>
    <row r="3079" ht="12.75" hidden="1" x14ac:dyDescent="0.2"/>
    <row r="3080" ht="12.75" hidden="1" x14ac:dyDescent="0.2"/>
    <row r="3081" ht="12.75" hidden="1" x14ac:dyDescent="0.2"/>
    <row r="3082" ht="12.75" hidden="1" x14ac:dyDescent="0.2"/>
    <row r="3083" ht="12.75" hidden="1" x14ac:dyDescent="0.2"/>
    <row r="3084" ht="12.75" hidden="1" x14ac:dyDescent="0.2"/>
    <row r="3085" ht="12.75" hidden="1" x14ac:dyDescent="0.2"/>
    <row r="3086" ht="12.75" hidden="1" x14ac:dyDescent="0.2"/>
    <row r="3087" ht="12.75" hidden="1" x14ac:dyDescent="0.2"/>
    <row r="3088" ht="12.75" hidden="1" x14ac:dyDescent="0.2"/>
    <row r="3089" ht="12.75" hidden="1" x14ac:dyDescent="0.2"/>
    <row r="3090" ht="12.75" hidden="1" x14ac:dyDescent="0.2"/>
    <row r="3091" ht="12.75" hidden="1" x14ac:dyDescent="0.2"/>
    <row r="3092" ht="12.75" hidden="1" x14ac:dyDescent="0.2"/>
    <row r="3093" ht="12.75" hidden="1" x14ac:dyDescent="0.2"/>
    <row r="3094" ht="12.75" hidden="1" x14ac:dyDescent="0.2"/>
    <row r="3095" ht="12.75" hidden="1" x14ac:dyDescent="0.2"/>
    <row r="3096" ht="12.75" hidden="1" x14ac:dyDescent="0.2"/>
    <row r="3097" ht="12.75" hidden="1" x14ac:dyDescent="0.2"/>
    <row r="3098" ht="12.75" hidden="1" x14ac:dyDescent="0.2"/>
    <row r="3099" ht="12.75" hidden="1" x14ac:dyDescent="0.2"/>
    <row r="3100" ht="12.75" hidden="1" x14ac:dyDescent="0.2"/>
    <row r="3101" ht="12.75" hidden="1" x14ac:dyDescent="0.2"/>
    <row r="3102" ht="12.75" hidden="1" x14ac:dyDescent="0.2"/>
    <row r="3103" ht="12.75" hidden="1" x14ac:dyDescent="0.2"/>
    <row r="3104" ht="12.75" hidden="1" x14ac:dyDescent="0.2"/>
    <row r="3105" ht="12.75" hidden="1" x14ac:dyDescent="0.2"/>
    <row r="3106" ht="12.75" hidden="1" x14ac:dyDescent="0.2"/>
    <row r="3107" ht="12.75" hidden="1" x14ac:dyDescent="0.2"/>
    <row r="3108" ht="12.75" hidden="1" x14ac:dyDescent="0.2"/>
    <row r="3109" ht="12.75" hidden="1" x14ac:dyDescent="0.2"/>
    <row r="3110" ht="12.75" hidden="1" x14ac:dyDescent="0.2"/>
    <row r="3111" ht="12.75" hidden="1" x14ac:dyDescent="0.2"/>
    <row r="3112" ht="12.75" hidden="1" x14ac:dyDescent="0.2"/>
    <row r="3113" ht="12.75" hidden="1" x14ac:dyDescent="0.2"/>
    <row r="3114" ht="12.75" hidden="1" x14ac:dyDescent="0.2"/>
    <row r="3115" ht="12.75" hidden="1" x14ac:dyDescent="0.2"/>
    <row r="3116" ht="12.75" hidden="1" x14ac:dyDescent="0.2"/>
    <row r="3117" ht="12.75" hidden="1" x14ac:dyDescent="0.2"/>
    <row r="3118" ht="12.75" hidden="1" x14ac:dyDescent="0.2"/>
    <row r="3119" ht="12.75" hidden="1" x14ac:dyDescent="0.2"/>
    <row r="3120" ht="12.75" hidden="1" x14ac:dyDescent="0.2"/>
    <row r="3121" ht="12.75" hidden="1" x14ac:dyDescent="0.2"/>
    <row r="3122" ht="12.75" hidden="1" x14ac:dyDescent="0.2"/>
    <row r="3123" ht="12.75" hidden="1" x14ac:dyDescent="0.2"/>
    <row r="3124" ht="12.75" hidden="1" x14ac:dyDescent="0.2"/>
    <row r="3125" ht="12.75" hidden="1" x14ac:dyDescent="0.2"/>
    <row r="3126" ht="12.75" hidden="1" x14ac:dyDescent="0.2"/>
    <row r="3127" ht="12.75" hidden="1" x14ac:dyDescent="0.2"/>
    <row r="3128" ht="12.75" hidden="1" x14ac:dyDescent="0.2"/>
    <row r="3129" ht="12.75" hidden="1" x14ac:dyDescent="0.2"/>
    <row r="3130" ht="12.75" hidden="1" x14ac:dyDescent="0.2"/>
    <row r="3131" ht="12.75" hidden="1" x14ac:dyDescent="0.2"/>
    <row r="3132" ht="12.75" hidden="1" x14ac:dyDescent="0.2"/>
    <row r="3133" ht="12.75" hidden="1" x14ac:dyDescent="0.2"/>
    <row r="3134" ht="12.75" hidden="1" x14ac:dyDescent="0.2"/>
    <row r="3135" ht="12.75" hidden="1" x14ac:dyDescent="0.2"/>
    <row r="3136" ht="12.75" hidden="1" x14ac:dyDescent="0.2"/>
    <row r="3137" ht="12.75" hidden="1" x14ac:dyDescent="0.2"/>
    <row r="3138" ht="12.75" hidden="1" x14ac:dyDescent="0.2"/>
    <row r="3139" ht="12.75" hidden="1" x14ac:dyDescent="0.2"/>
    <row r="3140" ht="12.75" hidden="1" x14ac:dyDescent="0.2"/>
    <row r="3141" ht="12.75" hidden="1" x14ac:dyDescent="0.2"/>
    <row r="3142" ht="12.75" hidden="1" x14ac:dyDescent="0.2"/>
    <row r="3143" ht="12.75" hidden="1" x14ac:dyDescent="0.2"/>
    <row r="3144" ht="12.75" hidden="1" x14ac:dyDescent="0.2"/>
    <row r="3145" ht="12.75" hidden="1" x14ac:dyDescent="0.2"/>
    <row r="3146" ht="12.75" hidden="1" x14ac:dyDescent="0.2"/>
    <row r="3147" ht="12.75" hidden="1" x14ac:dyDescent="0.2"/>
    <row r="3148" ht="12.75" hidden="1" x14ac:dyDescent="0.2"/>
    <row r="3149" ht="12.75" hidden="1" x14ac:dyDescent="0.2"/>
    <row r="3150" ht="12.75" hidden="1" x14ac:dyDescent="0.2"/>
    <row r="3151" ht="12.75" hidden="1" x14ac:dyDescent="0.2"/>
    <row r="3152" ht="12.75" hidden="1" x14ac:dyDescent="0.2"/>
    <row r="3153" ht="12.75" hidden="1" x14ac:dyDescent="0.2"/>
    <row r="3154" ht="12.75" hidden="1" x14ac:dyDescent="0.2"/>
    <row r="3155" ht="12.75" hidden="1" x14ac:dyDescent="0.2"/>
    <row r="3156" ht="12.75" hidden="1" x14ac:dyDescent="0.2"/>
    <row r="3157" ht="12.75" hidden="1" x14ac:dyDescent="0.2"/>
    <row r="3158" ht="12.75" hidden="1" x14ac:dyDescent="0.2"/>
    <row r="3159" ht="12.75" hidden="1" x14ac:dyDescent="0.2"/>
    <row r="3160" ht="12.75" hidden="1" x14ac:dyDescent="0.2"/>
    <row r="3161" ht="12.75" hidden="1" x14ac:dyDescent="0.2"/>
    <row r="3162" ht="12.75" hidden="1" x14ac:dyDescent="0.2"/>
    <row r="3163" ht="12.75" hidden="1" x14ac:dyDescent="0.2"/>
    <row r="3164" ht="12.75" hidden="1" x14ac:dyDescent="0.2"/>
    <row r="3165" ht="12.75" hidden="1" x14ac:dyDescent="0.2"/>
    <row r="3166" ht="12.75" hidden="1" x14ac:dyDescent="0.2"/>
    <row r="3167" ht="12.75" hidden="1" x14ac:dyDescent="0.2"/>
    <row r="3168" ht="12.75" hidden="1" x14ac:dyDescent="0.2"/>
    <row r="3169" ht="12.75" hidden="1" x14ac:dyDescent="0.2"/>
    <row r="3170" ht="12.75" hidden="1" x14ac:dyDescent="0.2"/>
    <row r="3171" ht="12.75" hidden="1" x14ac:dyDescent="0.2"/>
    <row r="3172" ht="12.75" hidden="1" x14ac:dyDescent="0.2"/>
    <row r="3173" ht="12.75" hidden="1" x14ac:dyDescent="0.2"/>
    <row r="3174" ht="12.75" hidden="1" x14ac:dyDescent="0.2"/>
    <row r="3175" ht="12.75" hidden="1" x14ac:dyDescent="0.2"/>
    <row r="3176" ht="12.75" hidden="1" x14ac:dyDescent="0.2"/>
    <row r="3177" ht="12.75" hidden="1" x14ac:dyDescent="0.2"/>
    <row r="3178" ht="12.75" hidden="1" x14ac:dyDescent="0.2"/>
    <row r="3179" ht="12.75" hidden="1" x14ac:dyDescent="0.2"/>
    <row r="3180" ht="12.75" hidden="1" x14ac:dyDescent="0.2"/>
    <row r="3181" ht="12.75" hidden="1" x14ac:dyDescent="0.2"/>
    <row r="3182" ht="12.75" hidden="1" x14ac:dyDescent="0.2"/>
    <row r="3183" ht="12.75" hidden="1" x14ac:dyDescent="0.2"/>
    <row r="3184" ht="12.75" hidden="1" x14ac:dyDescent="0.2"/>
    <row r="3185" ht="12.75" hidden="1" x14ac:dyDescent="0.2"/>
    <row r="3186" ht="12.75" hidden="1" x14ac:dyDescent="0.2"/>
    <row r="3187" ht="12.75" hidden="1" x14ac:dyDescent="0.2"/>
    <row r="3188" ht="12.75" hidden="1" x14ac:dyDescent="0.2"/>
    <row r="3189" ht="12.75" hidden="1" x14ac:dyDescent="0.2"/>
    <row r="3190" ht="12.75" hidden="1" x14ac:dyDescent="0.2"/>
    <row r="3191" ht="12.75" hidden="1" x14ac:dyDescent="0.2"/>
    <row r="3192" ht="12.75" hidden="1" x14ac:dyDescent="0.2"/>
    <row r="3193" ht="12.75" hidden="1" x14ac:dyDescent="0.2"/>
    <row r="3194" ht="12.75" hidden="1" x14ac:dyDescent="0.2"/>
    <row r="3195" ht="12.75" hidden="1" x14ac:dyDescent="0.2"/>
    <row r="3196" ht="12.75" hidden="1" x14ac:dyDescent="0.2"/>
    <row r="3197" ht="12.75" hidden="1" x14ac:dyDescent="0.2"/>
    <row r="3198" ht="12.75" hidden="1" x14ac:dyDescent="0.2"/>
    <row r="3199" ht="12.75" hidden="1" x14ac:dyDescent="0.2"/>
    <row r="3200" ht="12.75" hidden="1" x14ac:dyDescent="0.2"/>
    <row r="3201" ht="12.75" hidden="1" x14ac:dyDescent="0.2"/>
    <row r="3202" ht="12.75" hidden="1" x14ac:dyDescent="0.2"/>
    <row r="3203" ht="12.75" hidden="1" x14ac:dyDescent="0.2"/>
    <row r="3204" ht="12.75" hidden="1" x14ac:dyDescent="0.2"/>
    <row r="3205" ht="12.75" hidden="1" x14ac:dyDescent="0.2"/>
    <row r="3206" ht="12.75" hidden="1" x14ac:dyDescent="0.2"/>
    <row r="3207" ht="12.75" hidden="1" x14ac:dyDescent="0.2"/>
    <row r="3208" ht="12.75" hidden="1" x14ac:dyDescent="0.2"/>
    <row r="3209" ht="12.75" hidden="1" x14ac:dyDescent="0.2"/>
    <row r="3210" ht="12.75" hidden="1" x14ac:dyDescent="0.2"/>
    <row r="3211" ht="12.75" hidden="1" x14ac:dyDescent="0.2"/>
    <row r="3212" ht="12.75" hidden="1" x14ac:dyDescent="0.2"/>
    <row r="3213" ht="12.75" hidden="1" x14ac:dyDescent="0.2"/>
    <row r="3214" ht="12.75" hidden="1" x14ac:dyDescent="0.2"/>
    <row r="3215" ht="12.75" hidden="1" x14ac:dyDescent="0.2"/>
    <row r="3216" ht="12.75" hidden="1" x14ac:dyDescent="0.2"/>
    <row r="3217" ht="12.75" hidden="1" x14ac:dyDescent="0.2"/>
    <row r="3218" ht="12.75" hidden="1" x14ac:dyDescent="0.2"/>
    <row r="3219" ht="12.75" hidden="1" x14ac:dyDescent="0.2"/>
    <row r="3220" ht="12.75" hidden="1" x14ac:dyDescent="0.2"/>
    <row r="3221" ht="12.75" hidden="1" x14ac:dyDescent="0.2"/>
    <row r="3222" ht="12.75" hidden="1" x14ac:dyDescent="0.2"/>
    <row r="3223" ht="12.75" hidden="1" x14ac:dyDescent="0.2"/>
    <row r="3224" ht="12.75" hidden="1" x14ac:dyDescent="0.2"/>
    <row r="3225" ht="12.75" hidden="1" x14ac:dyDescent="0.2"/>
    <row r="3226" ht="12.75" hidden="1" x14ac:dyDescent="0.2"/>
    <row r="3227" ht="12.75" hidden="1" x14ac:dyDescent="0.2"/>
    <row r="3228" ht="12.75" hidden="1" x14ac:dyDescent="0.2"/>
    <row r="3229" ht="12.75" hidden="1" x14ac:dyDescent="0.2"/>
    <row r="3230" ht="12.75" hidden="1" x14ac:dyDescent="0.2"/>
    <row r="3231" ht="12.75" hidden="1" x14ac:dyDescent="0.2"/>
    <row r="3232" ht="12.75" hidden="1" x14ac:dyDescent="0.2"/>
    <row r="3233" ht="12.75" hidden="1" x14ac:dyDescent="0.2"/>
    <row r="3234" ht="12.75" hidden="1" x14ac:dyDescent="0.2"/>
    <row r="3235" ht="12.75" hidden="1" x14ac:dyDescent="0.2"/>
    <row r="3236" ht="12.75" hidden="1" x14ac:dyDescent="0.2"/>
    <row r="3237" ht="12.75" hidden="1" x14ac:dyDescent="0.2"/>
    <row r="3238" ht="12.75" hidden="1" x14ac:dyDescent="0.2"/>
    <row r="3239" ht="12.75" hidden="1" x14ac:dyDescent="0.2"/>
    <row r="3240" ht="12.75" hidden="1" x14ac:dyDescent="0.2"/>
    <row r="3241" ht="12.75" hidden="1" x14ac:dyDescent="0.2"/>
    <row r="3242" ht="12.75" hidden="1" x14ac:dyDescent="0.2"/>
    <row r="3243" ht="12.75" hidden="1" x14ac:dyDescent="0.2"/>
    <row r="3244" ht="12.75" hidden="1" x14ac:dyDescent="0.2"/>
    <row r="3245" ht="12.75" hidden="1" x14ac:dyDescent="0.2"/>
    <row r="3246" ht="12.75" hidden="1" x14ac:dyDescent="0.2"/>
    <row r="3247" ht="12.75" hidden="1" x14ac:dyDescent="0.2"/>
    <row r="3248" ht="12.75" hidden="1" x14ac:dyDescent="0.2"/>
    <row r="3249" ht="12.75" hidden="1" x14ac:dyDescent="0.2"/>
    <row r="3250" ht="12.75" hidden="1" x14ac:dyDescent="0.2"/>
    <row r="3251" ht="12.75" hidden="1" x14ac:dyDescent="0.2"/>
    <row r="3252" ht="12.75" hidden="1" x14ac:dyDescent="0.2"/>
    <row r="3253" ht="12.75" hidden="1" x14ac:dyDescent="0.2"/>
    <row r="3254" ht="12.75" hidden="1" x14ac:dyDescent="0.2"/>
    <row r="3255" ht="12.75" hidden="1" x14ac:dyDescent="0.2"/>
    <row r="3256" ht="12.75" hidden="1" x14ac:dyDescent="0.2"/>
    <row r="3257" ht="12.75" hidden="1" x14ac:dyDescent="0.2"/>
    <row r="3258" ht="12.75" hidden="1" x14ac:dyDescent="0.2"/>
    <row r="3259" ht="12.75" hidden="1" x14ac:dyDescent="0.2"/>
    <row r="3260" ht="12.75" hidden="1" x14ac:dyDescent="0.2"/>
    <row r="3261" ht="12.75" hidden="1" x14ac:dyDescent="0.2"/>
    <row r="3262" ht="12.75" hidden="1" x14ac:dyDescent="0.2"/>
    <row r="3263" ht="12.75" hidden="1" x14ac:dyDescent="0.2"/>
    <row r="3264" ht="12.75" hidden="1" x14ac:dyDescent="0.2"/>
    <row r="3265" ht="12.75" hidden="1" x14ac:dyDescent="0.2"/>
    <row r="3266" ht="12.75" hidden="1" x14ac:dyDescent="0.2"/>
    <row r="3267" ht="12.75" hidden="1" x14ac:dyDescent="0.2"/>
    <row r="3268" ht="12.75" hidden="1" x14ac:dyDescent="0.2"/>
    <row r="3269" ht="12.75" hidden="1" x14ac:dyDescent="0.2"/>
    <row r="3270" ht="12.75" hidden="1" x14ac:dyDescent="0.2"/>
    <row r="3271" ht="12.75" hidden="1" x14ac:dyDescent="0.2"/>
    <row r="3272" ht="12.75" hidden="1" x14ac:dyDescent="0.2"/>
    <row r="3273" ht="12.75" hidden="1" x14ac:dyDescent="0.2"/>
    <row r="3274" ht="12.75" hidden="1" x14ac:dyDescent="0.2"/>
    <row r="3275" ht="12.75" hidden="1" x14ac:dyDescent="0.2"/>
    <row r="3276" ht="12.75" hidden="1" x14ac:dyDescent="0.2"/>
    <row r="3277" ht="12.75" hidden="1" x14ac:dyDescent="0.2"/>
    <row r="3278" ht="12.75" hidden="1" x14ac:dyDescent="0.2"/>
    <row r="3279" ht="12.75" hidden="1" x14ac:dyDescent="0.2"/>
    <row r="3280" ht="12.75" hidden="1" x14ac:dyDescent="0.2"/>
    <row r="3281" ht="12.75" hidden="1" x14ac:dyDescent="0.2"/>
    <row r="3282" ht="12.75" hidden="1" x14ac:dyDescent="0.2"/>
    <row r="3283" ht="12.75" hidden="1" x14ac:dyDescent="0.2"/>
    <row r="3284" ht="12.75" hidden="1" x14ac:dyDescent="0.2"/>
    <row r="3285" ht="12.75" hidden="1" x14ac:dyDescent="0.2"/>
    <row r="3286" ht="12.75" hidden="1" x14ac:dyDescent="0.2"/>
    <row r="3287" ht="12.75" hidden="1" x14ac:dyDescent="0.2"/>
    <row r="3288" ht="12.75" hidden="1" x14ac:dyDescent="0.2"/>
    <row r="3289" ht="12.75" hidden="1" x14ac:dyDescent="0.2"/>
    <row r="3290" ht="12.75" hidden="1" x14ac:dyDescent="0.2"/>
    <row r="3291" ht="12.75" hidden="1" x14ac:dyDescent="0.2"/>
    <row r="3292" ht="12.75" hidden="1" x14ac:dyDescent="0.2"/>
    <row r="3293" ht="12.75" hidden="1" x14ac:dyDescent="0.2"/>
    <row r="3294" ht="12.75" hidden="1" x14ac:dyDescent="0.2"/>
    <row r="3295" ht="12.75" hidden="1" x14ac:dyDescent="0.2"/>
    <row r="3296" ht="12.75" hidden="1" x14ac:dyDescent="0.2"/>
    <row r="3297" ht="12.75" hidden="1" x14ac:dyDescent="0.2"/>
    <row r="3298" ht="12.75" hidden="1" x14ac:dyDescent="0.2"/>
    <row r="3299" ht="12.75" hidden="1" x14ac:dyDescent="0.2"/>
    <row r="3300" ht="12.75" hidden="1" x14ac:dyDescent="0.2"/>
    <row r="3301" ht="12.75" hidden="1" x14ac:dyDescent="0.2"/>
    <row r="3302" ht="12.75" hidden="1" x14ac:dyDescent="0.2"/>
    <row r="3303" ht="12.75" hidden="1" x14ac:dyDescent="0.2"/>
    <row r="3304" ht="12.75" hidden="1" x14ac:dyDescent="0.2"/>
    <row r="3305" ht="12.75" hidden="1" x14ac:dyDescent="0.2"/>
    <row r="3306" ht="12.75" hidden="1" x14ac:dyDescent="0.2"/>
    <row r="3307" ht="12.75" hidden="1" x14ac:dyDescent="0.2"/>
    <row r="3308" ht="12.75" hidden="1" x14ac:dyDescent="0.2"/>
    <row r="3309" ht="12.75" hidden="1" x14ac:dyDescent="0.2"/>
    <row r="3310" ht="12.75" hidden="1" x14ac:dyDescent="0.2"/>
    <row r="3311" ht="12.75" hidden="1" x14ac:dyDescent="0.2"/>
    <row r="3312" ht="12.75" hidden="1" x14ac:dyDescent="0.2"/>
    <row r="3313" ht="12.75" hidden="1" x14ac:dyDescent="0.2"/>
    <row r="3314" ht="12.75" hidden="1" x14ac:dyDescent="0.2"/>
    <row r="3315" ht="12.75" hidden="1" x14ac:dyDescent="0.2"/>
    <row r="3316" ht="12.75" hidden="1" x14ac:dyDescent="0.2"/>
    <row r="3317" ht="12.75" hidden="1" x14ac:dyDescent="0.2"/>
    <row r="3318" ht="12.75" hidden="1" x14ac:dyDescent="0.2"/>
    <row r="3319" ht="12.75" hidden="1" x14ac:dyDescent="0.2"/>
    <row r="3320" ht="12.75" hidden="1" x14ac:dyDescent="0.2"/>
    <row r="3321" ht="12.75" hidden="1" x14ac:dyDescent="0.2"/>
    <row r="3322" ht="12.75" hidden="1" x14ac:dyDescent="0.2"/>
    <row r="3323" ht="12.75" hidden="1" x14ac:dyDescent="0.2"/>
    <row r="3324" ht="12.75" hidden="1" x14ac:dyDescent="0.2"/>
    <row r="3325" ht="12.75" hidden="1" x14ac:dyDescent="0.2"/>
    <row r="3326" ht="12.75" hidden="1" x14ac:dyDescent="0.2"/>
    <row r="3327" ht="12.75" hidden="1" x14ac:dyDescent="0.2"/>
    <row r="3328" ht="12.75" hidden="1" x14ac:dyDescent="0.2"/>
    <row r="3329" ht="12.75" hidden="1" x14ac:dyDescent="0.2"/>
    <row r="3330" ht="12.75" hidden="1" x14ac:dyDescent="0.2"/>
    <row r="3331" ht="12.75" hidden="1" x14ac:dyDescent="0.2"/>
    <row r="3332" ht="12.75" hidden="1" x14ac:dyDescent="0.2"/>
    <row r="3333" ht="12.75" hidden="1" x14ac:dyDescent="0.2"/>
    <row r="3334" ht="12.75" hidden="1" x14ac:dyDescent="0.2"/>
    <row r="3335" ht="12.75" hidden="1" x14ac:dyDescent="0.2"/>
    <row r="3336" ht="12.75" hidden="1" x14ac:dyDescent="0.2"/>
    <row r="3337" ht="12.75" hidden="1" x14ac:dyDescent="0.2"/>
    <row r="3338" ht="12.75" hidden="1" x14ac:dyDescent="0.2"/>
    <row r="3339" ht="12.75" hidden="1" x14ac:dyDescent="0.2"/>
    <row r="3340" ht="12.75" hidden="1" x14ac:dyDescent="0.2"/>
    <row r="3341" ht="12.75" hidden="1" x14ac:dyDescent="0.2"/>
    <row r="3342" ht="12.75" hidden="1" x14ac:dyDescent="0.2"/>
    <row r="3343" ht="12.75" hidden="1" x14ac:dyDescent="0.2"/>
    <row r="3344" ht="12.75" hidden="1" x14ac:dyDescent="0.2"/>
    <row r="3345" ht="12.75" hidden="1" x14ac:dyDescent="0.2"/>
    <row r="3346" ht="12.75" hidden="1" x14ac:dyDescent="0.2"/>
    <row r="3347" ht="12.75" hidden="1" x14ac:dyDescent="0.2"/>
    <row r="3348" ht="12.75" hidden="1" x14ac:dyDescent="0.2"/>
    <row r="3349" ht="12.75" hidden="1" x14ac:dyDescent="0.2"/>
    <row r="3350" ht="12.75" hidden="1" x14ac:dyDescent="0.2"/>
    <row r="3351" ht="12.75" hidden="1" x14ac:dyDescent="0.2"/>
    <row r="3352" ht="12.75" hidden="1" x14ac:dyDescent="0.2"/>
    <row r="3353" ht="12.75" hidden="1" x14ac:dyDescent="0.2"/>
    <row r="3354" ht="12.75" hidden="1" x14ac:dyDescent="0.2"/>
    <row r="3355" ht="12.75" hidden="1" x14ac:dyDescent="0.2"/>
    <row r="3356" ht="12.75" hidden="1" x14ac:dyDescent="0.2"/>
    <row r="3357" ht="12.75" hidden="1" x14ac:dyDescent="0.2"/>
    <row r="3358" ht="12.75" hidden="1" x14ac:dyDescent="0.2"/>
    <row r="3359" ht="12.75" hidden="1" x14ac:dyDescent="0.2"/>
    <row r="3360" ht="12.75" hidden="1" x14ac:dyDescent="0.2"/>
    <row r="3361" ht="12.75" hidden="1" x14ac:dyDescent="0.2"/>
    <row r="3362" ht="12.75" hidden="1" x14ac:dyDescent="0.2"/>
    <row r="3363" ht="12.75" hidden="1" x14ac:dyDescent="0.2"/>
    <row r="3364" ht="12.75" hidden="1" x14ac:dyDescent="0.2"/>
    <row r="3365" ht="12.75" hidden="1" x14ac:dyDescent="0.2"/>
    <row r="3366" ht="12.75" hidden="1" x14ac:dyDescent="0.2"/>
    <row r="3367" ht="12.75" hidden="1" x14ac:dyDescent="0.2"/>
    <row r="3368" ht="12.75" hidden="1" x14ac:dyDescent="0.2"/>
    <row r="3369" ht="12.75" hidden="1" x14ac:dyDescent="0.2"/>
    <row r="3370" ht="12.75" hidden="1" x14ac:dyDescent="0.2"/>
    <row r="3371" ht="12.75" hidden="1" x14ac:dyDescent="0.2"/>
    <row r="3372" ht="12.75" hidden="1" x14ac:dyDescent="0.2"/>
    <row r="3373" ht="12.75" hidden="1" x14ac:dyDescent="0.2"/>
    <row r="3374" ht="12.75" hidden="1" x14ac:dyDescent="0.2"/>
    <row r="3375" ht="12.75" hidden="1" x14ac:dyDescent="0.2"/>
    <row r="3376" ht="12.75" hidden="1" x14ac:dyDescent="0.2"/>
    <row r="3377" ht="12.75" hidden="1" x14ac:dyDescent="0.2"/>
    <row r="3378" ht="12.75" hidden="1" x14ac:dyDescent="0.2"/>
    <row r="3379" ht="12.75" hidden="1" x14ac:dyDescent="0.2"/>
    <row r="3380" ht="12.75" hidden="1" x14ac:dyDescent="0.2"/>
    <row r="3381" ht="12.75" hidden="1" x14ac:dyDescent="0.2"/>
    <row r="3382" ht="12.75" hidden="1" x14ac:dyDescent="0.2"/>
    <row r="3383" ht="12.75" hidden="1" x14ac:dyDescent="0.2"/>
    <row r="3384" ht="12.75" hidden="1" x14ac:dyDescent="0.2"/>
    <row r="3385" ht="12.75" hidden="1" x14ac:dyDescent="0.2"/>
    <row r="3386" ht="12.75" hidden="1" x14ac:dyDescent="0.2"/>
    <row r="3387" ht="12.75" hidden="1" x14ac:dyDescent="0.2"/>
    <row r="3388" ht="12.75" hidden="1" x14ac:dyDescent="0.2"/>
    <row r="3389" ht="12.75" hidden="1" x14ac:dyDescent="0.2"/>
    <row r="3390" ht="12.75" hidden="1" x14ac:dyDescent="0.2"/>
    <row r="3391" ht="12.75" hidden="1" x14ac:dyDescent="0.2"/>
    <row r="3392" ht="12.75" hidden="1" x14ac:dyDescent="0.2"/>
    <row r="3393" ht="12.75" hidden="1" x14ac:dyDescent="0.2"/>
    <row r="3394" ht="12.75" hidden="1" x14ac:dyDescent="0.2"/>
    <row r="3395" ht="12.75" hidden="1" x14ac:dyDescent="0.2"/>
    <row r="3396" ht="12.75" hidden="1" x14ac:dyDescent="0.2"/>
    <row r="3397" ht="12.75" hidden="1" x14ac:dyDescent="0.2"/>
    <row r="3398" ht="12.75" hidden="1" x14ac:dyDescent="0.2"/>
    <row r="3399" ht="12.75" hidden="1" x14ac:dyDescent="0.2"/>
    <row r="3400" ht="12.75" hidden="1" x14ac:dyDescent="0.2"/>
    <row r="3401" ht="12.75" hidden="1" x14ac:dyDescent="0.2"/>
    <row r="3402" ht="12.75" hidden="1" x14ac:dyDescent="0.2"/>
    <row r="3403" ht="12.75" hidden="1" x14ac:dyDescent="0.2"/>
    <row r="3404" ht="12.75" hidden="1" x14ac:dyDescent="0.2"/>
    <row r="3405" ht="12.75" hidden="1" x14ac:dyDescent="0.2"/>
    <row r="3406" ht="12.75" hidden="1" x14ac:dyDescent="0.2"/>
    <row r="3407" ht="12.75" hidden="1" x14ac:dyDescent="0.2"/>
    <row r="3408" ht="12.75" hidden="1" x14ac:dyDescent="0.2"/>
    <row r="3409" ht="12.75" hidden="1" x14ac:dyDescent="0.2"/>
    <row r="3410" ht="12.75" hidden="1" x14ac:dyDescent="0.2"/>
    <row r="3411" ht="12.75" hidden="1" x14ac:dyDescent="0.2"/>
    <row r="3412" ht="12.75" hidden="1" x14ac:dyDescent="0.2"/>
    <row r="3413" ht="12.75" hidden="1" x14ac:dyDescent="0.2"/>
    <row r="3414" ht="12.75" hidden="1" x14ac:dyDescent="0.2"/>
    <row r="3415" ht="12.75" hidden="1" x14ac:dyDescent="0.2"/>
    <row r="3416" ht="12.75" hidden="1" x14ac:dyDescent="0.2"/>
    <row r="3417" ht="12.75" hidden="1" x14ac:dyDescent="0.2"/>
    <row r="3418" ht="12.75" hidden="1" x14ac:dyDescent="0.2"/>
    <row r="3419" ht="12.75" hidden="1" x14ac:dyDescent="0.2"/>
    <row r="3420" ht="12.75" hidden="1" x14ac:dyDescent="0.2"/>
    <row r="3421" ht="12.75" hidden="1" x14ac:dyDescent="0.2"/>
    <row r="3422" ht="12.75" hidden="1" x14ac:dyDescent="0.2"/>
    <row r="3423" ht="12.75" hidden="1" x14ac:dyDescent="0.2"/>
    <row r="3424" ht="12.75" hidden="1" x14ac:dyDescent="0.2"/>
    <row r="3425" ht="12.75" hidden="1" x14ac:dyDescent="0.2"/>
    <row r="3426" ht="12.75" hidden="1" x14ac:dyDescent="0.2"/>
    <row r="3427" ht="12.75" hidden="1" x14ac:dyDescent="0.2"/>
    <row r="3428" ht="12.75" hidden="1" x14ac:dyDescent="0.2"/>
    <row r="3429" ht="12.75" hidden="1" x14ac:dyDescent="0.2"/>
    <row r="3430" ht="12.75" hidden="1" x14ac:dyDescent="0.2"/>
    <row r="3431" ht="12.75" hidden="1" x14ac:dyDescent="0.2"/>
    <row r="3432" ht="12.75" hidden="1" x14ac:dyDescent="0.2"/>
    <row r="3433" ht="12.75" hidden="1" x14ac:dyDescent="0.2"/>
    <row r="3434" ht="12.75" hidden="1" x14ac:dyDescent="0.2"/>
    <row r="3435" ht="12.75" hidden="1" x14ac:dyDescent="0.2"/>
    <row r="3436" ht="12.75" hidden="1" x14ac:dyDescent="0.2"/>
    <row r="3437" ht="12.75" hidden="1" x14ac:dyDescent="0.2"/>
    <row r="3438" ht="12.75" hidden="1" x14ac:dyDescent="0.2"/>
    <row r="3439" ht="12.75" hidden="1" x14ac:dyDescent="0.2"/>
    <row r="3440" ht="12.75" hidden="1" x14ac:dyDescent="0.2"/>
    <row r="3441" ht="12.75" hidden="1" x14ac:dyDescent="0.2"/>
    <row r="3442" ht="12.75" hidden="1" x14ac:dyDescent="0.2"/>
    <row r="3443" ht="12.75" hidden="1" x14ac:dyDescent="0.2"/>
    <row r="3444" ht="12.75" hidden="1" x14ac:dyDescent="0.2"/>
    <row r="3445" ht="12.75" hidden="1" x14ac:dyDescent="0.2"/>
    <row r="3446" ht="12.75" hidden="1" x14ac:dyDescent="0.2"/>
    <row r="3447" ht="12.75" hidden="1" x14ac:dyDescent="0.2"/>
    <row r="3448" ht="12.75" hidden="1" x14ac:dyDescent="0.2"/>
    <row r="3449" ht="12.75" hidden="1" x14ac:dyDescent="0.2"/>
    <row r="3450" ht="12.75" hidden="1" x14ac:dyDescent="0.2"/>
    <row r="3451" ht="12.75" hidden="1" x14ac:dyDescent="0.2"/>
    <row r="3452" ht="12.75" hidden="1" x14ac:dyDescent="0.2"/>
    <row r="3453" ht="12.75" hidden="1" x14ac:dyDescent="0.2"/>
    <row r="3454" ht="12.75" hidden="1" x14ac:dyDescent="0.2"/>
    <row r="3455" ht="12.75" hidden="1" x14ac:dyDescent="0.2"/>
    <row r="3456" ht="12.75" hidden="1" x14ac:dyDescent="0.2"/>
    <row r="3457" ht="12.75" hidden="1" x14ac:dyDescent="0.2"/>
    <row r="3458" ht="12.75" hidden="1" x14ac:dyDescent="0.2"/>
    <row r="3459" ht="12.75" hidden="1" x14ac:dyDescent="0.2"/>
    <row r="3460" ht="12.75" hidden="1" x14ac:dyDescent="0.2"/>
    <row r="3461" ht="12.75" hidden="1" x14ac:dyDescent="0.2"/>
    <row r="3462" ht="12.75" hidden="1" x14ac:dyDescent="0.2"/>
    <row r="3463" ht="12.75" hidden="1" x14ac:dyDescent="0.2"/>
    <row r="3464" ht="12.75" hidden="1" x14ac:dyDescent="0.2"/>
    <row r="3465" ht="12.75" hidden="1" x14ac:dyDescent="0.2"/>
    <row r="3466" ht="12.75" hidden="1" x14ac:dyDescent="0.2"/>
    <row r="3467" ht="12.75" hidden="1" x14ac:dyDescent="0.2"/>
    <row r="3468" ht="12.75" hidden="1" x14ac:dyDescent="0.2"/>
    <row r="3469" ht="12.75" hidden="1" x14ac:dyDescent="0.2"/>
    <row r="3470" ht="12.75" hidden="1" x14ac:dyDescent="0.2"/>
    <row r="3471" ht="12.75" hidden="1" x14ac:dyDescent="0.2"/>
    <row r="3472" ht="12.75" hidden="1" x14ac:dyDescent="0.2"/>
    <row r="3473" ht="12.75" hidden="1" x14ac:dyDescent="0.2"/>
    <row r="3474" ht="12.75" hidden="1" x14ac:dyDescent="0.2"/>
    <row r="3475" ht="12.75" hidden="1" x14ac:dyDescent="0.2"/>
    <row r="3476" ht="12.75" hidden="1" x14ac:dyDescent="0.2"/>
    <row r="3477" ht="12.75" hidden="1" x14ac:dyDescent="0.2"/>
    <row r="3478" ht="12.75" hidden="1" x14ac:dyDescent="0.2"/>
    <row r="3479" ht="12.75" hidden="1" x14ac:dyDescent="0.2"/>
    <row r="3480" ht="12.75" hidden="1" x14ac:dyDescent="0.2"/>
    <row r="3481" ht="12.75" hidden="1" x14ac:dyDescent="0.2"/>
    <row r="3482" ht="12.75" hidden="1" x14ac:dyDescent="0.2"/>
    <row r="3483" ht="12.75" hidden="1" x14ac:dyDescent="0.2"/>
    <row r="3484" ht="12.75" hidden="1" x14ac:dyDescent="0.2"/>
    <row r="3485" ht="12.75" hidden="1" x14ac:dyDescent="0.2"/>
    <row r="3486" ht="12.75" hidden="1" x14ac:dyDescent="0.2"/>
    <row r="3487" ht="12.75" hidden="1" x14ac:dyDescent="0.2"/>
    <row r="3488" ht="12.75" hidden="1" x14ac:dyDescent="0.2"/>
    <row r="3489" ht="12.75" hidden="1" x14ac:dyDescent="0.2"/>
    <row r="3490" ht="12.75" hidden="1" x14ac:dyDescent="0.2"/>
    <row r="3491" ht="12.75" hidden="1" x14ac:dyDescent="0.2"/>
    <row r="3492" ht="12.75" hidden="1" x14ac:dyDescent="0.2"/>
    <row r="3493" ht="12.75" hidden="1" x14ac:dyDescent="0.2"/>
    <row r="3494" ht="12.75" hidden="1" x14ac:dyDescent="0.2"/>
    <row r="3495" ht="12.75" hidden="1" x14ac:dyDescent="0.2"/>
    <row r="3496" ht="12.75" hidden="1" x14ac:dyDescent="0.2"/>
    <row r="3497" ht="12.75" hidden="1" x14ac:dyDescent="0.2"/>
    <row r="3498" ht="12.75" hidden="1" x14ac:dyDescent="0.2"/>
    <row r="3499" ht="12.75" hidden="1" x14ac:dyDescent="0.2"/>
    <row r="3500" ht="12.75" hidden="1" x14ac:dyDescent="0.2"/>
    <row r="3501" ht="12.75" hidden="1" x14ac:dyDescent="0.2"/>
    <row r="3502" ht="12.75" hidden="1" x14ac:dyDescent="0.2"/>
    <row r="3503" ht="12.75" hidden="1" x14ac:dyDescent="0.2"/>
    <row r="3504" ht="12.75" hidden="1" x14ac:dyDescent="0.2"/>
    <row r="3505" ht="12.75" hidden="1" x14ac:dyDescent="0.2"/>
    <row r="3506" ht="12.75" hidden="1" x14ac:dyDescent="0.2"/>
    <row r="3507" ht="12.75" hidden="1" x14ac:dyDescent="0.2"/>
    <row r="3508" ht="12.75" hidden="1" x14ac:dyDescent="0.2"/>
    <row r="3509" ht="12.75" hidden="1" x14ac:dyDescent="0.2"/>
    <row r="3510" ht="12.75" hidden="1" x14ac:dyDescent="0.2"/>
    <row r="3511" ht="12.75" hidden="1" x14ac:dyDescent="0.2"/>
    <row r="3512" ht="12.75" hidden="1" x14ac:dyDescent="0.2"/>
    <row r="3513" ht="12.75" hidden="1" x14ac:dyDescent="0.2"/>
    <row r="3514" ht="12.75" hidden="1" x14ac:dyDescent="0.2"/>
    <row r="3515" ht="12.75" hidden="1" x14ac:dyDescent="0.2"/>
    <row r="3516" ht="12.75" hidden="1" x14ac:dyDescent="0.2"/>
    <row r="3517" ht="12.75" hidden="1" x14ac:dyDescent="0.2"/>
    <row r="3518" ht="12.75" hidden="1" x14ac:dyDescent="0.2"/>
    <row r="3519" ht="12.75" hidden="1" x14ac:dyDescent="0.2"/>
    <row r="3520" ht="12.75" hidden="1" x14ac:dyDescent="0.2"/>
    <row r="3521" ht="12.75" hidden="1" x14ac:dyDescent="0.2"/>
    <row r="3522" ht="12.75" hidden="1" x14ac:dyDescent="0.2"/>
    <row r="3523" ht="12.75" hidden="1" x14ac:dyDescent="0.2"/>
    <row r="3524" ht="12.75" hidden="1" x14ac:dyDescent="0.2"/>
    <row r="3525" ht="12.75" hidden="1" x14ac:dyDescent="0.2"/>
    <row r="3526" ht="12.75" hidden="1" x14ac:dyDescent="0.2"/>
    <row r="3527" ht="12.75" hidden="1" x14ac:dyDescent="0.2"/>
    <row r="3528" ht="12.75" hidden="1" x14ac:dyDescent="0.2"/>
    <row r="3529" ht="12.75" hidden="1" x14ac:dyDescent="0.2"/>
    <row r="3530" ht="12.75" hidden="1" x14ac:dyDescent="0.2"/>
    <row r="3531" ht="12.75" hidden="1" x14ac:dyDescent="0.2"/>
    <row r="3532" ht="12.75" hidden="1" x14ac:dyDescent="0.2"/>
    <row r="3533" ht="12.75" hidden="1" x14ac:dyDescent="0.2"/>
    <row r="3534" ht="12.75" hidden="1" x14ac:dyDescent="0.2"/>
    <row r="3535" ht="12.75" hidden="1" x14ac:dyDescent="0.2"/>
    <row r="3536" ht="12.75" hidden="1" x14ac:dyDescent="0.2"/>
    <row r="3537" ht="12.75" hidden="1" x14ac:dyDescent="0.2"/>
    <row r="3538" ht="12.75" hidden="1" x14ac:dyDescent="0.2"/>
    <row r="3539" ht="12.75" hidden="1" x14ac:dyDescent="0.2"/>
    <row r="3540" ht="12.75" hidden="1" x14ac:dyDescent="0.2"/>
    <row r="3541" ht="12.75" hidden="1" x14ac:dyDescent="0.2"/>
    <row r="3542" ht="12.75" hidden="1" x14ac:dyDescent="0.2"/>
    <row r="3543" ht="12.75" hidden="1" x14ac:dyDescent="0.2"/>
    <row r="3544" ht="12.75" hidden="1" x14ac:dyDescent="0.2"/>
    <row r="3545" ht="12.75" hidden="1" x14ac:dyDescent="0.2"/>
    <row r="3546" ht="12.75" hidden="1" x14ac:dyDescent="0.2"/>
    <row r="3547" ht="12.75" hidden="1" x14ac:dyDescent="0.2"/>
    <row r="3548" ht="12.75" hidden="1" x14ac:dyDescent="0.2"/>
    <row r="3549" ht="12.75" hidden="1" x14ac:dyDescent="0.2"/>
    <row r="3550" ht="12.75" hidden="1" x14ac:dyDescent="0.2"/>
    <row r="3551" ht="12.75" hidden="1" x14ac:dyDescent="0.2"/>
    <row r="3552" ht="12.75" hidden="1" x14ac:dyDescent="0.2"/>
    <row r="3553" ht="12.75" hidden="1" x14ac:dyDescent="0.2"/>
    <row r="3554" ht="12.75" hidden="1" x14ac:dyDescent="0.2"/>
    <row r="3555" ht="12.75" hidden="1" x14ac:dyDescent="0.2"/>
    <row r="3556" ht="12.75" hidden="1" x14ac:dyDescent="0.2"/>
    <row r="3557" ht="12.75" hidden="1" x14ac:dyDescent="0.2"/>
    <row r="3558" ht="12.75" hidden="1" x14ac:dyDescent="0.2"/>
    <row r="3559" ht="12.75" hidden="1" x14ac:dyDescent="0.2"/>
    <row r="3560" ht="12.75" hidden="1" x14ac:dyDescent="0.2"/>
    <row r="3561" ht="12.75" hidden="1" x14ac:dyDescent="0.2"/>
    <row r="3562" ht="12.75" hidden="1" x14ac:dyDescent="0.2"/>
    <row r="3563" ht="12.75" hidden="1" x14ac:dyDescent="0.2"/>
    <row r="3564" ht="12.75" hidden="1" x14ac:dyDescent="0.2"/>
    <row r="3565" ht="12.75" hidden="1" x14ac:dyDescent="0.2"/>
    <row r="3566" ht="12.75" hidden="1" x14ac:dyDescent="0.2"/>
    <row r="3567" ht="12.75" hidden="1" x14ac:dyDescent="0.2"/>
    <row r="3568" ht="12.75" hidden="1" x14ac:dyDescent="0.2"/>
    <row r="3569" ht="12.75" hidden="1" x14ac:dyDescent="0.2"/>
    <row r="3570" ht="12.75" hidden="1" x14ac:dyDescent="0.2"/>
    <row r="3571" ht="12.75" hidden="1" x14ac:dyDescent="0.2"/>
    <row r="3572" ht="12.75" hidden="1" x14ac:dyDescent="0.2"/>
    <row r="3573" ht="12.75" hidden="1" x14ac:dyDescent="0.2"/>
    <row r="3574" ht="12.75" hidden="1" x14ac:dyDescent="0.2"/>
    <row r="3575" ht="12.75" hidden="1" x14ac:dyDescent="0.2"/>
    <row r="3576" ht="12.75" hidden="1" x14ac:dyDescent="0.2"/>
    <row r="3577" ht="12.75" hidden="1" x14ac:dyDescent="0.2"/>
    <row r="3578" ht="12.75" hidden="1" x14ac:dyDescent="0.2"/>
    <row r="3579" ht="12.75" hidden="1" x14ac:dyDescent="0.2"/>
    <row r="3580" ht="12.75" hidden="1" x14ac:dyDescent="0.2"/>
    <row r="3581" ht="12.75" hidden="1" x14ac:dyDescent="0.2"/>
    <row r="3582" ht="12.75" hidden="1" x14ac:dyDescent="0.2"/>
    <row r="3583" ht="12.75" hidden="1" x14ac:dyDescent="0.2"/>
    <row r="3584" ht="12.75" hidden="1" x14ac:dyDescent="0.2"/>
    <row r="3585" ht="12.75" hidden="1" x14ac:dyDescent="0.2"/>
    <row r="3586" ht="12.75" hidden="1" x14ac:dyDescent="0.2"/>
    <row r="3587" ht="12.75" hidden="1" x14ac:dyDescent="0.2"/>
    <row r="3588" ht="12.75" hidden="1" x14ac:dyDescent="0.2"/>
    <row r="3589" ht="12.75" hidden="1" x14ac:dyDescent="0.2"/>
    <row r="3590" ht="12.75" hidden="1" x14ac:dyDescent="0.2"/>
    <row r="3591" ht="12.75" hidden="1" x14ac:dyDescent="0.2"/>
    <row r="3592" ht="12.75" hidden="1" x14ac:dyDescent="0.2"/>
    <row r="3593" ht="12.75" hidden="1" x14ac:dyDescent="0.2"/>
    <row r="3594" ht="12.75" hidden="1" x14ac:dyDescent="0.2"/>
    <row r="3595" ht="12.75" hidden="1" x14ac:dyDescent="0.2"/>
    <row r="3596" ht="12.75" hidden="1" x14ac:dyDescent="0.2"/>
    <row r="3597" ht="12.75" hidden="1" x14ac:dyDescent="0.2"/>
    <row r="3598" ht="12.75" hidden="1" x14ac:dyDescent="0.2"/>
    <row r="3599" ht="12.75" hidden="1" x14ac:dyDescent="0.2"/>
    <row r="3600" ht="12.75" hidden="1" x14ac:dyDescent="0.2"/>
    <row r="3601" ht="12.75" hidden="1" x14ac:dyDescent="0.2"/>
    <row r="3602" ht="12.75" hidden="1" x14ac:dyDescent="0.2"/>
    <row r="3603" ht="12.75" hidden="1" x14ac:dyDescent="0.2"/>
    <row r="3604" ht="12.75" hidden="1" x14ac:dyDescent="0.2"/>
    <row r="3605" ht="12.75" hidden="1" x14ac:dyDescent="0.2"/>
    <row r="3606" ht="12.75" hidden="1" x14ac:dyDescent="0.2"/>
    <row r="3607" ht="12.75" hidden="1" x14ac:dyDescent="0.2"/>
    <row r="3608" ht="12.75" hidden="1" x14ac:dyDescent="0.2"/>
    <row r="3609" ht="12.75" hidden="1" x14ac:dyDescent="0.2"/>
    <row r="3610" ht="12.75" hidden="1" x14ac:dyDescent="0.2"/>
    <row r="3611" ht="12.75" hidden="1" x14ac:dyDescent="0.2"/>
    <row r="3612" ht="12.75" hidden="1" x14ac:dyDescent="0.2"/>
    <row r="3613" ht="12.75" hidden="1" x14ac:dyDescent="0.2"/>
    <row r="3614" ht="12.75" hidden="1" x14ac:dyDescent="0.2"/>
    <row r="3615" ht="12.75" hidden="1" x14ac:dyDescent="0.2"/>
    <row r="3616" ht="12.75" hidden="1" x14ac:dyDescent="0.2"/>
    <row r="3617" ht="12.75" hidden="1" x14ac:dyDescent="0.2"/>
    <row r="3618" ht="12.75" hidden="1" x14ac:dyDescent="0.2"/>
    <row r="3619" ht="12.75" hidden="1" x14ac:dyDescent="0.2"/>
    <row r="3620" ht="12.75" hidden="1" x14ac:dyDescent="0.2"/>
    <row r="3621" ht="12.75" hidden="1" x14ac:dyDescent="0.2"/>
    <row r="3622" ht="12.75" hidden="1" x14ac:dyDescent="0.2"/>
    <row r="3623" ht="12.75" hidden="1" x14ac:dyDescent="0.2"/>
    <row r="3624" ht="12.75" hidden="1" x14ac:dyDescent="0.2"/>
    <row r="3625" ht="12.75" hidden="1" x14ac:dyDescent="0.2"/>
    <row r="3626" ht="12.75" hidden="1" x14ac:dyDescent="0.2"/>
    <row r="3627" ht="12.75" hidden="1" x14ac:dyDescent="0.2"/>
    <row r="3628" ht="12.75" hidden="1" x14ac:dyDescent="0.2"/>
    <row r="3629" ht="12.75" hidden="1" x14ac:dyDescent="0.2"/>
    <row r="3630" ht="12.75" hidden="1" x14ac:dyDescent="0.2"/>
    <row r="3631" ht="12.75" hidden="1" x14ac:dyDescent="0.2"/>
    <row r="3632" ht="12.75" hidden="1" x14ac:dyDescent="0.2"/>
    <row r="3633" ht="12.75" hidden="1" x14ac:dyDescent="0.2"/>
    <row r="3634" ht="12.75" hidden="1" x14ac:dyDescent="0.2"/>
    <row r="3635" ht="12.75" hidden="1" x14ac:dyDescent="0.2"/>
    <row r="3636" ht="12.75" hidden="1" x14ac:dyDescent="0.2"/>
    <row r="3637" ht="12.75" hidden="1" x14ac:dyDescent="0.2"/>
    <row r="3638" ht="12.75" hidden="1" x14ac:dyDescent="0.2"/>
    <row r="3639" ht="12.75" hidden="1" x14ac:dyDescent="0.2"/>
    <row r="3640" ht="12.75" hidden="1" x14ac:dyDescent="0.2"/>
    <row r="3641" ht="12.75" hidden="1" x14ac:dyDescent="0.2"/>
    <row r="3642" ht="12.75" hidden="1" x14ac:dyDescent="0.2"/>
    <row r="3643" ht="12.75" hidden="1" x14ac:dyDescent="0.2"/>
    <row r="3644" ht="12.75" hidden="1" x14ac:dyDescent="0.2"/>
    <row r="3645" ht="12.75" hidden="1" x14ac:dyDescent="0.2"/>
    <row r="3646" ht="12.75" hidden="1" x14ac:dyDescent="0.2"/>
    <row r="3647" ht="12.75" hidden="1" x14ac:dyDescent="0.2"/>
    <row r="3648" ht="12.75" hidden="1" x14ac:dyDescent="0.2"/>
    <row r="3649" ht="12.75" hidden="1" x14ac:dyDescent="0.2"/>
    <row r="3650" ht="12.75" hidden="1" x14ac:dyDescent="0.2"/>
    <row r="3651" ht="12.75" hidden="1" x14ac:dyDescent="0.2"/>
    <row r="3652" ht="12.75" hidden="1" x14ac:dyDescent="0.2"/>
    <row r="3653" ht="12.75" hidden="1" x14ac:dyDescent="0.2"/>
    <row r="3654" ht="12.75" hidden="1" x14ac:dyDescent="0.2"/>
    <row r="3655" ht="12.75" hidden="1" x14ac:dyDescent="0.2"/>
    <row r="3656" ht="12.75" hidden="1" x14ac:dyDescent="0.2"/>
    <row r="3657" ht="12.75" hidden="1" x14ac:dyDescent="0.2"/>
    <row r="3658" ht="12.75" hidden="1" x14ac:dyDescent="0.2"/>
    <row r="3659" ht="12.75" hidden="1" x14ac:dyDescent="0.2"/>
    <row r="3660" ht="12.75" hidden="1" x14ac:dyDescent="0.2"/>
    <row r="3661" ht="12.75" hidden="1" x14ac:dyDescent="0.2"/>
    <row r="3662" ht="12.75" hidden="1" x14ac:dyDescent="0.2"/>
    <row r="3663" ht="12.75" hidden="1" x14ac:dyDescent="0.2"/>
    <row r="3664" ht="12.75" hidden="1" x14ac:dyDescent="0.2"/>
    <row r="3665" ht="12.75" hidden="1" x14ac:dyDescent="0.2"/>
    <row r="3666" ht="12.75" hidden="1" x14ac:dyDescent="0.2"/>
    <row r="3667" ht="12.75" hidden="1" x14ac:dyDescent="0.2"/>
    <row r="3668" ht="12.75" hidden="1" x14ac:dyDescent="0.2"/>
    <row r="3669" ht="12.75" hidden="1" x14ac:dyDescent="0.2"/>
    <row r="3670" ht="12.75" hidden="1" x14ac:dyDescent="0.2"/>
    <row r="3671" ht="12.75" hidden="1" x14ac:dyDescent="0.2"/>
    <row r="3672" ht="12.75" hidden="1" x14ac:dyDescent="0.2"/>
    <row r="3673" ht="12.75" hidden="1" x14ac:dyDescent="0.2"/>
    <row r="3674" ht="12.75" hidden="1" x14ac:dyDescent="0.2"/>
    <row r="3675" ht="12.75" hidden="1" x14ac:dyDescent="0.2"/>
    <row r="3676" ht="12.75" hidden="1" x14ac:dyDescent="0.2"/>
    <row r="3677" ht="12.75" hidden="1" x14ac:dyDescent="0.2"/>
    <row r="3678" ht="12.75" hidden="1" x14ac:dyDescent="0.2"/>
    <row r="3679" ht="12.75" hidden="1" x14ac:dyDescent="0.2"/>
    <row r="3680" ht="12.75" hidden="1" x14ac:dyDescent="0.2"/>
    <row r="3681" ht="12.75" hidden="1" x14ac:dyDescent="0.2"/>
    <row r="3682" ht="12.75" hidden="1" x14ac:dyDescent="0.2"/>
    <row r="3683" ht="12.75" hidden="1" x14ac:dyDescent="0.2"/>
    <row r="3684" ht="12.75" hidden="1" x14ac:dyDescent="0.2"/>
    <row r="3685" ht="12.75" hidden="1" x14ac:dyDescent="0.2"/>
    <row r="3686" ht="12.75" hidden="1" x14ac:dyDescent="0.2"/>
    <row r="3687" ht="12.75" hidden="1" x14ac:dyDescent="0.2"/>
    <row r="3688" ht="12.75" hidden="1" x14ac:dyDescent="0.2"/>
    <row r="3689" ht="12.75" hidden="1" x14ac:dyDescent="0.2"/>
    <row r="3690" ht="12.75" hidden="1" x14ac:dyDescent="0.2"/>
    <row r="3691" ht="12.75" hidden="1" x14ac:dyDescent="0.2"/>
    <row r="3692" ht="12.75" hidden="1" x14ac:dyDescent="0.2"/>
    <row r="3693" ht="12.75" hidden="1" x14ac:dyDescent="0.2"/>
    <row r="3694" ht="12.75" hidden="1" x14ac:dyDescent="0.2"/>
    <row r="3695" ht="12.75" hidden="1" x14ac:dyDescent="0.2"/>
    <row r="3696" ht="12.75" hidden="1" x14ac:dyDescent="0.2"/>
    <row r="3697" ht="12.75" hidden="1" x14ac:dyDescent="0.2"/>
    <row r="3698" ht="12.75" hidden="1" x14ac:dyDescent="0.2"/>
    <row r="3699" ht="12.75" hidden="1" x14ac:dyDescent="0.2"/>
    <row r="3700" ht="12.75" hidden="1" x14ac:dyDescent="0.2"/>
    <row r="3701" ht="12.75" hidden="1" x14ac:dyDescent="0.2"/>
    <row r="3702" ht="12.75" hidden="1" x14ac:dyDescent="0.2"/>
    <row r="3703" ht="12.75" hidden="1" x14ac:dyDescent="0.2"/>
    <row r="3704" ht="12.75" hidden="1" x14ac:dyDescent="0.2"/>
    <row r="3705" ht="12.75" hidden="1" x14ac:dyDescent="0.2"/>
    <row r="3706" ht="12.75" hidden="1" x14ac:dyDescent="0.2"/>
    <row r="3707" ht="12.75" hidden="1" x14ac:dyDescent="0.2"/>
    <row r="3708" ht="12.75" hidden="1" x14ac:dyDescent="0.2"/>
    <row r="3709" ht="12.75" hidden="1" x14ac:dyDescent="0.2"/>
    <row r="3710" ht="12.75" hidden="1" x14ac:dyDescent="0.2"/>
    <row r="3711" ht="12.75" hidden="1" x14ac:dyDescent="0.2"/>
    <row r="3712" ht="12.75" hidden="1" x14ac:dyDescent="0.2"/>
    <row r="3713" ht="12.75" hidden="1" x14ac:dyDescent="0.2"/>
    <row r="3714" ht="12.75" hidden="1" x14ac:dyDescent="0.2"/>
    <row r="3715" ht="12.75" hidden="1" x14ac:dyDescent="0.2"/>
    <row r="3716" ht="12.75" hidden="1" x14ac:dyDescent="0.2"/>
    <row r="3717" ht="12.75" hidden="1" x14ac:dyDescent="0.2"/>
    <row r="3718" ht="12.75" hidden="1" x14ac:dyDescent="0.2"/>
    <row r="3719" ht="12.75" hidden="1" x14ac:dyDescent="0.2"/>
    <row r="3720" ht="12.75" hidden="1" x14ac:dyDescent="0.2"/>
    <row r="3721" ht="12.75" hidden="1" x14ac:dyDescent="0.2"/>
    <row r="3722" ht="12.75" hidden="1" x14ac:dyDescent="0.2"/>
    <row r="3723" ht="12.75" hidden="1" x14ac:dyDescent="0.2"/>
    <row r="3724" ht="12.75" hidden="1" x14ac:dyDescent="0.2"/>
    <row r="3725" ht="12.75" hidden="1" x14ac:dyDescent="0.2"/>
    <row r="3726" ht="12.75" hidden="1" x14ac:dyDescent="0.2"/>
    <row r="3727" ht="12.75" hidden="1" x14ac:dyDescent="0.2"/>
    <row r="3728" ht="12.75" hidden="1" x14ac:dyDescent="0.2"/>
    <row r="3729" ht="12.75" hidden="1" x14ac:dyDescent="0.2"/>
    <row r="3730" ht="12.75" hidden="1" x14ac:dyDescent="0.2"/>
    <row r="3731" ht="12.75" hidden="1" x14ac:dyDescent="0.2"/>
    <row r="3732" ht="12.75" hidden="1" x14ac:dyDescent="0.2"/>
    <row r="3733" ht="12.75" hidden="1" x14ac:dyDescent="0.2"/>
    <row r="3734" ht="12.75" hidden="1" x14ac:dyDescent="0.2"/>
    <row r="3735" ht="12.75" hidden="1" x14ac:dyDescent="0.2"/>
    <row r="3736" ht="12.75" hidden="1" x14ac:dyDescent="0.2"/>
    <row r="3737" ht="12.75" hidden="1" x14ac:dyDescent="0.2"/>
    <row r="3738" ht="12.75" hidden="1" x14ac:dyDescent="0.2"/>
    <row r="3739" ht="12.75" hidden="1" x14ac:dyDescent="0.2"/>
    <row r="3740" ht="12.75" hidden="1" x14ac:dyDescent="0.2"/>
    <row r="3741" ht="12.75" hidden="1" x14ac:dyDescent="0.2"/>
    <row r="3742" ht="12.75" hidden="1" x14ac:dyDescent="0.2"/>
    <row r="3743" ht="12.75" hidden="1" x14ac:dyDescent="0.2"/>
    <row r="3744" ht="12.75" hidden="1" x14ac:dyDescent="0.2"/>
    <row r="3745" ht="12.75" hidden="1" x14ac:dyDescent="0.2"/>
    <row r="3746" ht="12.75" hidden="1" x14ac:dyDescent="0.2"/>
    <row r="3747" ht="12.75" hidden="1" x14ac:dyDescent="0.2"/>
    <row r="3748" ht="12.75" hidden="1" x14ac:dyDescent="0.2"/>
    <row r="3749" ht="12.75" hidden="1" x14ac:dyDescent="0.2"/>
    <row r="3750" ht="12.75" hidden="1" x14ac:dyDescent="0.2"/>
    <row r="3751" ht="12.75" hidden="1" x14ac:dyDescent="0.2"/>
    <row r="3752" ht="12.75" hidden="1" x14ac:dyDescent="0.2"/>
    <row r="3753" ht="12.75" hidden="1" x14ac:dyDescent="0.2"/>
    <row r="3754" ht="12.75" hidden="1" x14ac:dyDescent="0.2"/>
    <row r="3755" ht="12.75" hidden="1" x14ac:dyDescent="0.2"/>
    <row r="3756" ht="12.75" hidden="1" x14ac:dyDescent="0.2"/>
    <row r="3757" ht="12.75" hidden="1" x14ac:dyDescent="0.2"/>
    <row r="3758" ht="12.75" hidden="1" x14ac:dyDescent="0.2"/>
    <row r="3759" ht="12.75" hidden="1" x14ac:dyDescent="0.2"/>
    <row r="3760" ht="12.75" hidden="1" x14ac:dyDescent="0.2"/>
    <row r="3761" ht="12.75" hidden="1" x14ac:dyDescent="0.2"/>
    <row r="3762" ht="12.75" hidden="1" x14ac:dyDescent="0.2"/>
    <row r="3763" ht="12.75" hidden="1" x14ac:dyDescent="0.2"/>
    <row r="3764" ht="12.75" hidden="1" x14ac:dyDescent="0.2"/>
    <row r="3765" ht="12.75" hidden="1" x14ac:dyDescent="0.2"/>
    <row r="3766" ht="12.75" hidden="1" x14ac:dyDescent="0.2"/>
    <row r="3767" ht="12.75" hidden="1" x14ac:dyDescent="0.2"/>
    <row r="3768" ht="12.75" hidden="1" x14ac:dyDescent="0.2"/>
    <row r="3769" ht="12.75" hidden="1" x14ac:dyDescent="0.2"/>
    <row r="3770" ht="12.75" hidden="1" x14ac:dyDescent="0.2"/>
    <row r="3771" ht="12.75" hidden="1" x14ac:dyDescent="0.2"/>
    <row r="3772" ht="12.75" hidden="1" x14ac:dyDescent="0.2"/>
    <row r="3773" ht="12.75" hidden="1" x14ac:dyDescent="0.2"/>
    <row r="3774" ht="12.75" hidden="1" x14ac:dyDescent="0.2"/>
    <row r="3775" ht="12.75" hidden="1" x14ac:dyDescent="0.2"/>
    <row r="3776" ht="12.75" hidden="1" x14ac:dyDescent="0.2"/>
    <row r="3777" ht="12.75" hidden="1" x14ac:dyDescent="0.2"/>
    <row r="3778" ht="12.75" hidden="1" x14ac:dyDescent="0.2"/>
    <row r="3779" ht="12.75" hidden="1" x14ac:dyDescent="0.2"/>
    <row r="3780" ht="12.75" hidden="1" x14ac:dyDescent="0.2"/>
    <row r="3781" ht="12.75" hidden="1" x14ac:dyDescent="0.2"/>
    <row r="3782" ht="12.75" hidden="1" x14ac:dyDescent="0.2"/>
    <row r="3783" ht="12.75" hidden="1" x14ac:dyDescent="0.2"/>
    <row r="3784" ht="12.75" hidden="1" x14ac:dyDescent="0.2"/>
    <row r="3785" ht="12.75" hidden="1" x14ac:dyDescent="0.2"/>
    <row r="3786" ht="12.75" hidden="1" x14ac:dyDescent="0.2"/>
    <row r="3787" ht="12.75" hidden="1" x14ac:dyDescent="0.2"/>
    <row r="3788" ht="12.75" hidden="1" x14ac:dyDescent="0.2"/>
    <row r="3789" ht="12.75" hidden="1" x14ac:dyDescent="0.2"/>
    <row r="3790" ht="12.75" hidden="1" x14ac:dyDescent="0.2"/>
    <row r="3791" ht="12.75" hidden="1" x14ac:dyDescent="0.2"/>
    <row r="3792" ht="12.75" hidden="1" x14ac:dyDescent="0.2"/>
    <row r="3793" ht="12.75" hidden="1" x14ac:dyDescent="0.2"/>
    <row r="3794" ht="12.75" hidden="1" x14ac:dyDescent="0.2"/>
    <row r="3795" ht="12.75" hidden="1" x14ac:dyDescent="0.2"/>
    <row r="3796" ht="12.75" hidden="1" x14ac:dyDescent="0.2"/>
    <row r="3797" ht="12.75" hidden="1" x14ac:dyDescent="0.2"/>
    <row r="3798" ht="12.75" hidden="1" x14ac:dyDescent="0.2"/>
    <row r="3799" ht="12.75" hidden="1" x14ac:dyDescent="0.2"/>
    <row r="3800" ht="12.75" hidden="1" x14ac:dyDescent="0.2"/>
    <row r="3801" ht="12.75" hidden="1" x14ac:dyDescent="0.2"/>
    <row r="3802" ht="12.75" hidden="1" x14ac:dyDescent="0.2"/>
    <row r="3803" ht="12.75" hidden="1" x14ac:dyDescent="0.2"/>
    <row r="3804" ht="12.75" hidden="1" x14ac:dyDescent="0.2"/>
    <row r="3805" ht="12.75" hidden="1" x14ac:dyDescent="0.2"/>
    <row r="3806" ht="12.75" hidden="1" x14ac:dyDescent="0.2"/>
    <row r="3807" ht="12.75" hidden="1" x14ac:dyDescent="0.2"/>
    <row r="3808" ht="12.75" hidden="1" x14ac:dyDescent="0.2"/>
    <row r="3809" ht="12.75" hidden="1" x14ac:dyDescent="0.2"/>
    <row r="3810" ht="12.75" hidden="1" x14ac:dyDescent="0.2"/>
    <row r="3811" ht="12.75" hidden="1" x14ac:dyDescent="0.2"/>
    <row r="3812" ht="12.75" hidden="1" x14ac:dyDescent="0.2"/>
    <row r="3813" ht="12.75" hidden="1" x14ac:dyDescent="0.2"/>
    <row r="3814" ht="12.75" hidden="1" x14ac:dyDescent="0.2"/>
    <row r="3815" ht="12.75" hidden="1" x14ac:dyDescent="0.2"/>
    <row r="3816" ht="12.75" hidden="1" x14ac:dyDescent="0.2"/>
    <row r="3817" ht="12.75" hidden="1" x14ac:dyDescent="0.2"/>
    <row r="3818" ht="12.75" hidden="1" x14ac:dyDescent="0.2"/>
    <row r="3819" ht="12.75" hidden="1" x14ac:dyDescent="0.2"/>
    <row r="3820" ht="12.75" hidden="1" x14ac:dyDescent="0.2"/>
    <row r="3821" ht="12.75" hidden="1" x14ac:dyDescent="0.2"/>
    <row r="3822" ht="12.75" hidden="1" x14ac:dyDescent="0.2"/>
    <row r="3823" ht="12.75" hidden="1" x14ac:dyDescent="0.2"/>
    <row r="3824" ht="12.75" hidden="1" x14ac:dyDescent="0.2"/>
    <row r="3825" ht="12.75" hidden="1" x14ac:dyDescent="0.2"/>
    <row r="3826" ht="12.75" hidden="1" x14ac:dyDescent="0.2"/>
    <row r="3827" ht="12.75" hidden="1" x14ac:dyDescent="0.2"/>
    <row r="3828" ht="12.75" hidden="1" x14ac:dyDescent="0.2"/>
    <row r="3829" ht="12.75" hidden="1" x14ac:dyDescent="0.2"/>
    <row r="3830" ht="12.75" hidden="1" x14ac:dyDescent="0.2"/>
    <row r="3831" ht="12.75" hidden="1" x14ac:dyDescent="0.2"/>
    <row r="3832" ht="12.75" hidden="1" x14ac:dyDescent="0.2"/>
    <row r="3833" ht="12.75" hidden="1" x14ac:dyDescent="0.2"/>
    <row r="3834" ht="12.75" hidden="1" x14ac:dyDescent="0.2"/>
    <row r="3835" ht="12.75" hidden="1" x14ac:dyDescent="0.2"/>
    <row r="3836" ht="12.75" hidden="1" x14ac:dyDescent="0.2"/>
    <row r="3837" ht="12.75" hidden="1" x14ac:dyDescent="0.2"/>
    <row r="3838" ht="12.75" hidden="1" x14ac:dyDescent="0.2"/>
    <row r="3839" ht="12.75" hidden="1" x14ac:dyDescent="0.2"/>
    <row r="3840" ht="12.75" hidden="1" x14ac:dyDescent="0.2"/>
    <row r="3841" ht="12.75" hidden="1" x14ac:dyDescent="0.2"/>
    <row r="3842" ht="12.75" hidden="1" x14ac:dyDescent="0.2"/>
    <row r="3843" ht="12.75" hidden="1" x14ac:dyDescent="0.2"/>
    <row r="3844" ht="12.75" hidden="1" x14ac:dyDescent="0.2"/>
    <row r="3845" ht="12.75" hidden="1" x14ac:dyDescent="0.2"/>
    <row r="3846" ht="12.75" hidden="1" x14ac:dyDescent="0.2"/>
    <row r="3847" ht="12.75" hidden="1" x14ac:dyDescent="0.2"/>
    <row r="3848" ht="12.75" hidden="1" x14ac:dyDescent="0.2"/>
    <row r="3849" ht="12.75" hidden="1" x14ac:dyDescent="0.2"/>
    <row r="3850" ht="12.75" hidden="1" x14ac:dyDescent="0.2"/>
    <row r="3851" ht="12.75" hidden="1" x14ac:dyDescent="0.2"/>
    <row r="3852" ht="12.75" hidden="1" x14ac:dyDescent="0.2"/>
    <row r="3853" ht="12.75" hidden="1" x14ac:dyDescent="0.2"/>
    <row r="3854" ht="12.75" hidden="1" x14ac:dyDescent="0.2"/>
    <row r="3855" ht="12.75" hidden="1" x14ac:dyDescent="0.2"/>
    <row r="3856" ht="12.75" hidden="1" x14ac:dyDescent="0.2"/>
    <row r="3857" ht="12.75" hidden="1" x14ac:dyDescent="0.2"/>
    <row r="3858" ht="12.75" hidden="1" x14ac:dyDescent="0.2"/>
    <row r="3859" ht="12.75" hidden="1" x14ac:dyDescent="0.2"/>
    <row r="3860" ht="12.75" hidden="1" x14ac:dyDescent="0.2"/>
    <row r="3861" ht="12.75" hidden="1" x14ac:dyDescent="0.2"/>
    <row r="3862" ht="12.75" hidden="1" x14ac:dyDescent="0.2"/>
    <row r="3863" ht="12.75" hidden="1" x14ac:dyDescent="0.2"/>
    <row r="3864" ht="12.75" hidden="1" x14ac:dyDescent="0.2"/>
    <row r="3865" ht="12.75" hidden="1" x14ac:dyDescent="0.2"/>
    <row r="3866" ht="12.75" hidden="1" x14ac:dyDescent="0.2"/>
    <row r="3867" ht="12.75" hidden="1" x14ac:dyDescent="0.2"/>
    <row r="3868" ht="12.75" hidden="1" x14ac:dyDescent="0.2"/>
    <row r="3869" ht="12.75" hidden="1" x14ac:dyDescent="0.2"/>
    <row r="3870" ht="12.75" hidden="1" x14ac:dyDescent="0.2"/>
    <row r="3871" ht="12.75" hidden="1" x14ac:dyDescent="0.2"/>
    <row r="3872" ht="12.75" hidden="1" x14ac:dyDescent="0.2"/>
    <row r="3873" ht="12.75" hidden="1" x14ac:dyDescent="0.2"/>
    <row r="3874" ht="12.75" hidden="1" x14ac:dyDescent="0.2"/>
    <row r="3875" ht="12.75" hidden="1" x14ac:dyDescent="0.2"/>
    <row r="3876" ht="12.75" hidden="1" x14ac:dyDescent="0.2"/>
    <row r="3877" ht="12.75" hidden="1" x14ac:dyDescent="0.2"/>
    <row r="3878" ht="12.75" hidden="1" x14ac:dyDescent="0.2"/>
    <row r="3879" ht="12.75" hidden="1" x14ac:dyDescent="0.2"/>
    <row r="3880" ht="12.75" hidden="1" x14ac:dyDescent="0.2"/>
    <row r="3881" ht="12.75" hidden="1" x14ac:dyDescent="0.2"/>
    <row r="3882" ht="12.75" hidden="1" x14ac:dyDescent="0.2"/>
    <row r="3883" ht="12.75" hidden="1" x14ac:dyDescent="0.2"/>
    <row r="3884" ht="12.75" hidden="1" x14ac:dyDescent="0.2"/>
    <row r="3885" ht="12.75" hidden="1" x14ac:dyDescent="0.2"/>
    <row r="3886" ht="12.75" hidden="1" x14ac:dyDescent="0.2"/>
    <row r="3887" ht="12.75" hidden="1" x14ac:dyDescent="0.2"/>
    <row r="3888" ht="12.75" hidden="1" x14ac:dyDescent="0.2"/>
    <row r="3889" ht="12.75" hidden="1" x14ac:dyDescent="0.2"/>
    <row r="3890" ht="12.75" hidden="1" x14ac:dyDescent="0.2"/>
    <row r="3891" ht="12.75" hidden="1" x14ac:dyDescent="0.2"/>
    <row r="3892" ht="12.75" hidden="1" x14ac:dyDescent="0.2"/>
    <row r="3893" ht="12.75" hidden="1" x14ac:dyDescent="0.2"/>
    <row r="3894" ht="12.75" hidden="1" x14ac:dyDescent="0.2"/>
    <row r="3895" ht="12.75" hidden="1" x14ac:dyDescent="0.2"/>
    <row r="3896" ht="12.75" hidden="1" x14ac:dyDescent="0.2"/>
    <row r="3897" ht="12.75" hidden="1" x14ac:dyDescent="0.2"/>
    <row r="3898" ht="12.75" hidden="1" x14ac:dyDescent="0.2"/>
    <row r="3899" ht="12.75" hidden="1" x14ac:dyDescent="0.2"/>
    <row r="3900" ht="12.75" hidden="1" x14ac:dyDescent="0.2"/>
    <row r="3901" ht="12.75" hidden="1" x14ac:dyDescent="0.2"/>
    <row r="3902" ht="12.75" hidden="1" x14ac:dyDescent="0.2"/>
    <row r="3903" ht="12.75" hidden="1" x14ac:dyDescent="0.2"/>
    <row r="3904" ht="12.75" hidden="1" x14ac:dyDescent="0.2"/>
    <row r="3905" ht="12.75" hidden="1" x14ac:dyDescent="0.2"/>
    <row r="3906" ht="12.75" hidden="1" x14ac:dyDescent="0.2"/>
    <row r="3907" ht="12.75" hidden="1" x14ac:dyDescent="0.2"/>
    <row r="3908" ht="12.75" hidden="1" x14ac:dyDescent="0.2"/>
    <row r="3909" ht="12.75" hidden="1" x14ac:dyDescent="0.2"/>
    <row r="3910" ht="12.75" hidden="1" x14ac:dyDescent="0.2"/>
    <row r="3911" ht="12.75" hidden="1" x14ac:dyDescent="0.2"/>
    <row r="3912" ht="12.75" hidden="1" x14ac:dyDescent="0.2"/>
    <row r="3913" ht="12.75" hidden="1" x14ac:dyDescent="0.2"/>
    <row r="3914" ht="12.75" hidden="1" x14ac:dyDescent="0.2"/>
    <row r="3915" ht="12.75" hidden="1" x14ac:dyDescent="0.2"/>
    <row r="3916" ht="12.75" hidden="1" x14ac:dyDescent="0.2"/>
    <row r="3917" ht="12.75" hidden="1" x14ac:dyDescent="0.2"/>
    <row r="3918" ht="12.75" hidden="1" x14ac:dyDescent="0.2"/>
    <row r="3919" ht="12.75" hidden="1" x14ac:dyDescent="0.2"/>
    <row r="3920" ht="12.75" hidden="1" x14ac:dyDescent="0.2"/>
    <row r="3921" ht="12.75" hidden="1" x14ac:dyDescent="0.2"/>
    <row r="3922" ht="12.75" hidden="1" x14ac:dyDescent="0.2"/>
    <row r="3923" ht="12.75" hidden="1" x14ac:dyDescent="0.2"/>
    <row r="3924" ht="12.75" hidden="1" x14ac:dyDescent="0.2"/>
    <row r="3925" ht="12.75" hidden="1" x14ac:dyDescent="0.2"/>
    <row r="3926" ht="12.75" hidden="1" x14ac:dyDescent="0.2"/>
    <row r="3927" ht="12.75" hidden="1" x14ac:dyDescent="0.2"/>
    <row r="3928" ht="12.75" hidden="1" x14ac:dyDescent="0.2"/>
    <row r="3929" ht="12.75" hidden="1" x14ac:dyDescent="0.2"/>
    <row r="3930" ht="12.75" hidden="1" x14ac:dyDescent="0.2"/>
    <row r="3931" ht="12.75" hidden="1" x14ac:dyDescent="0.2"/>
    <row r="3932" ht="12.75" hidden="1" x14ac:dyDescent="0.2"/>
    <row r="3933" ht="12.75" hidden="1" x14ac:dyDescent="0.2"/>
    <row r="3934" ht="12.75" hidden="1" x14ac:dyDescent="0.2"/>
    <row r="3935" ht="12.75" hidden="1" x14ac:dyDescent="0.2"/>
    <row r="3936" ht="12.75" hidden="1" x14ac:dyDescent="0.2"/>
    <row r="3937" ht="12.75" hidden="1" x14ac:dyDescent="0.2"/>
    <row r="3938" ht="12.75" hidden="1" x14ac:dyDescent="0.2"/>
    <row r="3939" ht="12.75" hidden="1" x14ac:dyDescent="0.2"/>
    <row r="3940" ht="12.75" hidden="1" x14ac:dyDescent="0.2"/>
    <row r="3941" ht="12.75" hidden="1" x14ac:dyDescent="0.2"/>
    <row r="3942" ht="12.75" hidden="1" x14ac:dyDescent="0.2"/>
    <row r="3943" ht="12.75" hidden="1" x14ac:dyDescent="0.2"/>
    <row r="3944" ht="12.75" hidden="1" x14ac:dyDescent="0.2"/>
    <row r="3945" ht="12.75" hidden="1" x14ac:dyDescent="0.2"/>
    <row r="3946" ht="12.75" hidden="1" x14ac:dyDescent="0.2"/>
    <row r="3947" ht="12.75" hidden="1" x14ac:dyDescent="0.2"/>
    <row r="3948" ht="12.75" hidden="1" x14ac:dyDescent="0.2"/>
    <row r="3949" ht="12.75" hidden="1" x14ac:dyDescent="0.2"/>
    <row r="3950" ht="12.75" hidden="1" x14ac:dyDescent="0.2"/>
    <row r="3951" ht="12.75" hidden="1" x14ac:dyDescent="0.2"/>
    <row r="3952" ht="12.75" hidden="1" x14ac:dyDescent="0.2"/>
    <row r="3953" ht="12.75" hidden="1" x14ac:dyDescent="0.2"/>
    <row r="3954" ht="12.75" hidden="1" x14ac:dyDescent="0.2"/>
    <row r="3955" ht="12.75" hidden="1" x14ac:dyDescent="0.2"/>
    <row r="3956" ht="12.75" hidden="1" x14ac:dyDescent="0.2"/>
    <row r="3957" ht="12.75" hidden="1" x14ac:dyDescent="0.2"/>
    <row r="3958" ht="12.75" hidden="1" x14ac:dyDescent="0.2"/>
    <row r="3959" ht="12.75" hidden="1" x14ac:dyDescent="0.2"/>
    <row r="3960" ht="12.75" hidden="1" x14ac:dyDescent="0.2"/>
    <row r="3961" ht="12.75" hidden="1" x14ac:dyDescent="0.2"/>
    <row r="3962" ht="12.75" hidden="1" x14ac:dyDescent="0.2"/>
    <row r="3963" ht="12.75" hidden="1" x14ac:dyDescent="0.2"/>
    <row r="3964" ht="12.75" hidden="1" x14ac:dyDescent="0.2"/>
    <row r="3965" ht="12.75" hidden="1" x14ac:dyDescent="0.2"/>
    <row r="3966" ht="12.75" hidden="1" x14ac:dyDescent="0.2"/>
    <row r="3967" ht="12.75" hidden="1" x14ac:dyDescent="0.2"/>
    <row r="3968" ht="12.75" hidden="1" x14ac:dyDescent="0.2"/>
    <row r="3969" ht="12.75" hidden="1" x14ac:dyDescent="0.2"/>
    <row r="3970" ht="12.75" hidden="1" x14ac:dyDescent="0.2"/>
    <row r="3971" ht="12.75" hidden="1" x14ac:dyDescent="0.2"/>
    <row r="3972" ht="12.75" hidden="1" x14ac:dyDescent="0.2"/>
    <row r="3973" ht="12.75" hidden="1" x14ac:dyDescent="0.2"/>
    <row r="3974" ht="12.75" hidden="1" x14ac:dyDescent="0.2"/>
    <row r="3975" ht="12.75" hidden="1" x14ac:dyDescent="0.2"/>
    <row r="3976" ht="12.75" hidden="1" x14ac:dyDescent="0.2"/>
    <row r="3977" ht="12.75" hidden="1" x14ac:dyDescent="0.2"/>
    <row r="3978" ht="12.75" hidden="1" x14ac:dyDescent="0.2"/>
    <row r="3979" ht="12.75" hidden="1" x14ac:dyDescent="0.2"/>
    <row r="3980" ht="12.75" hidden="1" x14ac:dyDescent="0.2"/>
    <row r="3981" ht="12.75" hidden="1" x14ac:dyDescent="0.2"/>
    <row r="3982" ht="12.75" hidden="1" x14ac:dyDescent="0.2"/>
    <row r="3983" ht="12.75" hidden="1" x14ac:dyDescent="0.2"/>
    <row r="3984" ht="12.75" hidden="1" x14ac:dyDescent="0.2"/>
    <row r="3985" ht="12.75" hidden="1" x14ac:dyDescent="0.2"/>
    <row r="3986" ht="12.75" hidden="1" x14ac:dyDescent="0.2"/>
    <row r="3987" ht="12.75" hidden="1" x14ac:dyDescent="0.2"/>
    <row r="3988" ht="12.75" hidden="1" x14ac:dyDescent="0.2"/>
    <row r="3989" ht="12.75" hidden="1" x14ac:dyDescent="0.2"/>
    <row r="3990" ht="12.75" hidden="1" x14ac:dyDescent="0.2"/>
    <row r="3991" ht="12.75" hidden="1" x14ac:dyDescent="0.2"/>
    <row r="3992" ht="12.75" hidden="1" x14ac:dyDescent="0.2"/>
    <row r="3993" ht="12.75" hidden="1" x14ac:dyDescent="0.2"/>
    <row r="3994" ht="12.75" hidden="1" x14ac:dyDescent="0.2"/>
    <row r="3995" ht="12.75" hidden="1" x14ac:dyDescent="0.2"/>
    <row r="3996" ht="12.75" hidden="1" x14ac:dyDescent="0.2"/>
    <row r="3997" ht="12.75" hidden="1" x14ac:dyDescent="0.2"/>
    <row r="3998" ht="12.75" hidden="1" x14ac:dyDescent="0.2"/>
    <row r="3999" ht="12.75" hidden="1" x14ac:dyDescent="0.2"/>
    <row r="4000" ht="12.75" hidden="1" x14ac:dyDescent="0.2"/>
    <row r="4001" ht="12.75" hidden="1" x14ac:dyDescent="0.2"/>
    <row r="4002" ht="12.75" hidden="1" x14ac:dyDescent="0.2"/>
    <row r="4003" ht="12.75" hidden="1" x14ac:dyDescent="0.2"/>
    <row r="4004" ht="12.75" hidden="1" x14ac:dyDescent="0.2"/>
    <row r="4005" ht="12.75" hidden="1" x14ac:dyDescent="0.2"/>
    <row r="4006" ht="12.75" hidden="1" x14ac:dyDescent="0.2"/>
    <row r="4007" ht="12.75" hidden="1" x14ac:dyDescent="0.2"/>
    <row r="4008" ht="12.75" hidden="1" x14ac:dyDescent="0.2"/>
    <row r="4009" ht="12.75" hidden="1" x14ac:dyDescent="0.2"/>
    <row r="4010" ht="12.75" hidden="1" x14ac:dyDescent="0.2"/>
    <row r="4011" ht="12.75" hidden="1" x14ac:dyDescent="0.2"/>
    <row r="4012" ht="12.75" hidden="1" x14ac:dyDescent="0.2"/>
    <row r="4013" ht="12.75" hidden="1" x14ac:dyDescent="0.2"/>
    <row r="4014" ht="12.75" hidden="1" x14ac:dyDescent="0.2"/>
    <row r="4015" ht="12.75" hidden="1" x14ac:dyDescent="0.2"/>
    <row r="4016" ht="12.75" hidden="1" x14ac:dyDescent="0.2"/>
    <row r="4017" ht="12.75" hidden="1" x14ac:dyDescent="0.2"/>
    <row r="4018" ht="12.75" hidden="1" x14ac:dyDescent="0.2"/>
    <row r="4019" ht="12.75" hidden="1" x14ac:dyDescent="0.2"/>
    <row r="4020" ht="12.75" hidden="1" x14ac:dyDescent="0.2"/>
    <row r="4021" ht="12.75" hidden="1" x14ac:dyDescent="0.2"/>
    <row r="4022" ht="12.75" hidden="1" x14ac:dyDescent="0.2"/>
    <row r="4023" ht="12.75" hidden="1" x14ac:dyDescent="0.2"/>
    <row r="4024" ht="12.75" hidden="1" x14ac:dyDescent="0.2"/>
    <row r="4025" ht="12.75" hidden="1" x14ac:dyDescent="0.2"/>
    <row r="4026" ht="12.75" hidden="1" x14ac:dyDescent="0.2"/>
    <row r="4027" ht="12.75" hidden="1" x14ac:dyDescent="0.2"/>
    <row r="4028" ht="12.75" hidden="1" x14ac:dyDescent="0.2"/>
    <row r="4029" ht="12.75" hidden="1" x14ac:dyDescent="0.2"/>
    <row r="4030" ht="12.75" hidden="1" x14ac:dyDescent="0.2"/>
    <row r="4031" ht="12.75" hidden="1" x14ac:dyDescent="0.2"/>
    <row r="4032" ht="12.75" hidden="1" x14ac:dyDescent="0.2"/>
    <row r="4033" ht="12.75" hidden="1" x14ac:dyDescent="0.2"/>
    <row r="4034" ht="12.75" hidden="1" x14ac:dyDescent="0.2"/>
    <row r="4035" ht="12.75" hidden="1" x14ac:dyDescent="0.2"/>
    <row r="4036" ht="12.75" hidden="1" x14ac:dyDescent="0.2"/>
    <row r="4037" ht="12.75" hidden="1" x14ac:dyDescent="0.2"/>
    <row r="4038" ht="12.75" hidden="1" x14ac:dyDescent="0.2"/>
    <row r="4039" ht="12.75" hidden="1" x14ac:dyDescent="0.2"/>
    <row r="4040" ht="12.75" hidden="1" x14ac:dyDescent="0.2"/>
    <row r="4041" ht="12.75" hidden="1" x14ac:dyDescent="0.2"/>
    <row r="4042" ht="12.75" hidden="1" x14ac:dyDescent="0.2"/>
    <row r="4043" ht="12.75" hidden="1" x14ac:dyDescent="0.2"/>
    <row r="4044" ht="12.75" hidden="1" x14ac:dyDescent="0.2"/>
    <row r="4045" ht="12.75" hidden="1" x14ac:dyDescent="0.2"/>
    <row r="4046" ht="12.75" hidden="1" x14ac:dyDescent="0.2"/>
    <row r="4047" ht="12.75" hidden="1" x14ac:dyDescent="0.2"/>
    <row r="4048" ht="12.75" hidden="1" x14ac:dyDescent="0.2"/>
    <row r="4049" ht="12.75" hidden="1" x14ac:dyDescent="0.2"/>
    <row r="4050" ht="12.75" hidden="1" x14ac:dyDescent="0.2"/>
    <row r="4051" ht="12.75" hidden="1" x14ac:dyDescent="0.2"/>
    <row r="4052" ht="12.75" hidden="1" x14ac:dyDescent="0.2"/>
    <row r="4053" ht="12.75" hidden="1" x14ac:dyDescent="0.2"/>
    <row r="4054" ht="12.75" hidden="1" x14ac:dyDescent="0.2"/>
    <row r="4055" ht="12.75" hidden="1" x14ac:dyDescent="0.2"/>
    <row r="4056" ht="12.75" hidden="1" x14ac:dyDescent="0.2"/>
    <row r="4057" ht="12.75" hidden="1" x14ac:dyDescent="0.2"/>
    <row r="4058" ht="12.75" hidden="1" x14ac:dyDescent="0.2"/>
    <row r="4059" ht="12.75" hidden="1" x14ac:dyDescent="0.2"/>
    <row r="4060" ht="12.75" hidden="1" x14ac:dyDescent="0.2"/>
    <row r="4061" ht="12.75" hidden="1" x14ac:dyDescent="0.2"/>
    <row r="4062" ht="12.75" hidden="1" x14ac:dyDescent="0.2"/>
    <row r="4063" ht="12.75" hidden="1" x14ac:dyDescent="0.2"/>
    <row r="4064" ht="12.75" hidden="1" x14ac:dyDescent="0.2"/>
    <row r="4065" ht="12.75" hidden="1" x14ac:dyDescent="0.2"/>
    <row r="4066" ht="12.75" hidden="1" x14ac:dyDescent="0.2"/>
    <row r="4067" ht="12.75" hidden="1" x14ac:dyDescent="0.2"/>
    <row r="4068" ht="12.75" hidden="1" x14ac:dyDescent="0.2"/>
    <row r="4069" ht="12.75" hidden="1" x14ac:dyDescent="0.2"/>
    <row r="4070" ht="12.75" hidden="1" x14ac:dyDescent="0.2"/>
    <row r="4071" ht="12.75" hidden="1" x14ac:dyDescent="0.2"/>
    <row r="4072" ht="12.75" hidden="1" x14ac:dyDescent="0.2"/>
    <row r="4073" ht="12.75" hidden="1" x14ac:dyDescent="0.2"/>
    <row r="4074" ht="12.75" hidden="1" x14ac:dyDescent="0.2"/>
    <row r="4075" ht="12.75" hidden="1" x14ac:dyDescent="0.2"/>
    <row r="4076" ht="12.75" hidden="1" x14ac:dyDescent="0.2"/>
    <row r="4077" ht="12.75" hidden="1" x14ac:dyDescent="0.2"/>
    <row r="4078" ht="12.75" hidden="1" x14ac:dyDescent="0.2"/>
    <row r="4079" ht="12.75" hidden="1" x14ac:dyDescent="0.2"/>
    <row r="4080" ht="12.75" hidden="1" x14ac:dyDescent="0.2"/>
    <row r="4081" ht="12.75" hidden="1" x14ac:dyDescent="0.2"/>
    <row r="4082" ht="12.75" hidden="1" x14ac:dyDescent="0.2"/>
    <row r="4083" ht="12.75" hidden="1" x14ac:dyDescent="0.2"/>
    <row r="4084" ht="12.75" hidden="1" x14ac:dyDescent="0.2"/>
    <row r="4085" ht="12.75" hidden="1" x14ac:dyDescent="0.2"/>
    <row r="4086" ht="12.75" hidden="1" x14ac:dyDescent="0.2"/>
    <row r="4087" ht="12.75" hidden="1" x14ac:dyDescent="0.2"/>
    <row r="4088" ht="12.75" hidden="1" x14ac:dyDescent="0.2"/>
    <row r="4089" ht="12.75" hidden="1" x14ac:dyDescent="0.2"/>
    <row r="4090" ht="12.75" hidden="1" x14ac:dyDescent="0.2"/>
    <row r="4091" ht="12.75" hidden="1" x14ac:dyDescent="0.2"/>
    <row r="4092" ht="12.75" hidden="1" x14ac:dyDescent="0.2"/>
    <row r="4093" ht="12.75" hidden="1" x14ac:dyDescent="0.2"/>
    <row r="4094" ht="12.75" hidden="1" x14ac:dyDescent="0.2"/>
    <row r="4095" ht="12.75" hidden="1" x14ac:dyDescent="0.2"/>
    <row r="4096" ht="12.75" hidden="1" x14ac:dyDescent="0.2"/>
    <row r="4097" ht="12.75" hidden="1" x14ac:dyDescent="0.2"/>
    <row r="4098" ht="12.75" hidden="1" x14ac:dyDescent="0.2"/>
    <row r="4099" ht="12.75" hidden="1" x14ac:dyDescent="0.2"/>
    <row r="4100" ht="12.75" hidden="1" x14ac:dyDescent="0.2"/>
    <row r="4101" ht="12.75" hidden="1" x14ac:dyDescent="0.2"/>
    <row r="4102" ht="12.75" hidden="1" x14ac:dyDescent="0.2"/>
    <row r="4103" ht="12.75" hidden="1" x14ac:dyDescent="0.2"/>
    <row r="4104" ht="12.75" hidden="1" x14ac:dyDescent="0.2"/>
    <row r="4105" ht="12.75" hidden="1" x14ac:dyDescent="0.2"/>
    <row r="4106" ht="12.75" hidden="1" x14ac:dyDescent="0.2"/>
    <row r="4107" ht="12.75" hidden="1" x14ac:dyDescent="0.2"/>
    <row r="4108" ht="12.75" hidden="1" x14ac:dyDescent="0.2"/>
    <row r="4109" ht="12.75" hidden="1" x14ac:dyDescent="0.2"/>
    <row r="4110" ht="12.75" hidden="1" x14ac:dyDescent="0.2"/>
    <row r="4111" ht="12.75" hidden="1" x14ac:dyDescent="0.2"/>
    <row r="4112" ht="12.75" hidden="1" x14ac:dyDescent="0.2"/>
    <row r="4113" ht="12.75" hidden="1" x14ac:dyDescent="0.2"/>
    <row r="4114" ht="12.75" hidden="1" x14ac:dyDescent="0.2"/>
    <row r="4115" ht="12.75" hidden="1" x14ac:dyDescent="0.2"/>
    <row r="4116" ht="12.75" hidden="1" x14ac:dyDescent="0.2"/>
    <row r="4117" ht="12.75" hidden="1" x14ac:dyDescent="0.2"/>
    <row r="4118" ht="12.75" hidden="1" x14ac:dyDescent="0.2"/>
    <row r="4119" ht="12.75" hidden="1" x14ac:dyDescent="0.2"/>
    <row r="4120" ht="12.75" hidden="1" x14ac:dyDescent="0.2"/>
    <row r="4121" ht="12.75" hidden="1" x14ac:dyDescent="0.2"/>
    <row r="4122" ht="12.75" hidden="1" x14ac:dyDescent="0.2"/>
    <row r="4123" ht="12.75" hidden="1" x14ac:dyDescent="0.2"/>
    <row r="4124" ht="12.75" hidden="1" x14ac:dyDescent="0.2"/>
    <row r="4125" ht="12.75" hidden="1" x14ac:dyDescent="0.2"/>
    <row r="4126" ht="12.75" hidden="1" x14ac:dyDescent="0.2"/>
    <row r="4127" ht="12.75" hidden="1" x14ac:dyDescent="0.2"/>
    <row r="4128" ht="12.75" hidden="1" x14ac:dyDescent="0.2"/>
    <row r="4129" ht="12.75" hidden="1" x14ac:dyDescent="0.2"/>
    <row r="4130" ht="12.75" hidden="1" x14ac:dyDescent="0.2"/>
    <row r="4131" ht="12.75" hidden="1" x14ac:dyDescent="0.2"/>
    <row r="4132" ht="12.75" hidden="1" x14ac:dyDescent="0.2"/>
    <row r="4133" ht="12.75" hidden="1" x14ac:dyDescent="0.2"/>
    <row r="4134" ht="12.75" hidden="1" x14ac:dyDescent="0.2"/>
    <row r="4135" ht="12.75" hidden="1" x14ac:dyDescent="0.2"/>
    <row r="4136" ht="12.75" hidden="1" x14ac:dyDescent="0.2"/>
    <row r="4137" ht="12.75" hidden="1" x14ac:dyDescent="0.2"/>
    <row r="4138" ht="12.75" hidden="1" x14ac:dyDescent="0.2"/>
    <row r="4139" ht="12.75" hidden="1" x14ac:dyDescent="0.2"/>
    <row r="4140" ht="12.75" hidden="1" x14ac:dyDescent="0.2"/>
    <row r="4141" ht="12.75" hidden="1" x14ac:dyDescent="0.2"/>
    <row r="4142" ht="12.75" hidden="1" x14ac:dyDescent="0.2"/>
    <row r="4143" ht="12.75" hidden="1" x14ac:dyDescent="0.2"/>
    <row r="4144" ht="12.75" hidden="1" x14ac:dyDescent="0.2"/>
    <row r="4145" ht="12.75" hidden="1" x14ac:dyDescent="0.2"/>
    <row r="4146" ht="12.75" hidden="1" x14ac:dyDescent="0.2"/>
    <row r="4147" ht="12.75" hidden="1" x14ac:dyDescent="0.2"/>
    <row r="4148" ht="12.75" hidden="1" x14ac:dyDescent="0.2"/>
    <row r="4149" ht="12.75" hidden="1" x14ac:dyDescent="0.2"/>
    <row r="4150" ht="12.75" hidden="1" x14ac:dyDescent="0.2"/>
    <row r="4151" ht="12.75" hidden="1" x14ac:dyDescent="0.2"/>
    <row r="4152" ht="12.75" hidden="1" x14ac:dyDescent="0.2"/>
    <row r="4153" ht="12.75" hidden="1" x14ac:dyDescent="0.2"/>
    <row r="4154" ht="12.75" hidden="1" x14ac:dyDescent="0.2"/>
    <row r="4155" ht="12.75" hidden="1" x14ac:dyDescent="0.2"/>
    <row r="4156" ht="12.75" hidden="1" x14ac:dyDescent="0.2"/>
    <row r="4157" ht="12.75" hidden="1" x14ac:dyDescent="0.2"/>
    <row r="4158" ht="12.75" hidden="1" x14ac:dyDescent="0.2"/>
    <row r="4159" ht="12.75" hidden="1" x14ac:dyDescent="0.2"/>
    <row r="4160" ht="12.75" hidden="1" x14ac:dyDescent="0.2"/>
    <row r="4161" ht="12.75" hidden="1" x14ac:dyDescent="0.2"/>
    <row r="4162" ht="12.75" hidden="1" x14ac:dyDescent="0.2"/>
    <row r="4163" ht="12.75" hidden="1" x14ac:dyDescent="0.2"/>
    <row r="4164" ht="12.75" hidden="1" x14ac:dyDescent="0.2"/>
    <row r="4165" ht="12.75" hidden="1" x14ac:dyDescent="0.2"/>
    <row r="4166" ht="12.75" hidden="1" x14ac:dyDescent="0.2"/>
    <row r="4167" ht="12.75" hidden="1" x14ac:dyDescent="0.2"/>
    <row r="4168" ht="12.75" hidden="1" x14ac:dyDescent="0.2"/>
    <row r="4169" ht="12.75" hidden="1" x14ac:dyDescent="0.2"/>
    <row r="4170" ht="12.75" hidden="1" x14ac:dyDescent="0.2"/>
    <row r="4171" ht="12.75" hidden="1" x14ac:dyDescent="0.2"/>
    <row r="4172" ht="12.75" hidden="1" x14ac:dyDescent="0.2"/>
    <row r="4173" ht="12.75" hidden="1" x14ac:dyDescent="0.2"/>
    <row r="4174" ht="12.75" hidden="1" x14ac:dyDescent="0.2"/>
    <row r="4175" ht="12.75" hidden="1" x14ac:dyDescent="0.2"/>
    <row r="4176" ht="12.75" hidden="1" x14ac:dyDescent="0.2"/>
    <row r="4177" ht="12.75" hidden="1" x14ac:dyDescent="0.2"/>
    <row r="4178" ht="12.75" hidden="1" x14ac:dyDescent="0.2"/>
    <row r="4179" ht="12.75" hidden="1" x14ac:dyDescent="0.2"/>
    <row r="4180" ht="12.75" hidden="1" x14ac:dyDescent="0.2"/>
    <row r="4181" ht="12.75" hidden="1" x14ac:dyDescent="0.2"/>
    <row r="4182" ht="12.75" hidden="1" x14ac:dyDescent="0.2"/>
    <row r="4183" ht="12.75" hidden="1" x14ac:dyDescent="0.2"/>
    <row r="4184" ht="12.75" hidden="1" x14ac:dyDescent="0.2"/>
    <row r="4185" ht="12.75" hidden="1" x14ac:dyDescent="0.2"/>
    <row r="4186" ht="12.75" hidden="1" x14ac:dyDescent="0.2"/>
    <row r="4187" ht="12.75" hidden="1" x14ac:dyDescent="0.2"/>
    <row r="4188" ht="12.75" hidden="1" x14ac:dyDescent="0.2"/>
    <row r="4189" ht="12.75" hidden="1" x14ac:dyDescent="0.2"/>
    <row r="4190" ht="12.75" hidden="1" x14ac:dyDescent="0.2"/>
    <row r="4191" ht="12.75" hidden="1" x14ac:dyDescent="0.2"/>
    <row r="4192" ht="12.75" hidden="1" x14ac:dyDescent="0.2"/>
    <row r="4193" ht="12.75" hidden="1" x14ac:dyDescent="0.2"/>
    <row r="4194" ht="12.75" hidden="1" x14ac:dyDescent="0.2"/>
    <row r="4195" ht="12.75" hidden="1" x14ac:dyDescent="0.2"/>
    <row r="4196" ht="12.75" hidden="1" x14ac:dyDescent="0.2"/>
    <row r="4197" ht="12.75" hidden="1" x14ac:dyDescent="0.2"/>
    <row r="4198" ht="12.75" hidden="1" x14ac:dyDescent="0.2"/>
    <row r="4199" ht="12.75" hidden="1" x14ac:dyDescent="0.2"/>
    <row r="4200" ht="12.75" hidden="1" x14ac:dyDescent="0.2"/>
    <row r="4201" ht="12.75" hidden="1" x14ac:dyDescent="0.2"/>
    <row r="4202" ht="12.75" hidden="1" x14ac:dyDescent="0.2"/>
    <row r="4203" ht="12.75" hidden="1" x14ac:dyDescent="0.2"/>
    <row r="4204" ht="12.75" hidden="1" x14ac:dyDescent="0.2"/>
    <row r="4205" ht="12.75" hidden="1" x14ac:dyDescent="0.2"/>
    <row r="4206" ht="12.75" hidden="1" x14ac:dyDescent="0.2"/>
    <row r="4207" ht="12.75" hidden="1" x14ac:dyDescent="0.2"/>
    <row r="4208" ht="12.75" hidden="1" x14ac:dyDescent="0.2"/>
    <row r="4209" ht="12.75" hidden="1" x14ac:dyDescent="0.2"/>
    <row r="4210" ht="12.75" hidden="1" x14ac:dyDescent="0.2"/>
    <row r="4211" ht="12.75" hidden="1" x14ac:dyDescent="0.2"/>
    <row r="4212" ht="12.75" hidden="1" x14ac:dyDescent="0.2"/>
    <row r="4213" ht="12.75" hidden="1" x14ac:dyDescent="0.2"/>
    <row r="4214" ht="12.75" hidden="1" x14ac:dyDescent="0.2"/>
    <row r="4215" ht="12.75" hidden="1" x14ac:dyDescent="0.2"/>
    <row r="4216" ht="12.75" hidden="1" x14ac:dyDescent="0.2"/>
    <row r="4217" ht="12.75" hidden="1" x14ac:dyDescent="0.2"/>
    <row r="4218" ht="12.75" hidden="1" x14ac:dyDescent="0.2"/>
    <row r="4219" ht="12.75" hidden="1" x14ac:dyDescent="0.2"/>
    <row r="4220" ht="12.75" hidden="1" x14ac:dyDescent="0.2"/>
    <row r="4221" ht="12.75" hidden="1" x14ac:dyDescent="0.2"/>
    <row r="4222" ht="12.75" hidden="1" x14ac:dyDescent="0.2"/>
    <row r="4223" ht="12.75" hidden="1" x14ac:dyDescent="0.2"/>
    <row r="4224" ht="12.75" hidden="1" x14ac:dyDescent="0.2"/>
    <row r="4225" ht="12.75" hidden="1" x14ac:dyDescent="0.2"/>
    <row r="4226" ht="12.75" hidden="1" x14ac:dyDescent="0.2"/>
    <row r="4227" ht="12.75" hidden="1" x14ac:dyDescent="0.2"/>
    <row r="4228" ht="12.75" hidden="1" x14ac:dyDescent="0.2"/>
    <row r="4229" ht="12.75" hidden="1" x14ac:dyDescent="0.2"/>
    <row r="4230" ht="12.75" hidden="1" x14ac:dyDescent="0.2"/>
    <row r="4231" ht="12.75" hidden="1" x14ac:dyDescent="0.2"/>
    <row r="4232" ht="12.75" hidden="1" x14ac:dyDescent="0.2"/>
    <row r="4233" ht="12.75" hidden="1" x14ac:dyDescent="0.2"/>
    <row r="4234" ht="12.75" hidden="1" x14ac:dyDescent="0.2"/>
    <row r="4235" ht="12.75" hidden="1" x14ac:dyDescent="0.2"/>
    <row r="4236" ht="12.75" hidden="1" x14ac:dyDescent="0.2"/>
    <row r="4237" ht="12.75" hidden="1" x14ac:dyDescent="0.2"/>
    <row r="4238" ht="12.75" hidden="1" x14ac:dyDescent="0.2"/>
    <row r="4239" ht="12.75" hidden="1" x14ac:dyDescent="0.2"/>
    <row r="4240" ht="12.75" hidden="1" x14ac:dyDescent="0.2"/>
    <row r="4241" ht="12.75" hidden="1" x14ac:dyDescent="0.2"/>
    <row r="4242" ht="12.75" hidden="1" x14ac:dyDescent="0.2"/>
    <row r="4243" ht="12.75" hidden="1" x14ac:dyDescent="0.2"/>
    <row r="4244" ht="12.75" hidden="1" x14ac:dyDescent="0.2"/>
    <row r="4245" ht="12.75" hidden="1" x14ac:dyDescent="0.2"/>
    <row r="4246" ht="12.75" hidden="1" x14ac:dyDescent="0.2"/>
    <row r="4247" ht="12.75" hidden="1" x14ac:dyDescent="0.2"/>
    <row r="4248" ht="12.75" hidden="1" x14ac:dyDescent="0.2"/>
    <row r="4249" ht="12.75" hidden="1" x14ac:dyDescent="0.2"/>
    <row r="4250" ht="12.75" hidden="1" x14ac:dyDescent="0.2"/>
    <row r="4251" ht="12.75" hidden="1" x14ac:dyDescent="0.2"/>
    <row r="4252" ht="12.75" hidden="1" x14ac:dyDescent="0.2"/>
    <row r="4253" ht="12.75" hidden="1" x14ac:dyDescent="0.2"/>
    <row r="4254" ht="12.75" hidden="1" x14ac:dyDescent="0.2"/>
    <row r="4255" ht="12.75" hidden="1" x14ac:dyDescent="0.2"/>
    <row r="4256" ht="12.75" hidden="1" x14ac:dyDescent="0.2"/>
    <row r="4257" ht="12.75" hidden="1" x14ac:dyDescent="0.2"/>
    <row r="4258" ht="12.75" hidden="1" x14ac:dyDescent="0.2"/>
    <row r="4259" ht="12.75" hidden="1" x14ac:dyDescent="0.2"/>
    <row r="4260" ht="12.75" hidden="1" x14ac:dyDescent="0.2"/>
    <row r="4261" ht="12.75" hidden="1" x14ac:dyDescent="0.2"/>
    <row r="4262" ht="12.75" hidden="1" x14ac:dyDescent="0.2"/>
    <row r="4263" ht="12.75" hidden="1" x14ac:dyDescent="0.2"/>
    <row r="4264" ht="12.75" hidden="1" x14ac:dyDescent="0.2"/>
    <row r="4265" ht="12.75" hidden="1" x14ac:dyDescent="0.2"/>
    <row r="4266" ht="12.75" hidden="1" x14ac:dyDescent="0.2"/>
    <row r="4267" ht="12.75" hidden="1" x14ac:dyDescent="0.2"/>
    <row r="4268" ht="12.75" hidden="1" x14ac:dyDescent="0.2"/>
    <row r="4269" ht="12.75" hidden="1" x14ac:dyDescent="0.2"/>
    <row r="4270" ht="12.75" hidden="1" x14ac:dyDescent="0.2"/>
    <row r="4271" ht="12.75" hidden="1" x14ac:dyDescent="0.2"/>
    <row r="4272" ht="12.75" hidden="1" x14ac:dyDescent="0.2"/>
    <row r="4273" ht="12.75" hidden="1" x14ac:dyDescent="0.2"/>
    <row r="4274" ht="12.75" hidden="1" x14ac:dyDescent="0.2"/>
    <row r="4275" ht="12.75" hidden="1" x14ac:dyDescent="0.2"/>
    <row r="4276" ht="12.75" hidden="1" x14ac:dyDescent="0.2"/>
    <row r="4277" ht="12.75" hidden="1" x14ac:dyDescent="0.2"/>
    <row r="4278" ht="12.75" hidden="1" x14ac:dyDescent="0.2"/>
    <row r="4279" ht="12.75" hidden="1" x14ac:dyDescent="0.2"/>
    <row r="4280" ht="12.75" hidden="1" x14ac:dyDescent="0.2"/>
    <row r="4281" ht="12.75" hidden="1" x14ac:dyDescent="0.2"/>
    <row r="4282" ht="12.75" hidden="1" x14ac:dyDescent="0.2"/>
    <row r="4283" ht="12.75" hidden="1" x14ac:dyDescent="0.2"/>
    <row r="4284" ht="12.75" hidden="1" x14ac:dyDescent="0.2"/>
    <row r="4285" ht="12.75" hidden="1" x14ac:dyDescent="0.2"/>
    <row r="4286" ht="12.75" hidden="1" x14ac:dyDescent="0.2"/>
    <row r="4287" ht="12.75" hidden="1" x14ac:dyDescent="0.2"/>
    <row r="4288" ht="12.75" hidden="1" x14ac:dyDescent="0.2"/>
    <row r="4289" ht="12.75" hidden="1" x14ac:dyDescent="0.2"/>
    <row r="4290" ht="12.75" hidden="1" x14ac:dyDescent="0.2"/>
    <row r="4291" ht="12.75" hidden="1" x14ac:dyDescent="0.2"/>
    <row r="4292" ht="12.75" hidden="1" x14ac:dyDescent="0.2"/>
    <row r="4293" ht="12.75" hidden="1" x14ac:dyDescent="0.2"/>
    <row r="4294" ht="12.75" hidden="1" x14ac:dyDescent="0.2"/>
    <row r="4295" ht="12.75" hidden="1" x14ac:dyDescent="0.2"/>
    <row r="4296" ht="12.75" hidden="1" x14ac:dyDescent="0.2"/>
    <row r="4297" ht="12.75" hidden="1" x14ac:dyDescent="0.2"/>
    <row r="4298" ht="12.75" hidden="1" x14ac:dyDescent="0.2"/>
    <row r="4299" ht="12.75" hidden="1" x14ac:dyDescent="0.2"/>
    <row r="4300" ht="12.75" hidden="1" x14ac:dyDescent="0.2"/>
    <row r="4301" ht="12.75" hidden="1" x14ac:dyDescent="0.2"/>
    <row r="4302" ht="12.75" hidden="1" x14ac:dyDescent="0.2"/>
    <row r="4303" ht="12.75" hidden="1" x14ac:dyDescent="0.2"/>
    <row r="4304" ht="12.75" hidden="1" x14ac:dyDescent="0.2"/>
    <row r="4305" ht="12.75" hidden="1" x14ac:dyDescent="0.2"/>
    <row r="4306" ht="12.75" hidden="1" x14ac:dyDescent="0.2"/>
    <row r="4307" ht="12.75" hidden="1" x14ac:dyDescent="0.2"/>
    <row r="4308" ht="12.75" hidden="1" x14ac:dyDescent="0.2"/>
    <row r="4309" ht="12.75" hidden="1" x14ac:dyDescent="0.2"/>
    <row r="4310" ht="12.75" hidden="1" x14ac:dyDescent="0.2"/>
    <row r="4311" ht="12.75" hidden="1" x14ac:dyDescent="0.2"/>
    <row r="4312" ht="12.75" hidden="1" x14ac:dyDescent="0.2"/>
    <row r="4313" ht="12.75" hidden="1" x14ac:dyDescent="0.2"/>
    <row r="4314" ht="12.75" hidden="1" x14ac:dyDescent="0.2"/>
    <row r="4315" ht="12.75" hidden="1" x14ac:dyDescent="0.2"/>
    <row r="4316" ht="12.75" hidden="1" x14ac:dyDescent="0.2"/>
    <row r="4317" ht="12.75" hidden="1" x14ac:dyDescent="0.2"/>
    <row r="4318" ht="12.75" hidden="1" x14ac:dyDescent="0.2"/>
    <row r="4319" ht="12.75" hidden="1" x14ac:dyDescent="0.2"/>
    <row r="4320" ht="12.75" hidden="1" x14ac:dyDescent="0.2"/>
    <row r="4321" ht="12.75" hidden="1" x14ac:dyDescent="0.2"/>
    <row r="4322" ht="12.75" hidden="1" x14ac:dyDescent="0.2"/>
    <row r="4323" ht="12.75" hidden="1" x14ac:dyDescent="0.2"/>
    <row r="4324" ht="12.75" hidden="1" x14ac:dyDescent="0.2"/>
    <row r="4325" ht="12.75" hidden="1" x14ac:dyDescent="0.2"/>
    <row r="4326" ht="12.75" hidden="1" x14ac:dyDescent="0.2"/>
    <row r="4327" ht="12.75" hidden="1" x14ac:dyDescent="0.2"/>
    <row r="4328" ht="12.75" hidden="1" x14ac:dyDescent="0.2"/>
    <row r="4329" ht="12.75" hidden="1" x14ac:dyDescent="0.2"/>
    <row r="4330" ht="12.75" hidden="1" x14ac:dyDescent="0.2"/>
    <row r="4331" ht="12.75" hidden="1" x14ac:dyDescent="0.2"/>
    <row r="4332" ht="12.75" hidden="1" x14ac:dyDescent="0.2"/>
    <row r="4333" ht="12.75" hidden="1" x14ac:dyDescent="0.2"/>
    <row r="4334" ht="12.75" hidden="1" x14ac:dyDescent="0.2"/>
    <row r="4335" ht="12.75" hidden="1" x14ac:dyDescent="0.2"/>
    <row r="4336" ht="12.75" hidden="1" x14ac:dyDescent="0.2"/>
    <row r="4337" ht="12.75" hidden="1" x14ac:dyDescent="0.2"/>
    <row r="4338" ht="12.75" hidden="1" x14ac:dyDescent="0.2"/>
    <row r="4339" ht="12.75" hidden="1" x14ac:dyDescent="0.2"/>
    <row r="4340" ht="12.75" hidden="1" x14ac:dyDescent="0.2"/>
    <row r="4341" ht="12.75" hidden="1" x14ac:dyDescent="0.2"/>
    <row r="4342" ht="12.75" hidden="1" x14ac:dyDescent="0.2"/>
    <row r="4343" ht="12.75" hidden="1" x14ac:dyDescent="0.2"/>
    <row r="4344" ht="12.75" hidden="1" x14ac:dyDescent="0.2"/>
    <row r="4345" ht="12.75" hidden="1" x14ac:dyDescent="0.2"/>
    <row r="4346" ht="12.75" hidden="1" x14ac:dyDescent="0.2"/>
    <row r="4347" ht="12.75" hidden="1" x14ac:dyDescent="0.2"/>
    <row r="4348" ht="12.75" hidden="1" x14ac:dyDescent="0.2"/>
    <row r="4349" ht="12.75" hidden="1" x14ac:dyDescent="0.2"/>
    <row r="4350" ht="12.75" hidden="1" x14ac:dyDescent="0.2"/>
    <row r="4351" ht="12.75" hidden="1" x14ac:dyDescent="0.2"/>
    <row r="4352" ht="12.75" hidden="1" x14ac:dyDescent="0.2"/>
    <row r="4353" ht="12.75" hidden="1" x14ac:dyDescent="0.2"/>
    <row r="4354" ht="12.75" hidden="1" x14ac:dyDescent="0.2"/>
    <row r="4355" ht="12.75" hidden="1" x14ac:dyDescent="0.2"/>
    <row r="4356" ht="12.75" hidden="1" x14ac:dyDescent="0.2"/>
    <row r="4357" ht="12.75" hidden="1" x14ac:dyDescent="0.2"/>
    <row r="4358" ht="12.75" hidden="1" x14ac:dyDescent="0.2"/>
    <row r="4359" ht="12.75" hidden="1" x14ac:dyDescent="0.2"/>
    <row r="4360" ht="12.75" hidden="1" x14ac:dyDescent="0.2"/>
    <row r="4361" ht="12.75" hidden="1" x14ac:dyDescent="0.2"/>
    <row r="4362" ht="12.75" hidden="1" x14ac:dyDescent="0.2"/>
    <row r="4363" ht="12.75" hidden="1" x14ac:dyDescent="0.2"/>
    <row r="4364" ht="12.75" hidden="1" x14ac:dyDescent="0.2"/>
    <row r="4365" ht="12.75" hidden="1" x14ac:dyDescent="0.2"/>
    <row r="4366" ht="12.75" hidden="1" x14ac:dyDescent="0.2"/>
    <row r="4367" ht="12.75" hidden="1" x14ac:dyDescent="0.2"/>
    <row r="4368" ht="12.75" hidden="1" x14ac:dyDescent="0.2"/>
    <row r="4369" ht="12.75" hidden="1" x14ac:dyDescent="0.2"/>
    <row r="4370" ht="12.75" hidden="1" x14ac:dyDescent="0.2"/>
    <row r="4371" ht="12.75" hidden="1" x14ac:dyDescent="0.2"/>
    <row r="4372" ht="12.75" hidden="1" x14ac:dyDescent="0.2"/>
    <row r="4373" ht="12.75" hidden="1" x14ac:dyDescent="0.2"/>
    <row r="4374" ht="12.75" hidden="1" x14ac:dyDescent="0.2"/>
    <row r="4375" ht="12.75" hidden="1" x14ac:dyDescent="0.2"/>
    <row r="4376" ht="12.75" hidden="1" x14ac:dyDescent="0.2"/>
    <row r="4377" ht="12.75" hidden="1" x14ac:dyDescent="0.2"/>
    <row r="4378" ht="12.75" hidden="1" x14ac:dyDescent="0.2"/>
    <row r="4379" ht="12.75" hidden="1" x14ac:dyDescent="0.2"/>
    <row r="4380" ht="12.75" hidden="1" x14ac:dyDescent="0.2"/>
    <row r="4381" ht="12.75" hidden="1" x14ac:dyDescent="0.2"/>
    <row r="4382" ht="12.75" hidden="1" x14ac:dyDescent="0.2"/>
    <row r="4383" ht="12.75" hidden="1" x14ac:dyDescent="0.2"/>
    <row r="4384" ht="12.75" hidden="1" x14ac:dyDescent="0.2"/>
    <row r="4385" ht="12.75" hidden="1" x14ac:dyDescent="0.2"/>
    <row r="4386" ht="12.75" hidden="1" x14ac:dyDescent="0.2"/>
    <row r="4387" ht="12.75" hidden="1" x14ac:dyDescent="0.2"/>
    <row r="4388" ht="12.75" hidden="1" x14ac:dyDescent="0.2"/>
    <row r="4389" ht="12.75" hidden="1" x14ac:dyDescent="0.2"/>
    <row r="4390" ht="12.75" hidden="1" x14ac:dyDescent="0.2"/>
    <row r="4391" ht="12.75" hidden="1" x14ac:dyDescent="0.2"/>
    <row r="4392" ht="12.75" hidden="1" x14ac:dyDescent="0.2"/>
    <row r="4393" ht="12.75" hidden="1" x14ac:dyDescent="0.2"/>
    <row r="4394" ht="12.75" hidden="1" x14ac:dyDescent="0.2"/>
    <row r="4395" ht="12.75" hidden="1" x14ac:dyDescent="0.2"/>
    <row r="4396" ht="12.75" hidden="1" x14ac:dyDescent="0.2"/>
    <row r="4397" ht="12.75" hidden="1" x14ac:dyDescent="0.2"/>
    <row r="4398" ht="12.75" hidden="1" x14ac:dyDescent="0.2"/>
    <row r="4399" ht="12.75" hidden="1" x14ac:dyDescent="0.2"/>
    <row r="4400" ht="12.75" hidden="1" x14ac:dyDescent="0.2"/>
    <row r="4401" ht="12.75" hidden="1" x14ac:dyDescent="0.2"/>
    <row r="4402" ht="12.75" hidden="1" x14ac:dyDescent="0.2"/>
    <row r="4403" ht="12.75" hidden="1" x14ac:dyDescent="0.2"/>
    <row r="4404" ht="12.75" hidden="1" x14ac:dyDescent="0.2"/>
    <row r="4405" ht="12.75" hidden="1" x14ac:dyDescent="0.2"/>
    <row r="4406" ht="12.75" hidden="1" x14ac:dyDescent="0.2"/>
    <row r="4407" ht="12.75" hidden="1" x14ac:dyDescent="0.2"/>
    <row r="4408" ht="12.75" hidden="1" x14ac:dyDescent="0.2"/>
    <row r="4409" ht="12.75" hidden="1" x14ac:dyDescent="0.2"/>
    <row r="4410" ht="12.75" hidden="1" x14ac:dyDescent="0.2"/>
    <row r="4411" ht="12.75" hidden="1" x14ac:dyDescent="0.2"/>
    <row r="4412" ht="12.75" hidden="1" x14ac:dyDescent="0.2"/>
    <row r="4413" ht="12.75" hidden="1" x14ac:dyDescent="0.2"/>
    <row r="4414" ht="12.75" hidden="1" x14ac:dyDescent="0.2"/>
    <row r="4415" ht="12.75" hidden="1" x14ac:dyDescent="0.2"/>
    <row r="4416" ht="12.75" hidden="1" x14ac:dyDescent="0.2"/>
    <row r="4417" ht="12.75" hidden="1" x14ac:dyDescent="0.2"/>
    <row r="4418" ht="12.75" hidden="1" x14ac:dyDescent="0.2"/>
    <row r="4419" ht="12.75" hidden="1" x14ac:dyDescent="0.2"/>
    <row r="4420" ht="12.75" hidden="1" x14ac:dyDescent="0.2"/>
    <row r="4421" ht="12.75" hidden="1" x14ac:dyDescent="0.2"/>
    <row r="4422" ht="12.75" hidden="1" x14ac:dyDescent="0.2"/>
    <row r="4423" ht="12.75" hidden="1" x14ac:dyDescent="0.2"/>
    <row r="4424" ht="12.75" hidden="1" x14ac:dyDescent="0.2"/>
    <row r="4425" ht="12.75" hidden="1" x14ac:dyDescent="0.2"/>
    <row r="4426" ht="12.75" hidden="1" x14ac:dyDescent="0.2"/>
    <row r="4427" ht="12.75" hidden="1" x14ac:dyDescent="0.2"/>
    <row r="4428" ht="12.75" hidden="1" x14ac:dyDescent="0.2"/>
    <row r="4429" ht="12.75" hidden="1" x14ac:dyDescent="0.2"/>
    <row r="4430" ht="12.75" hidden="1" x14ac:dyDescent="0.2"/>
    <row r="4431" ht="12.75" hidden="1" x14ac:dyDescent="0.2"/>
    <row r="4432" ht="12.75" hidden="1" x14ac:dyDescent="0.2"/>
    <row r="4433" ht="12.75" hidden="1" x14ac:dyDescent="0.2"/>
    <row r="4434" ht="12.75" hidden="1" x14ac:dyDescent="0.2"/>
    <row r="4435" ht="12.75" hidden="1" x14ac:dyDescent="0.2"/>
    <row r="4436" ht="12.75" hidden="1" x14ac:dyDescent="0.2"/>
    <row r="4437" ht="12.75" hidden="1" x14ac:dyDescent="0.2"/>
    <row r="4438" ht="12.75" hidden="1" x14ac:dyDescent="0.2"/>
    <row r="4439" ht="12.75" hidden="1" x14ac:dyDescent="0.2"/>
    <row r="4440" ht="12.75" hidden="1" x14ac:dyDescent="0.2"/>
    <row r="4441" ht="12.75" hidden="1" x14ac:dyDescent="0.2"/>
    <row r="4442" ht="12.75" hidden="1" x14ac:dyDescent="0.2"/>
    <row r="4443" ht="12.75" hidden="1" x14ac:dyDescent="0.2"/>
    <row r="4444" ht="12.75" hidden="1" x14ac:dyDescent="0.2"/>
    <row r="4445" ht="12.75" hidden="1" x14ac:dyDescent="0.2"/>
    <row r="4446" ht="12.75" hidden="1" x14ac:dyDescent="0.2"/>
    <row r="4447" ht="12.75" hidden="1" x14ac:dyDescent="0.2"/>
    <row r="4448" ht="12.75" hidden="1" x14ac:dyDescent="0.2"/>
    <row r="4449" ht="12.75" hidden="1" x14ac:dyDescent="0.2"/>
    <row r="4450" ht="12.75" hidden="1" x14ac:dyDescent="0.2"/>
    <row r="4451" ht="12.75" hidden="1" x14ac:dyDescent="0.2"/>
    <row r="4452" ht="12.75" hidden="1" x14ac:dyDescent="0.2"/>
    <row r="4453" ht="12.75" hidden="1" x14ac:dyDescent="0.2"/>
    <row r="4454" ht="12.75" hidden="1" x14ac:dyDescent="0.2"/>
    <row r="4455" ht="12.75" hidden="1" x14ac:dyDescent="0.2"/>
    <row r="4456" ht="12.75" hidden="1" x14ac:dyDescent="0.2"/>
    <row r="4457" ht="12.75" hidden="1" x14ac:dyDescent="0.2"/>
    <row r="4458" ht="12.75" hidden="1" x14ac:dyDescent="0.2"/>
    <row r="4459" ht="12.75" hidden="1" x14ac:dyDescent="0.2"/>
    <row r="4460" ht="12.75" hidden="1" x14ac:dyDescent="0.2"/>
    <row r="4461" ht="12.75" hidden="1" x14ac:dyDescent="0.2"/>
    <row r="4462" ht="12.75" hidden="1" x14ac:dyDescent="0.2"/>
    <row r="4463" ht="12.75" hidden="1" x14ac:dyDescent="0.2"/>
    <row r="4464" ht="12.75" hidden="1" x14ac:dyDescent="0.2"/>
    <row r="4465" ht="12.75" hidden="1" x14ac:dyDescent="0.2"/>
    <row r="4466" ht="12.75" hidden="1" x14ac:dyDescent="0.2"/>
    <row r="4467" ht="12.75" hidden="1" x14ac:dyDescent="0.2"/>
    <row r="4468" ht="12.75" hidden="1" x14ac:dyDescent="0.2"/>
    <row r="4469" ht="12.75" hidden="1" x14ac:dyDescent="0.2"/>
    <row r="4470" ht="12.75" hidden="1" x14ac:dyDescent="0.2"/>
    <row r="4471" ht="12.75" hidden="1" x14ac:dyDescent="0.2"/>
    <row r="4472" ht="12.75" hidden="1" x14ac:dyDescent="0.2"/>
    <row r="4473" ht="12.75" hidden="1" x14ac:dyDescent="0.2"/>
    <row r="4474" ht="12.75" hidden="1" x14ac:dyDescent="0.2"/>
    <row r="4475" ht="12.75" hidden="1" x14ac:dyDescent="0.2"/>
    <row r="4476" ht="12.75" hidden="1" x14ac:dyDescent="0.2"/>
    <row r="4477" ht="12.75" hidden="1" x14ac:dyDescent="0.2"/>
    <row r="4478" ht="12.75" hidden="1" x14ac:dyDescent="0.2"/>
    <row r="4479" ht="12.75" hidden="1" x14ac:dyDescent="0.2"/>
    <row r="4480" ht="12.75" hidden="1" x14ac:dyDescent="0.2"/>
    <row r="4481" ht="12.75" hidden="1" x14ac:dyDescent="0.2"/>
    <row r="4482" ht="12.75" hidden="1" x14ac:dyDescent="0.2"/>
    <row r="4483" ht="12.75" hidden="1" x14ac:dyDescent="0.2"/>
    <row r="4484" ht="12.75" hidden="1" x14ac:dyDescent="0.2"/>
    <row r="4485" ht="12.75" hidden="1" x14ac:dyDescent="0.2"/>
    <row r="4486" ht="12.75" hidden="1" x14ac:dyDescent="0.2"/>
    <row r="4487" ht="12.75" hidden="1" x14ac:dyDescent="0.2"/>
    <row r="4488" ht="12.75" hidden="1" x14ac:dyDescent="0.2"/>
    <row r="4489" ht="12.75" hidden="1" x14ac:dyDescent="0.2"/>
    <row r="4490" ht="12.75" hidden="1" x14ac:dyDescent="0.2"/>
    <row r="4491" ht="12.75" hidden="1" x14ac:dyDescent="0.2"/>
    <row r="4492" ht="12.75" hidden="1" x14ac:dyDescent="0.2"/>
    <row r="4493" ht="12.75" hidden="1" x14ac:dyDescent="0.2"/>
    <row r="4494" ht="12.75" hidden="1" x14ac:dyDescent="0.2"/>
    <row r="4495" ht="12.75" hidden="1" x14ac:dyDescent="0.2"/>
    <row r="4496" ht="12.75" hidden="1" x14ac:dyDescent="0.2"/>
    <row r="4497" ht="12.75" hidden="1" x14ac:dyDescent="0.2"/>
    <row r="4498" ht="12.75" hidden="1" x14ac:dyDescent="0.2"/>
    <row r="4499" ht="12.75" hidden="1" x14ac:dyDescent="0.2"/>
    <row r="4500" ht="12.75" hidden="1" x14ac:dyDescent="0.2"/>
    <row r="4501" ht="12.75" hidden="1" x14ac:dyDescent="0.2"/>
    <row r="4502" ht="12.75" hidden="1" x14ac:dyDescent="0.2"/>
    <row r="4503" ht="12.75" hidden="1" x14ac:dyDescent="0.2"/>
    <row r="4504" ht="12.75" hidden="1" x14ac:dyDescent="0.2"/>
    <row r="4505" ht="12.75" hidden="1" x14ac:dyDescent="0.2"/>
    <row r="4506" ht="12.75" hidden="1" x14ac:dyDescent="0.2"/>
    <row r="4507" ht="12.75" hidden="1" x14ac:dyDescent="0.2"/>
    <row r="4508" ht="12.75" hidden="1" x14ac:dyDescent="0.2"/>
    <row r="4509" ht="12.75" hidden="1" x14ac:dyDescent="0.2"/>
    <row r="4510" ht="12.75" hidden="1" x14ac:dyDescent="0.2"/>
    <row r="4511" ht="12.75" hidden="1" x14ac:dyDescent="0.2"/>
    <row r="4512" ht="12.75" hidden="1" x14ac:dyDescent="0.2"/>
    <row r="4513" ht="12.75" hidden="1" x14ac:dyDescent="0.2"/>
    <row r="4514" ht="12.75" hidden="1" x14ac:dyDescent="0.2"/>
    <row r="4515" ht="12.75" hidden="1" x14ac:dyDescent="0.2"/>
    <row r="4516" ht="12.75" hidden="1" x14ac:dyDescent="0.2"/>
    <row r="4517" ht="12.75" hidden="1" x14ac:dyDescent="0.2"/>
    <row r="4518" ht="12.75" hidden="1" x14ac:dyDescent="0.2"/>
    <row r="4519" ht="12.75" hidden="1" x14ac:dyDescent="0.2"/>
    <row r="4520" ht="12.75" hidden="1" x14ac:dyDescent="0.2"/>
    <row r="4521" ht="12.75" hidden="1" x14ac:dyDescent="0.2"/>
    <row r="4522" ht="12.75" hidden="1" x14ac:dyDescent="0.2"/>
    <row r="4523" ht="12.75" hidden="1" x14ac:dyDescent="0.2"/>
    <row r="4524" ht="12.75" hidden="1" x14ac:dyDescent="0.2"/>
    <row r="4525" ht="12.75" hidden="1" x14ac:dyDescent="0.2"/>
    <row r="4526" ht="12.75" hidden="1" x14ac:dyDescent="0.2"/>
    <row r="4527" ht="12.75" hidden="1" x14ac:dyDescent="0.2"/>
    <row r="4528" ht="12.75" hidden="1" x14ac:dyDescent="0.2"/>
    <row r="4529" ht="12.75" hidden="1" x14ac:dyDescent="0.2"/>
    <row r="4530" ht="12.75" hidden="1" x14ac:dyDescent="0.2"/>
    <row r="4531" ht="12.75" hidden="1" x14ac:dyDescent="0.2"/>
    <row r="4532" ht="12.75" hidden="1" x14ac:dyDescent="0.2"/>
    <row r="4533" ht="12.75" hidden="1" x14ac:dyDescent="0.2"/>
    <row r="4534" ht="12.75" hidden="1" x14ac:dyDescent="0.2"/>
    <row r="4535" ht="12.75" hidden="1" x14ac:dyDescent="0.2"/>
    <row r="4536" ht="12.75" hidden="1" x14ac:dyDescent="0.2"/>
    <row r="4537" ht="12.75" hidden="1" x14ac:dyDescent="0.2"/>
    <row r="4538" ht="12.75" hidden="1" x14ac:dyDescent="0.2"/>
    <row r="4539" ht="12.75" hidden="1" x14ac:dyDescent="0.2"/>
    <row r="4540" ht="12.75" hidden="1" x14ac:dyDescent="0.2"/>
    <row r="4541" ht="12.75" hidden="1" x14ac:dyDescent="0.2"/>
    <row r="4542" ht="12.75" hidden="1" x14ac:dyDescent="0.2"/>
    <row r="4543" ht="12.75" hidden="1" x14ac:dyDescent="0.2"/>
    <row r="4544" ht="12.75" hidden="1" x14ac:dyDescent="0.2"/>
    <row r="4545" ht="12.75" hidden="1" x14ac:dyDescent="0.2"/>
    <row r="4546" ht="12.75" hidden="1" x14ac:dyDescent="0.2"/>
    <row r="4547" ht="12.75" hidden="1" x14ac:dyDescent="0.2"/>
    <row r="4548" ht="12.75" hidden="1" x14ac:dyDescent="0.2"/>
    <row r="4549" ht="12.75" hidden="1" x14ac:dyDescent="0.2"/>
    <row r="4550" ht="12.75" hidden="1" x14ac:dyDescent="0.2"/>
    <row r="4551" ht="12.75" hidden="1" x14ac:dyDescent="0.2"/>
    <row r="4552" ht="12.75" hidden="1" x14ac:dyDescent="0.2"/>
    <row r="4553" ht="12.75" hidden="1" x14ac:dyDescent="0.2"/>
    <row r="4554" ht="12.75" hidden="1" x14ac:dyDescent="0.2"/>
    <row r="4555" ht="12.75" hidden="1" x14ac:dyDescent="0.2"/>
    <row r="4556" ht="12.75" hidden="1" x14ac:dyDescent="0.2"/>
    <row r="4557" ht="12.75" hidden="1" x14ac:dyDescent="0.2"/>
    <row r="4558" ht="12.75" hidden="1" x14ac:dyDescent="0.2"/>
    <row r="4559" ht="12.75" hidden="1" x14ac:dyDescent="0.2"/>
    <row r="4560" ht="12.75" hidden="1" x14ac:dyDescent="0.2"/>
    <row r="4561" ht="12.75" hidden="1" x14ac:dyDescent="0.2"/>
    <row r="4562" ht="12.75" hidden="1" x14ac:dyDescent="0.2"/>
    <row r="4563" ht="12.75" hidden="1" x14ac:dyDescent="0.2"/>
    <row r="4564" ht="12.75" hidden="1" x14ac:dyDescent="0.2"/>
    <row r="4565" ht="12.75" hidden="1" x14ac:dyDescent="0.2"/>
    <row r="4566" ht="12.75" hidden="1" x14ac:dyDescent="0.2"/>
    <row r="4567" ht="12.75" hidden="1" x14ac:dyDescent="0.2"/>
    <row r="4568" ht="12.75" hidden="1" x14ac:dyDescent="0.2"/>
    <row r="4569" ht="12.75" hidden="1" x14ac:dyDescent="0.2"/>
    <row r="4570" ht="12.75" hidden="1" x14ac:dyDescent="0.2"/>
    <row r="4571" ht="12.75" hidden="1" x14ac:dyDescent="0.2"/>
    <row r="4572" ht="12.75" hidden="1" x14ac:dyDescent="0.2"/>
    <row r="4573" ht="12.75" hidden="1" x14ac:dyDescent="0.2"/>
    <row r="4574" ht="12.75" hidden="1" x14ac:dyDescent="0.2"/>
    <row r="4575" ht="12.75" hidden="1" x14ac:dyDescent="0.2"/>
    <row r="4576" ht="12.75" hidden="1" x14ac:dyDescent="0.2"/>
    <row r="4577" ht="12.75" hidden="1" x14ac:dyDescent="0.2"/>
    <row r="4578" ht="12.75" hidden="1" x14ac:dyDescent="0.2"/>
    <row r="4579" ht="12.75" hidden="1" x14ac:dyDescent="0.2"/>
    <row r="4580" ht="12.75" hidden="1" x14ac:dyDescent="0.2"/>
    <row r="4581" ht="12.75" hidden="1" x14ac:dyDescent="0.2"/>
    <row r="4582" ht="12.75" hidden="1" x14ac:dyDescent="0.2"/>
    <row r="4583" ht="12.75" hidden="1" x14ac:dyDescent="0.2"/>
    <row r="4584" ht="12.75" hidden="1" x14ac:dyDescent="0.2"/>
    <row r="4585" ht="12.75" hidden="1" x14ac:dyDescent="0.2"/>
    <row r="4586" ht="12.75" hidden="1" x14ac:dyDescent="0.2"/>
    <row r="4587" ht="12.75" hidden="1" x14ac:dyDescent="0.2"/>
    <row r="4588" ht="12.75" hidden="1" x14ac:dyDescent="0.2"/>
    <row r="4589" ht="12.75" hidden="1" x14ac:dyDescent="0.2"/>
    <row r="4590" ht="12.75" hidden="1" x14ac:dyDescent="0.2"/>
    <row r="4591" ht="12.75" hidden="1" x14ac:dyDescent="0.2"/>
    <row r="4592" ht="12.75" hidden="1" x14ac:dyDescent="0.2"/>
    <row r="4593" ht="12.75" hidden="1" x14ac:dyDescent="0.2"/>
    <row r="4594" ht="12.75" hidden="1" x14ac:dyDescent="0.2"/>
    <row r="4595" ht="12.75" hidden="1" x14ac:dyDescent="0.2"/>
    <row r="4596" ht="12.75" hidden="1" x14ac:dyDescent="0.2"/>
    <row r="4597" ht="12.75" hidden="1" x14ac:dyDescent="0.2"/>
    <row r="4598" ht="12.75" hidden="1" x14ac:dyDescent="0.2"/>
    <row r="4599" ht="12.75" hidden="1" x14ac:dyDescent="0.2"/>
    <row r="4600" ht="12.75" hidden="1" x14ac:dyDescent="0.2"/>
    <row r="4601" ht="12.75" hidden="1" x14ac:dyDescent="0.2"/>
    <row r="4602" ht="12.75" hidden="1" x14ac:dyDescent="0.2"/>
    <row r="4603" ht="12.75" hidden="1" x14ac:dyDescent="0.2"/>
    <row r="4604" ht="12.75" hidden="1" x14ac:dyDescent="0.2"/>
    <row r="4605" ht="12.75" hidden="1" x14ac:dyDescent="0.2"/>
    <row r="4606" ht="12.75" hidden="1" x14ac:dyDescent="0.2"/>
    <row r="4607" ht="12.75" hidden="1" x14ac:dyDescent="0.2"/>
    <row r="4608" ht="12.75" hidden="1" x14ac:dyDescent="0.2"/>
    <row r="4609" ht="12.75" hidden="1" x14ac:dyDescent="0.2"/>
    <row r="4610" ht="12.75" hidden="1" x14ac:dyDescent="0.2"/>
    <row r="4611" ht="12.75" hidden="1" x14ac:dyDescent="0.2"/>
    <row r="4612" ht="12.75" hidden="1" x14ac:dyDescent="0.2"/>
    <row r="4613" ht="12.75" hidden="1" x14ac:dyDescent="0.2"/>
    <row r="4614" ht="12.75" hidden="1" x14ac:dyDescent="0.2"/>
    <row r="4615" ht="12.75" hidden="1" x14ac:dyDescent="0.2"/>
    <row r="4616" ht="12.75" hidden="1" x14ac:dyDescent="0.2"/>
    <row r="4617" ht="12.75" hidden="1" x14ac:dyDescent="0.2"/>
    <row r="4618" ht="12.75" hidden="1" x14ac:dyDescent="0.2"/>
    <row r="4619" ht="12.75" hidden="1" x14ac:dyDescent="0.2"/>
    <row r="4620" ht="12.75" hidden="1" x14ac:dyDescent="0.2"/>
    <row r="4621" ht="12.75" hidden="1" x14ac:dyDescent="0.2"/>
    <row r="4622" ht="12.75" hidden="1" x14ac:dyDescent="0.2"/>
    <row r="4623" ht="12.75" hidden="1" x14ac:dyDescent="0.2"/>
    <row r="4624" ht="12.75" hidden="1" x14ac:dyDescent="0.2"/>
    <row r="4625" ht="12.75" hidden="1" x14ac:dyDescent="0.2"/>
    <row r="4626" ht="12.75" hidden="1" x14ac:dyDescent="0.2"/>
    <row r="4627" ht="12.75" hidden="1" x14ac:dyDescent="0.2"/>
    <row r="4628" ht="12.75" hidden="1" x14ac:dyDescent="0.2"/>
    <row r="4629" ht="12.75" hidden="1" x14ac:dyDescent="0.2"/>
    <row r="4630" ht="12.75" hidden="1" x14ac:dyDescent="0.2"/>
    <row r="4631" ht="12.75" hidden="1" x14ac:dyDescent="0.2"/>
    <row r="4632" ht="12.75" hidden="1" x14ac:dyDescent="0.2"/>
    <row r="4633" ht="12.75" hidden="1" x14ac:dyDescent="0.2"/>
    <row r="4634" ht="12.75" hidden="1" x14ac:dyDescent="0.2"/>
    <row r="4635" ht="12.75" hidden="1" x14ac:dyDescent="0.2"/>
    <row r="4636" ht="12.75" hidden="1" x14ac:dyDescent="0.2"/>
    <row r="4637" ht="12.75" hidden="1" x14ac:dyDescent="0.2"/>
    <row r="4638" ht="12.75" hidden="1" x14ac:dyDescent="0.2"/>
    <row r="4639" ht="12.75" hidden="1" x14ac:dyDescent="0.2"/>
    <row r="4640" ht="12.75" hidden="1" x14ac:dyDescent="0.2"/>
    <row r="4641" ht="12.75" hidden="1" x14ac:dyDescent="0.2"/>
    <row r="4642" ht="12.75" hidden="1" x14ac:dyDescent="0.2"/>
    <row r="4643" ht="12.75" hidden="1" x14ac:dyDescent="0.2"/>
    <row r="4644" ht="12.75" hidden="1" x14ac:dyDescent="0.2"/>
    <row r="4645" ht="12.75" hidden="1" x14ac:dyDescent="0.2"/>
    <row r="4646" ht="12.75" hidden="1" x14ac:dyDescent="0.2"/>
    <row r="4647" ht="12.75" hidden="1" x14ac:dyDescent="0.2"/>
    <row r="4648" ht="12.75" hidden="1" x14ac:dyDescent="0.2"/>
    <row r="4649" ht="12.75" hidden="1" x14ac:dyDescent="0.2"/>
    <row r="4650" ht="12.75" hidden="1" x14ac:dyDescent="0.2"/>
    <row r="4651" ht="12.75" hidden="1" x14ac:dyDescent="0.2"/>
    <row r="4652" ht="12.75" hidden="1" x14ac:dyDescent="0.2"/>
    <row r="4653" ht="12.75" hidden="1" x14ac:dyDescent="0.2"/>
    <row r="4654" ht="12.75" hidden="1" x14ac:dyDescent="0.2"/>
    <row r="4655" ht="12.75" hidden="1" x14ac:dyDescent="0.2"/>
    <row r="4656" ht="12.75" hidden="1" x14ac:dyDescent="0.2"/>
    <row r="4657" ht="12.75" hidden="1" x14ac:dyDescent="0.2"/>
    <row r="4658" ht="12.75" hidden="1" x14ac:dyDescent="0.2"/>
    <row r="4659" ht="12.75" hidden="1" x14ac:dyDescent="0.2"/>
    <row r="4660" ht="12.75" hidden="1" x14ac:dyDescent="0.2"/>
    <row r="4661" ht="12.75" hidden="1" x14ac:dyDescent="0.2"/>
    <row r="4662" ht="12.75" hidden="1" x14ac:dyDescent="0.2"/>
    <row r="4663" ht="12.75" hidden="1" x14ac:dyDescent="0.2"/>
    <row r="4664" ht="12.75" hidden="1" x14ac:dyDescent="0.2"/>
    <row r="4665" ht="12.75" hidden="1" x14ac:dyDescent="0.2"/>
    <row r="4666" ht="12.75" hidden="1" x14ac:dyDescent="0.2"/>
    <row r="4667" ht="12.75" hidden="1" x14ac:dyDescent="0.2"/>
    <row r="4668" ht="12.75" hidden="1" x14ac:dyDescent="0.2"/>
    <row r="4669" ht="12.75" hidden="1" x14ac:dyDescent="0.2"/>
    <row r="4670" ht="12.75" hidden="1" x14ac:dyDescent="0.2"/>
    <row r="4671" ht="12.75" hidden="1" x14ac:dyDescent="0.2"/>
    <row r="4672" ht="12.75" hidden="1" x14ac:dyDescent="0.2"/>
    <row r="4673" ht="12.75" hidden="1" x14ac:dyDescent="0.2"/>
    <row r="4674" ht="12.75" hidden="1" x14ac:dyDescent="0.2"/>
    <row r="4675" ht="12.75" hidden="1" x14ac:dyDescent="0.2"/>
    <row r="4676" ht="12.75" hidden="1" x14ac:dyDescent="0.2"/>
    <row r="4677" ht="12.75" hidden="1" x14ac:dyDescent="0.2"/>
    <row r="4678" ht="12.75" hidden="1" x14ac:dyDescent="0.2"/>
    <row r="4679" ht="12.75" hidden="1" x14ac:dyDescent="0.2"/>
    <row r="4680" ht="12.75" hidden="1" x14ac:dyDescent="0.2"/>
    <row r="4681" ht="12.75" hidden="1" x14ac:dyDescent="0.2"/>
    <row r="4682" ht="12.75" hidden="1" x14ac:dyDescent="0.2"/>
    <row r="4683" ht="12.75" hidden="1" x14ac:dyDescent="0.2"/>
    <row r="4684" ht="12.75" hidden="1" x14ac:dyDescent="0.2"/>
    <row r="4685" ht="12.75" hidden="1" x14ac:dyDescent="0.2"/>
    <row r="4686" ht="12.75" hidden="1" x14ac:dyDescent="0.2"/>
    <row r="4687" ht="12.75" hidden="1" x14ac:dyDescent="0.2"/>
    <row r="4688" ht="12.75" hidden="1" x14ac:dyDescent="0.2"/>
    <row r="4689" ht="12.75" hidden="1" x14ac:dyDescent="0.2"/>
    <row r="4690" ht="12.75" hidden="1" x14ac:dyDescent="0.2"/>
    <row r="4691" ht="12.75" hidden="1" x14ac:dyDescent="0.2"/>
    <row r="4692" ht="12.75" hidden="1" x14ac:dyDescent="0.2"/>
    <row r="4693" ht="12.75" hidden="1" x14ac:dyDescent="0.2"/>
    <row r="4694" ht="12.75" hidden="1" x14ac:dyDescent="0.2"/>
    <row r="4695" ht="12.75" hidden="1" x14ac:dyDescent="0.2"/>
    <row r="4696" ht="12.75" hidden="1" x14ac:dyDescent="0.2"/>
    <row r="4697" ht="12.75" hidden="1" x14ac:dyDescent="0.2"/>
    <row r="4698" ht="12.75" hidden="1" x14ac:dyDescent="0.2"/>
    <row r="4699" ht="12.75" hidden="1" x14ac:dyDescent="0.2"/>
    <row r="4700" ht="12.75" hidden="1" x14ac:dyDescent="0.2"/>
    <row r="4701" ht="12.75" hidden="1" x14ac:dyDescent="0.2"/>
    <row r="4702" ht="12.75" hidden="1" x14ac:dyDescent="0.2"/>
    <row r="4703" ht="12.75" hidden="1" x14ac:dyDescent="0.2"/>
    <row r="4704" ht="12.75" hidden="1" x14ac:dyDescent="0.2"/>
    <row r="4705" ht="12.75" hidden="1" x14ac:dyDescent="0.2"/>
    <row r="4706" ht="12.75" hidden="1" x14ac:dyDescent="0.2"/>
    <row r="4707" ht="12.75" hidden="1" x14ac:dyDescent="0.2"/>
    <row r="4708" ht="12.75" hidden="1" x14ac:dyDescent="0.2"/>
    <row r="4709" ht="12.75" hidden="1" x14ac:dyDescent="0.2"/>
    <row r="4710" ht="12.75" hidden="1" x14ac:dyDescent="0.2"/>
    <row r="4711" ht="12.75" hidden="1" x14ac:dyDescent="0.2"/>
    <row r="4712" ht="12.75" hidden="1" x14ac:dyDescent="0.2"/>
    <row r="4713" ht="12.75" hidden="1" x14ac:dyDescent="0.2"/>
    <row r="4714" ht="12.75" hidden="1" x14ac:dyDescent="0.2"/>
    <row r="4715" ht="12.75" hidden="1" x14ac:dyDescent="0.2"/>
    <row r="4716" ht="12.75" hidden="1" x14ac:dyDescent="0.2"/>
    <row r="4717" ht="12.75" hidden="1" x14ac:dyDescent="0.2"/>
    <row r="4718" ht="12.75" hidden="1" x14ac:dyDescent="0.2"/>
    <row r="4719" ht="12.75" hidden="1" x14ac:dyDescent="0.2"/>
    <row r="4720" ht="12.75" hidden="1" x14ac:dyDescent="0.2"/>
    <row r="4721" ht="12.75" hidden="1" x14ac:dyDescent="0.2"/>
    <row r="4722" ht="12.75" hidden="1" x14ac:dyDescent="0.2"/>
    <row r="4723" ht="12.75" hidden="1" x14ac:dyDescent="0.2"/>
    <row r="4724" ht="12.75" hidden="1" x14ac:dyDescent="0.2"/>
    <row r="4725" ht="12.75" hidden="1" x14ac:dyDescent="0.2"/>
    <row r="4726" ht="12.75" hidden="1" x14ac:dyDescent="0.2"/>
    <row r="4727" ht="12.75" hidden="1" x14ac:dyDescent="0.2"/>
    <row r="4728" ht="12.75" hidden="1" x14ac:dyDescent="0.2"/>
    <row r="4729" ht="12.75" hidden="1" x14ac:dyDescent="0.2"/>
    <row r="4730" ht="12.75" hidden="1" x14ac:dyDescent="0.2"/>
    <row r="4731" ht="12.75" hidden="1" x14ac:dyDescent="0.2"/>
    <row r="4732" ht="12.75" hidden="1" x14ac:dyDescent="0.2"/>
    <row r="4733" ht="12.75" hidden="1" x14ac:dyDescent="0.2"/>
    <row r="4734" ht="12.75" hidden="1" x14ac:dyDescent="0.2"/>
    <row r="4735" ht="12.75" hidden="1" x14ac:dyDescent="0.2"/>
    <row r="4736" ht="12.75" hidden="1" x14ac:dyDescent="0.2"/>
    <row r="4737" ht="12.75" hidden="1" x14ac:dyDescent="0.2"/>
    <row r="4738" ht="12.75" hidden="1" x14ac:dyDescent="0.2"/>
    <row r="4739" ht="12.75" hidden="1" x14ac:dyDescent="0.2"/>
    <row r="4740" ht="12.75" hidden="1" x14ac:dyDescent="0.2"/>
    <row r="4741" ht="12.75" hidden="1" x14ac:dyDescent="0.2"/>
    <row r="4742" ht="12.75" hidden="1" x14ac:dyDescent="0.2"/>
    <row r="4743" ht="12.75" hidden="1" x14ac:dyDescent="0.2"/>
    <row r="4744" ht="12.75" hidden="1" x14ac:dyDescent="0.2"/>
    <row r="4745" ht="12.75" hidden="1" x14ac:dyDescent="0.2"/>
    <row r="4746" ht="12.75" hidden="1" x14ac:dyDescent="0.2"/>
    <row r="4747" ht="12.75" hidden="1" x14ac:dyDescent="0.2"/>
    <row r="4748" ht="12.75" hidden="1" x14ac:dyDescent="0.2"/>
    <row r="4749" ht="12.75" hidden="1" x14ac:dyDescent="0.2"/>
    <row r="4750" ht="12.75" hidden="1" x14ac:dyDescent="0.2"/>
    <row r="4751" ht="12.75" hidden="1" x14ac:dyDescent="0.2"/>
    <row r="4752" ht="12.75" hidden="1" x14ac:dyDescent="0.2"/>
    <row r="4753" ht="12.75" hidden="1" x14ac:dyDescent="0.2"/>
    <row r="4754" ht="12.75" hidden="1" x14ac:dyDescent="0.2"/>
    <row r="4755" ht="12.75" hidden="1" x14ac:dyDescent="0.2"/>
    <row r="4756" ht="12.75" hidden="1" x14ac:dyDescent="0.2"/>
    <row r="4757" ht="12.75" hidden="1" x14ac:dyDescent="0.2"/>
    <row r="4758" ht="12.75" hidden="1" x14ac:dyDescent="0.2"/>
    <row r="4759" ht="12.75" hidden="1" x14ac:dyDescent="0.2"/>
    <row r="4760" ht="12.75" hidden="1" x14ac:dyDescent="0.2"/>
    <row r="4761" ht="12.75" hidden="1" x14ac:dyDescent="0.2"/>
    <row r="4762" ht="12.75" hidden="1" x14ac:dyDescent="0.2"/>
    <row r="4763" ht="12.75" hidden="1" x14ac:dyDescent="0.2"/>
    <row r="4764" ht="12.75" hidden="1" x14ac:dyDescent="0.2"/>
    <row r="4765" ht="12.75" hidden="1" x14ac:dyDescent="0.2"/>
    <row r="4766" ht="12.75" hidden="1" x14ac:dyDescent="0.2"/>
    <row r="4767" ht="12.75" hidden="1" x14ac:dyDescent="0.2"/>
    <row r="4768" ht="12.75" hidden="1" x14ac:dyDescent="0.2"/>
    <row r="4769" ht="12.75" hidden="1" x14ac:dyDescent="0.2"/>
    <row r="4770" ht="12.75" hidden="1" x14ac:dyDescent="0.2"/>
    <row r="4771" ht="12.75" hidden="1" x14ac:dyDescent="0.2"/>
    <row r="4772" ht="12.75" hidden="1" x14ac:dyDescent="0.2"/>
    <row r="4773" ht="12.75" hidden="1" x14ac:dyDescent="0.2"/>
    <row r="4774" ht="12.75" hidden="1" x14ac:dyDescent="0.2"/>
    <row r="4775" ht="12.75" hidden="1" x14ac:dyDescent="0.2"/>
    <row r="4776" ht="12.75" hidden="1" x14ac:dyDescent="0.2"/>
    <row r="4777" ht="12.75" hidden="1" x14ac:dyDescent="0.2"/>
    <row r="4778" ht="12.75" hidden="1" x14ac:dyDescent="0.2"/>
    <row r="4779" ht="12.75" hidden="1" x14ac:dyDescent="0.2"/>
    <row r="4780" ht="12.75" hidden="1" x14ac:dyDescent="0.2"/>
    <row r="4781" ht="12.75" hidden="1" x14ac:dyDescent="0.2"/>
    <row r="4782" ht="12.75" hidden="1" x14ac:dyDescent="0.2"/>
    <row r="4783" ht="12.75" hidden="1" x14ac:dyDescent="0.2"/>
    <row r="4784" ht="12.75" hidden="1" x14ac:dyDescent="0.2"/>
    <row r="4785" ht="12.75" hidden="1" x14ac:dyDescent="0.2"/>
    <row r="4786" ht="12.75" hidden="1" x14ac:dyDescent="0.2"/>
    <row r="4787" ht="12.75" hidden="1" x14ac:dyDescent="0.2"/>
    <row r="4788" ht="12.75" hidden="1" x14ac:dyDescent="0.2"/>
    <row r="4789" ht="12.75" hidden="1" x14ac:dyDescent="0.2"/>
    <row r="4790" ht="12.75" hidden="1" x14ac:dyDescent="0.2"/>
    <row r="4791" ht="12.75" hidden="1" x14ac:dyDescent="0.2"/>
    <row r="4792" ht="12.75" hidden="1" x14ac:dyDescent="0.2"/>
    <row r="4793" ht="12.75" hidden="1" x14ac:dyDescent="0.2"/>
    <row r="4794" ht="12.75" hidden="1" x14ac:dyDescent="0.2"/>
    <row r="4795" ht="12.75" hidden="1" x14ac:dyDescent="0.2"/>
    <row r="4796" ht="12.75" hidden="1" x14ac:dyDescent="0.2"/>
    <row r="4797" ht="12.75" hidden="1" x14ac:dyDescent="0.2"/>
    <row r="4798" ht="12.75" hidden="1" x14ac:dyDescent="0.2"/>
    <row r="4799" ht="12.75" hidden="1" x14ac:dyDescent="0.2"/>
    <row r="4800" ht="12.75" hidden="1" x14ac:dyDescent="0.2"/>
    <row r="4801" ht="12.75" hidden="1" x14ac:dyDescent="0.2"/>
    <row r="4802" ht="12.75" hidden="1" x14ac:dyDescent="0.2"/>
    <row r="4803" ht="12.75" hidden="1" x14ac:dyDescent="0.2"/>
    <row r="4804" ht="12.75" hidden="1" x14ac:dyDescent="0.2"/>
    <row r="4805" ht="12.75" hidden="1" x14ac:dyDescent="0.2"/>
    <row r="4806" ht="12.75" hidden="1" x14ac:dyDescent="0.2"/>
    <row r="4807" ht="12.75" hidden="1" x14ac:dyDescent="0.2"/>
    <row r="4808" ht="12.75" hidden="1" x14ac:dyDescent="0.2"/>
    <row r="4809" ht="12.75" hidden="1" x14ac:dyDescent="0.2"/>
    <row r="4810" ht="12.75" hidden="1" x14ac:dyDescent="0.2"/>
    <row r="4811" ht="12.75" hidden="1" x14ac:dyDescent="0.2"/>
    <row r="4812" ht="12.75" hidden="1" x14ac:dyDescent="0.2"/>
    <row r="4813" ht="12.75" hidden="1" x14ac:dyDescent="0.2"/>
    <row r="4814" ht="12.75" hidden="1" x14ac:dyDescent="0.2"/>
    <row r="4815" ht="12.75" hidden="1" x14ac:dyDescent="0.2"/>
    <row r="4816" ht="12.75" hidden="1" x14ac:dyDescent="0.2"/>
    <row r="4817" ht="12.75" hidden="1" x14ac:dyDescent="0.2"/>
    <row r="4818" ht="12.75" hidden="1" x14ac:dyDescent="0.2"/>
    <row r="4819" ht="12.75" hidden="1" x14ac:dyDescent="0.2"/>
    <row r="4820" ht="12.75" hidden="1" x14ac:dyDescent="0.2"/>
    <row r="4821" ht="12.75" hidden="1" x14ac:dyDescent="0.2"/>
    <row r="4822" ht="12.75" hidden="1" x14ac:dyDescent="0.2"/>
    <row r="4823" ht="12.75" hidden="1" x14ac:dyDescent="0.2"/>
    <row r="4824" ht="12.75" hidden="1" x14ac:dyDescent="0.2"/>
    <row r="4825" ht="12.75" hidden="1" x14ac:dyDescent="0.2"/>
    <row r="4826" ht="12.75" hidden="1" x14ac:dyDescent="0.2"/>
    <row r="4827" ht="12.75" hidden="1" x14ac:dyDescent="0.2"/>
    <row r="4828" ht="12.75" hidden="1" x14ac:dyDescent="0.2"/>
    <row r="4829" ht="12.75" hidden="1" x14ac:dyDescent="0.2"/>
    <row r="4830" ht="12.75" hidden="1" x14ac:dyDescent="0.2"/>
    <row r="4831" ht="12.75" hidden="1" x14ac:dyDescent="0.2"/>
    <row r="4832" ht="12.75" hidden="1" x14ac:dyDescent="0.2"/>
    <row r="4833" ht="12.75" hidden="1" x14ac:dyDescent="0.2"/>
    <row r="4834" ht="12.75" hidden="1" x14ac:dyDescent="0.2"/>
    <row r="4835" ht="12.75" hidden="1" x14ac:dyDescent="0.2"/>
    <row r="4836" ht="12.75" hidden="1" x14ac:dyDescent="0.2"/>
    <row r="4837" ht="12.75" hidden="1" x14ac:dyDescent="0.2"/>
    <row r="4838" ht="12.75" hidden="1" x14ac:dyDescent="0.2"/>
    <row r="4839" ht="12.75" hidden="1" x14ac:dyDescent="0.2"/>
    <row r="4840" ht="12.75" hidden="1" x14ac:dyDescent="0.2"/>
    <row r="4841" ht="12.75" hidden="1" x14ac:dyDescent="0.2"/>
    <row r="4842" ht="12.75" hidden="1" x14ac:dyDescent="0.2"/>
    <row r="4843" ht="12.75" hidden="1" x14ac:dyDescent="0.2"/>
    <row r="4844" ht="12.75" hidden="1" x14ac:dyDescent="0.2"/>
    <row r="4845" ht="12.75" hidden="1" x14ac:dyDescent="0.2"/>
    <row r="4846" ht="12.75" hidden="1" x14ac:dyDescent="0.2"/>
    <row r="4847" ht="12.75" hidden="1" x14ac:dyDescent="0.2"/>
    <row r="4848" ht="12.75" hidden="1" x14ac:dyDescent="0.2"/>
    <row r="4849" ht="12.75" hidden="1" x14ac:dyDescent="0.2"/>
    <row r="4850" ht="12.75" hidden="1" x14ac:dyDescent="0.2"/>
    <row r="4851" ht="12.75" hidden="1" x14ac:dyDescent="0.2"/>
    <row r="4852" ht="12.75" hidden="1" x14ac:dyDescent="0.2"/>
    <row r="4853" ht="12.75" hidden="1" x14ac:dyDescent="0.2"/>
    <row r="4854" ht="12.75" hidden="1" x14ac:dyDescent="0.2"/>
    <row r="4855" ht="12.75" hidden="1" x14ac:dyDescent="0.2"/>
    <row r="4856" ht="12.75" hidden="1" x14ac:dyDescent="0.2"/>
    <row r="4857" ht="12.75" hidden="1" x14ac:dyDescent="0.2"/>
    <row r="4858" ht="12.75" hidden="1" x14ac:dyDescent="0.2"/>
    <row r="4859" ht="12.75" hidden="1" x14ac:dyDescent="0.2"/>
    <row r="4860" ht="12.75" hidden="1" x14ac:dyDescent="0.2"/>
    <row r="4861" ht="12.75" hidden="1" x14ac:dyDescent="0.2"/>
    <row r="4862" ht="12.75" hidden="1" x14ac:dyDescent="0.2"/>
    <row r="4863" ht="12.75" hidden="1" x14ac:dyDescent="0.2"/>
    <row r="4864" ht="12.75" hidden="1" x14ac:dyDescent="0.2"/>
    <row r="4865" ht="12.75" hidden="1" x14ac:dyDescent="0.2"/>
    <row r="4866" ht="12.75" hidden="1" x14ac:dyDescent="0.2"/>
    <row r="4867" ht="12.75" hidden="1" x14ac:dyDescent="0.2"/>
    <row r="4868" ht="12.75" hidden="1" x14ac:dyDescent="0.2"/>
    <row r="4869" ht="12.75" hidden="1" x14ac:dyDescent="0.2"/>
    <row r="4870" ht="12.75" hidden="1" x14ac:dyDescent="0.2"/>
    <row r="4871" ht="12.75" hidden="1" x14ac:dyDescent="0.2"/>
    <row r="4872" ht="12.75" hidden="1" x14ac:dyDescent="0.2"/>
    <row r="4873" ht="12.75" hidden="1" x14ac:dyDescent="0.2"/>
    <row r="4874" ht="12.75" hidden="1" x14ac:dyDescent="0.2"/>
    <row r="4875" ht="12.75" hidden="1" x14ac:dyDescent="0.2"/>
    <row r="4876" ht="12.75" hidden="1" x14ac:dyDescent="0.2"/>
    <row r="4877" ht="12.75" hidden="1" x14ac:dyDescent="0.2"/>
    <row r="4878" ht="12.75" hidden="1" x14ac:dyDescent="0.2"/>
    <row r="4879" ht="12.75" hidden="1" x14ac:dyDescent="0.2"/>
    <row r="4880" ht="12.75" hidden="1" x14ac:dyDescent="0.2"/>
    <row r="4881" ht="12.75" hidden="1" x14ac:dyDescent="0.2"/>
    <row r="4882" ht="12.75" hidden="1" x14ac:dyDescent="0.2"/>
    <row r="4883" ht="12.75" hidden="1" x14ac:dyDescent="0.2"/>
    <row r="4884" ht="12.75" hidden="1" x14ac:dyDescent="0.2"/>
    <row r="4885" ht="12.75" hidden="1" x14ac:dyDescent="0.2"/>
    <row r="4886" ht="12.75" hidden="1" x14ac:dyDescent="0.2"/>
    <row r="4887" ht="12.75" hidden="1" x14ac:dyDescent="0.2"/>
    <row r="4888" ht="12.75" hidden="1" x14ac:dyDescent="0.2"/>
    <row r="4889" ht="12.75" hidden="1" x14ac:dyDescent="0.2"/>
    <row r="4890" ht="12.75" hidden="1" x14ac:dyDescent="0.2"/>
    <row r="4891" ht="12.75" hidden="1" x14ac:dyDescent="0.2"/>
    <row r="4892" ht="12.75" hidden="1" x14ac:dyDescent="0.2"/>
    <row r="4893" ht="12.75" hidden="1" x14ac:dyDescent="0.2"/>
    <row r="4894" ht="12.75" hidden="1" x14ac:dyDescent="0.2"/>
    <row r="4895" ht="12.75" hidden="1" x14ac:dyDescent="0.2"/>
    <row r="4896" ht="12.75" hidden="1" x14ac:dyDescent="0.2"/>
    <row r="4897" ht="12.75" hidden="1" x14ac:dyDescent="0.2"/>
    <row r="4898" ht="12.75" hidden="1" x14ac:dyDescent="0.2"/>
    <row r="4899" ht="12.75" hidden="1" x14ac:dyDescent="0.2"/>
    <row r="4900" ht="12.75" hidden="1" x14ac:dyDescent="0.2"/>
    <row r="4901" ht="12.75" hidden="1" x14ac:dyDescent="0.2"/>
    <row r="4902" ht="12.75" hidden="1" x14ac:dyDescent="0.2"/>
    <row r="4903" ht="12.75" hidden="1" x14ac:dyDescent="0.2"/>
    <row r="4904" ht="12.75" hidden="1" x14ac:dyDescent="0.2"/>
    <row r="4905" ht="12.75" hidden="1" x14ac:dyDescent="0.2"/>
    <row r="4906" ht="12.75" hidden="1" x14ac:dyDescent="0.2"/>
    <row r="4907" ht="12.75" hidden="1" x14ac:dyDescent="0.2"/>
    <row r="4908" ht="12.75" hidden="1" x14ac:dyDescent="0.2"/>
    <row r="4909" ht="12.75" hidden="1" x14ac:dyDescent="0.2"/>
    <row r="4910" ht="12.75" hidden="1" x14ac:dyDescent="0.2"/>
    <row r="4911" ht="12.75" hidden="1" x14ac:dyDescent="0.2"/>
    <row r="4912" ht="12.75" hidden="1" x14ac:dyDescent="0.2"/>
    <row r="4913" ht="12.75" hidden="1" x14ac:dyDescent="0.2"/>
    <row r="4914" ht="12.75" hidden="1" x14ac:dyDescent="0.2"/>
    <row r="4915" ht="12.75" hidden="1" x14ac:dyDescent="0.2"/>
    <row r="4916" ht="12.75" hidden="1" x14ac:dyDescent="0.2"/>
    <row r="4917" ht="12.75" hidden="1" x14ac:dyDescent="0.2"/>
    <row r="4918" ht="12.75" hidden="1" x14ac:dyDescent="0.2"/>
    <row r="4919" ht="12.75" hidden="1" x14ac:dyDescent="0.2"/>
    <row r="4920" ht="12.75" hidden="1" x14ac:dyDescent="0.2"/>
    <row r="4921" ht="12.75" hidden="1" x14ac:dyDescent="0.2"/>
    <row r="4922" ht="12.75" hidden="1" x14ac:dyDescent="0.2"/>
    <row r="4923" ht="12.75" hidden="1" x14ac:dyDescent="0.2"/>
    <row r="4924" ht="12.75" hidden="1" x14ac:dyDescent="0.2"/>
    <row r="4925" ht="12.75" hidden="1" x14ac:dyDescent="0.2"/>
    <row r="4926" ht="12.75" hidden="1" x14ac:dyDescent="0.2"/>
    <row r="4927" ht="12.75" hidden="1" x14ac:dyDescent="0.2"/>
    <row r="4928" ht="12.75" hidden="1" x14ac:dyDescent="0.2"/>
    <row r="4929" ht="12.75" hidden="1" x14ac:dyDescent="0.2"/>
    <row r="4930" ht="12.75" hidden="1" x14ac:dyDescent="0.2"/>
    <row r="4931" ht="12.75" hidden="1" x14ac:dyDescent="0.2"/>
    <row r="4932" ht="12.75" hidden="1" x14ac:dyDescent="0.2"/>
    <row r="4933" ht="12.75" hidden="1" x14ac:dyDescent="0.2"/>
    <row r="4934" ht="12.75" hidden="1" x14ac:dyDescent="0.2"/>
    <row r="4935" ht="12.75" hidden="1" x14ac:dyDescent="0.2"/>
    <row r="4936" ht="12.75" hidden="1" x14ac:dyDescent="0.2"/>
    <row r="4937" ht="12.75" hidden="1" x14ac:dyDescent="0.2"/>
    <row r="4938" ht="12.75" hidden="1" x14ac:dyDescent="0.2"/>
    <row r="4939" ht="12.75" hidden="1" x14ac:dyDescent="0.2"/>
    <row r="4940" ht="12.75" hidden="1" x14ac:dyDescent="0.2"/>
    <row r="4941" ht="12.75" hidden="1" x14ac:dyDescent="0.2"/>
    <row r="4942" ht="12.75" hidden="1" x14ac:dyDescent="0.2"/>
    <row r="4943" ht="12.75" hidden="1" x14ac:dyDescent="0.2"/>
    <row r="4944" ht="12.75" hidden="1" x14ac:dyDescent="0.2"/>
    <row r="4945" ht="12.75" hidden="1" x14ac:dyDescent="0.2"/>
    <row r="4946" ht="12.75" hidden="1" x14ac:dyDescent="0.2"/>
    <row r="4947" ht="12.75" hidden="1" x14ac:dyDescent="0.2"/>
    <row r="4948" ht="12.75" hidden="1" x14ac:dyDescent="0.2"/>
    <row r="4949" ht="12.75" hidden="1" x14ac:dyDescent="0.2"/>
    <row r="4950" ht="12.75" hidden="1" x14ac:dyDescent="0.2"/>
    <row r="4951" ht="12.75" hidden="1" x14ac:dyDescent="0.2"/>
    <row r="4952" ht="12.75" hidden="1" x14ac:dyDescent="0.2"/>
    <row r="4953" ht="12.75" hidden="1" x14ac:dyDescent="0.2"/>
    <row r="4954" ht="12.75" hidden="1" x14ac:dyDescent="0.2"/>
    <row r="4955" ht="12.75" hidden="1" x14ac:dyDescent="0.2"/>
    <row r="4956" ht="12.75" hidden="1" x14ac:dyDescent="0.2"/>
    <row r="4957" ht="12.75" hidden="1" x14ac:dyDescent="0.2"/>
    <row r="4958" ht="12.75" hidden="1" x14ac:dyDescent="0.2"/>
    <row r="4959" ht="12.75" hidden="1" x14ac:dyDescent="0.2"/>
    <row r="4960" ht="12.75" hidden="1" x14ac:dyDescent="0.2"/>
    <row r="4961" ht="12.75" hidden="1" x14ac:dyDescent="0.2"/>
    <row r="4962" ht="12.75" hidden="1" x14ac:dyDescent="0.2"/>
    <row r="4963" ht="12.75" hidden="1" x14ac:dyDescent="0.2"/>
    <row r="4964" ht="12.75" hidden="1" x14ac:dyDescent="0.2"/>
    <row r="4965" ht="12.75" hidden="1" x14ac:dyDescent="0.2"/>
    <row r="4966" ht="12.75" hidden="1" x14ac:dyDescent="0.2"/>
    <row r="4967" ht="12.75" hidden="1" x14ac:dyDescent="0.2"/>
    <row r="4968" ht="12.75" hidden="1" x14ac:dyDescent="0.2"/>
    <row r="4969" ht="12.75" hidden="1" x14ac:dyDescent="0.2"/>
    <row r="4970" ht="12.75" hidden="1" x14ac:dyDescent="0.2"/>
    <row r="4971" ht="12.75" hidden="1" x14ac:dyDescent="0.2"/>
    <row r="4972" ht="12.75" hidden="1" x14ac:dyDescent="0.2"/>
    <row r="4973" ht="12.75" hidden="1" x14ac:dyDescent="0.2"/>
    <row r="4974" ht="12.75" hidden="1" x14ac:dyDescent="0.2"/>
    <row r="4975" ht="12.75" hidden="1" x14ac:dyDescent="0.2"/>
    <row r="4976" ht="12.75" hidden="1" x14ac:dyDescent="0.2"/>
    <row r="4977" ht="12.75" hidden="1" x14ac:dyDescent="0.2"/>
    <row r="4978" ht="12.75" hidden="1" x14ac:dyDescent="0.2"/>
    <row r="4979" ht="12.75" hidden="1" x14ac:dyDescent="0.2"/>
    <row r="4980" ht="12.75" hidden="1" x14ac:dyDescent="0.2"/>
    <row r="4981" ht="12.75" hidden="1" x14ac:dyDescent="0.2"/>
    <row r="4982" ht="12.75" hidden="1" x14ac:dyDescent="0.2"/>
    <row r="4983" ht="12.75" hidden="1" x14ac:dyDescent="0.2"/>
    <row r="4984" ht="12.75" hidden="1" x14ac:dyDescent="0.2"/>
    <row r="4985" ht="12.75" hidden="1" x14ac:dyDescent="0.2"/>
    <row r="4986" ht="12.75" hidden="1" x14ac:dyDescent="0.2"/>
    <row r="4987" ht="12.75" hidden="1" x14ac:dyDescent="0.2"/>
    <row r="4988" ht="12.75" hidden="1" x14ac:dyDescent="0.2"/>
    <row r="4989" ht="12.75" hidden="1" x14ac:dyDescent="0.2"/>
    <row r="4990" ht="12.75" hidden="1" x14ac:dyDescent="0.2"/>
    <row r="4991" ht="12.75" hidden="1" x14ac:dyDescent="0.2"/>
    <row r="4992" ht="12.75" hidden="1" x14ac:dyDescent="0.2"/>
    <row r="4993" ht="12.75" hidden="1" x14ac:dyDescent="0.2"/>
    <row r="4994" ht="12.75" hidden="1" x14ac:dyDescent="0.2"/>
    <row r="4995" ht="12.75" hidden="1" x14ac:dyDescent="0.2"/>
    <row r="4996" ht="12.75" hidden="1" x14ac:dyDescent="0.2"/>
    <row r="4997" ht="12.75" hidden="1" x14ac:dyDescent="0.2"/>
    <row r="4998" ht="12.75" hidden="1" x14ac:dyDescent="0.2"/>
    <row r="4999" ht="12.75" hidden="1" x14ac:dyDescent="0.2"/>
    <row r="5000" ht="12.75" hidden="1" x14ac:dyDescent="0.2"/>
    <row r="5001" ht="12.75" hidden="1" x14ac:dyDescent="0.2"/>
    <row r="5002" ht="12.75" hidden="1" x14ac:dyDescent="0.2"/>
    <row r="5003" ht="12.75" hidden="1" x14ac:dyDescent="0.2"/>
    <row r="5004" ht="12.75" hidden="1" x14ac:dyDescent="0.2"/>
    <row r="5005" ht="12.75" hidden="1" x14ac:dyDescent="0.2"/>
    <row r="5006" ht="12.75" hidden="1" x14ac:dyDescent="0.2"/>
    <row r="5007" ht="12.75" hidden="1" x14ac:dyDescent="0.2"/>
    <row r="5008" ht="12.75" hidden="1" x14ac:dyDescent="0.2"/>
    <row r="5009" ht="12.75" hidden="1" x14ac:dyDescent="0.2"/>
    <row r="5010" ht="12.75" hidden="1" x14ac:dyDescent="0.2"/>
    <row r="5011" ht="12.75" hidden="1" x14ac:dyDescent="0.2"/>
    <row r="5012" ht="12.75" hidden="1" x14ac:dyDescent="0.2"/>
    <row r="5013" ht="12.75" hidden="1" x14ac:dyDescent="0.2"/>
    <row r="5014" ht="12.75" hidden="1" x14ac:dyDescent="0.2"/>
    <row r="5015" ht="12.75" hidden="1" x14ac:dyDescent="0.2"/>
    <row r="5016" ht="12.75" hidden="1" x14ac:dyDescent="0.2"/>
    <row r="5017" ht="12.75" hidden="1" x14ac:dyDescent="0.2"/>
    <row r="5018" ht="12.75" hidden="1" x14ac:dyDescent="0.2"/>
    <row r="5019" ht="12.75" hidden="1" x14ac:dyDescent="0.2"/>
    <row r="5020" ht="12.75" hidden="1" x14ac:dyDescent="0.2"/>
    <row r="5021" ht="12.75" hidden="1" x14ac:dyDescent="0.2"/>
    <row r="5022" ht="12.75" hidden="1" x14ac:dyDescent="0.2"/>
    <row r="5023" ht="12.75" hidden="1" x14ac:dyDescent="0.2"/>
    <row r="5024" ht="12.75" hidden="1" x14ac:dyDescent="0.2"/>
    <row r="5025" ht="12.75" hidden="1" x14ac:dyDescent="0.2"/>
    <row r="5026" ht="12.75" hidden="1" x14ac:dyDescent="0.2"/>
    <row r="5027" ht="12.75" hidden="1" x14ac:dyDescent="0.2"/>
    <row r="5028" ht="12.75" hidden="1" x14ac:dyDescent="0.2"/>
    <row r="5029" ht="12.75" hidden="1" x14ac:dyDescent="0.2"/>
    <row r="5030" ht="12.75" hidden="1" x14ac:dyDescent="0.2"/>
    <row r="5031" ht="12.75" hidden="1" x14ac:dyDescent="0.2"/>
    <row r="5032" ht="12.75" hidden="1" x14ac:dyDescent="0.2"/>
    <row r="5033" ht="12.75" hidden="1" x14ac:dyDescent="0.2"/>
    <row r="5034" ht="12.75" hidden="1" x14ac:dyDescent="0.2"/>
    <row r="5035" ht="12.75" hidden="1" x14ac:dyDescent="0.2"/>
    <row r="5036" ht="12.75" hidden="1" x14ac:dyDescent="0.2"/>
    <row r="5037" ht="12.75" hidden="1" x14ac:dyDescent="0.2"/>
    <row r="5038" ht="12.75" hidden="1" x14ac:dyDescent="0.2"/>
    <row r="5039" ht="12.75" hidden="1" x14ac:dyDescent="0.2"/>
    <row r="5040" ht="12.75" hidden="1" x14ac:dyDescent="0.2"/>
    <row r="5041" ht="12.75" hidden="1" x14ac:dyDescent="0.2"/>
    <row r="5042" ht="12.75" hidden="1" x14ac:dyDescent="0.2"/>
    <row r="5043" ht="12.75" hidden="1" x14ac:dyDescent="0.2"/>
    <row r="5044" ht="12.75" hidden="1" x14ac:dyDescent="0.2"/>
    <row r="5045" ht="12.75" hidden="1" x14ac:dyDescent="0.2"/>
    <row r="5046" ht="12.75" hidden="1" x14ac:dyDescent="0.2"/>
    <row r="5047" ht="12.75" hidden="1" x14ac:dyDescent="0.2"/>
    <row r="5048" ht="12.75" hidden="1" x14ac:dyDescent="0.2"/>
    <row r="5049" ht="12.75" hidden="1" x14ac:dyDescent="0.2"/>
    <row r="5050" ht="12.75" hidden="1" x14ac:dyDescent="0.2"/>
    <row r="5051" ht="12.75" hidden="1" x14ac:dyDescent="0.2"/>
    <row r="5052" ht="12.75" hidden="1" x14ac:dyDescent="0.2"/>
    <row r="5053" ht="12.75" hidden="1" x14ac:dyDescent="0.2"/>
    <row r="5054" ht="12.75" hidden="1" x14ac:dyDescent="0.2"/>
    <row r="5055" ht="12.75" hidden="1" x14ac:dyDescent="0.2"/>
    <row r="5056" ht="12.75" hidden="1" x14ac:dyDescent="0.2"/>
    <row r="5057" ht="12.75" hidden="1" x14ac:dyDescent="0.2"/>
    <row r="5058" ht="12.75" hidden="1" x14ac:dyDescent="0.2"/>
    <row r="5059" ht="12.75" hidden="1" x14ac:dyDescent="0.2"/>
    <row r="5060" ht="12.75" hidden="1" x14ac:dyDescent="0.2"/>
    <row r="5061" ht="12.75" hidden="1" x14ac:dyDescent="0.2"/>
    <row r="5062" ht="12.75" hidden="1" x14ac:dyDescent="0.2"/>
    <row r="5063" ht="12.75" hidden="1" x14ac:dyDescent="0.2"/>
    <row r="5064" ht="12.75" hidden="1" x14ac:dyDescent="0.2"/>
    <row r="5065" ht="12.75" hidden="1" x14ac:dyDescent="0.2"/>
    <row r="5066" ht="12.75" hidden="1" x14ac:dyDescent="0.2"/>
    <row r="5067" ht="12.75" hidden="1" x14ac:dyDescent="0.2"/>
    <row r="5068" ht="12.75" hidden="1" x14ac:dyDescent="0.2"/>
    <row r="5069" ht="12.75" hidden="1" x14ac:dyDescent="0.2"/>
    <row r="5070" ht="12.75" hidden="1" x14ac:dyDescent="0.2"/>
    <row r="5071" ht="12.75" hidden="1" x14ac:dyDescent="0.2"/>
    <row r="5072" ht="12.75" hidden="1" x14ac:dyDescent="0.2"/>
    <row r="5073" ht="12.75" hidden="1" x14ac:dyDescent="0.2"/>
    <row r="5074" ht="12.75" hidden="1" x14ac:dyDescent="0.2"/>
    <row r="5075" ht="12.75" hidden="1" x14ac:dyDescent="0.2"/>
    <row r="5076" ht="12.75" hidden="1" x14ac:dyDescent="0.2"/>
    <row r="5077" ht="12.75" hidden="1" x14ac:dyDescent="0.2"/>
    <row r="5078" ht="12.75" hidden="1" x14ac:dyDescent="0.2"/>
    <row r="5079" ht="12.75" hidden="1" x14ac:dyDescent="0.2"/>
    <row r="5080" ht="12.75" hidden="1" x14ac:dyDescent="0.2"/>
    <row r="5081" ht="12.75" hidden="1" x14ac:dyDescent="0.2"/>
    <row r="5082" ht="12.75" hidden="1" x14ac:dyDescent="0.2"/>
    <row r="5083" ht="12.75" hidden="1" x14ac:dyDescent="0.2"/>
    <row r="5084" ht="12.75" hidden="1" x14ac:dyDescent="0.2"/>
    <row r="5085" ht="12.75" hidden="1" x14ac:dyDescent="0.2"/>
    <row r="5086" ht="12.75" hidden="1" x14ac:dyDescent="0.2"/>
    <row r="5087" ht="12.75" hidden="1" x14ac:dyDescent="0.2"/>
    <row r="5088" ht="12.75" hidden="1" x14ac:dyDescent="0.2"/>
    <row r="5089" ht="12.75" hidden="1" x14ac:dyDescent="0.2"/>
    <row r="5090" ht="12.75" hidden="1" x14ac:dyDescent="0.2"/>
    <row r="5091" ht="12.75" hidden="1" x14ac:dyDescent="0.2"/>
    <row r="5092" ht="12.75" hidden="1" x14ac:dyDescent="0.2"/>
    <row r="5093" ht="12.75" hidden="1" x14ac:dyDescent="0.2"/>
    <row r="5094" ht="12.75" hidden="1" x14ac:dyDescent="0.2"/>
    <row r="5095" ht="12.75" hidden="1" x14ac:dyDescent="0.2"/>
    <row r="5096" ht="12.75" hidden="1" x14ac:dyDescent="0.2"/>
    <row r="5097" ht="12.75" hidden="1" x14ac:dyDescent="0.2"/>
    <row r="5098" ht="12.75" hidden="1" x14ac:dyDescent="0.2"/>
    <row r="5099" ht="12.75" hidden="1" x14ac:dyDescent="0.2"/>
    <row r="5100" ht="12.75" hidden="1" x14ac:dyDescent="0.2"/>
    <row r="5101" ht="12.75" hidden="1" x14ac:dyDescent="0.2"/>
    <row r="5102" ht="12.75" hidden="1" x14ac:dyDescent="0.2"/>
    <row r="5103" ht="12.75" hidden="1" x14ac:dyDescent="0.2"/>
    <row r="5104" ht="12.75" hidden="1" x14ac:dyDescent="0.2"/>
    <row r="5105" ht="12.75" hidden="1" x14ac:dyDescent="0.2"/>
    <row r="5106" ht="12.75" hidden="1" x14ac:dyDescent="0.2"/>
    <row r="5107" ht="12.75" hidden="1" x14ac:dyDescent="0.2"/>
    <row r="5108" ht="12.75" hidden="1" x14ac:dyDescent="0.2"/>
    <row r="5109" ht="12.75" hidden="1" x14ac:dyDescent="0.2"/>
    <row r="5110" ht="12.75" hidden="1" x14ac:dyDescent="0.2"/>
    <row r="5111" ht="12.75" hidden="1" x14ac:dyDescent="0.2"/>
    <row r="5112" ht="12.75" hidden="1" x14ac:dyDescent="0.2"/>
    <row r="5113" ht="12.75" hidden="1" x14ac:dyDescent="0.2"/>
    <row r="5114" ht="12.75" hidden="1" x14ac:dyDescent="0.2"/>
    <row r="5115" ht="12.75" hidden="1" x14ac:dyDescent="0.2"/>
    <row r="5116" ht="12.75" hidden="1" x14ac:dyDescent="0.2"/>
    <row r="5117" ht="12.75" hidden="1" x14ac:dyDescent="0.2"/>
    <row r="5118" ht="12.75" hidden="1" x14ac:dyDescent="0.2"/>
    <row r="5119" ht="12.75" hidden="1" x14ac:dyDescent="0.2"/>
    <row r="5120" ht="12.75" hidden="1" x14ac:dyDescent="0.2"/>
    <row r="5121" ht="12.75" hidden="1" x14ac:dyDescent="0.2"/>
    <row r="5122" ht="12.75" hidden="1" x14ac:dyDescent="0.2"/>
    <row r="5123" ht="12.75" hidden="1" x14ac:dyDescent="0.2"/>
    <row r="5124" ht="12.75" hidden="1" x14ac:dyDescent="0.2"/>
    <row r="5125" ht="12.75" hidden="1" x14ac:dyDescent="0.2"/>
    <row r="5126" ht="12.75" hidden="1" x14ac:dyDescent="0.2"/>
    <row r="5127" ht="12.75" hidden="1" x14ac:dyDescent="0.2"/>
    <row r="5128" ht="12.75" hidden="1" x14ac:dyDescent="0.2"/>
    <row r="5129" ht="12.75" hidden="1" x14ac:dyDescent="0.2"/>
    <row r="5130" ht="12.75" hidden="1" x14ac:dyDescent="0.2"/>
    <row r="5131" ht="12.75" hidden="1" x14ac:dyDescent="0.2"/>
    <row r="5132" ht="12.75" hidden="1" x14ac:dyDescent="0.2"/>
    <row r="5133" ht="12.75" hidden="1" x14ac:dyDescent="0.2"/>
    <row r="5134" ht="12.75" hidden="1" x14ac:dyDescent="0.2"/>
    <row r="5135" ht="12.75" hidden="1" x14ac:dyDescent="0.2"/>
    <row r="5136" ht="12.75" hidden="1" x14ac:dyDescent="0.2"/>
    <row r="5137" ht="12.75" hidden="1" x14ac:dyDescent="0.2"/>
    <row r="5138" ht="12.75" hidden="1" x14ac:dyDescent="0.2"/>
    <row r="5139" ht="12.75" hidden="1" x14ac:dyDescent="0.2"/>
    <row r="5140" ht="12.75" hidden="1" x14ac:dyDescent="0.2"/>
    <row r="5141" ht="12.75" hidden="1" x14ac:dyDescent="0.2"/>
    <row r="5142" ht="12.75" hidden="1" x14ac:dyDescent="0.2"/>
    <row r="5143" ht="12.75" hidden="1" x14ac:dyDescent="0.2"/>
    <row r="5144" ht="12.75" hidden="1" x14ac:dyDescent="0.2"/>
    <row r="5145" ht="12.75" hidden="1" x14ac:dyDescent="0.2"/>
    <row r="5146" ht="12.75" hidden="1" x14ac:dyDescent="0.2"/>
    <row r="5147" ht="12.75" hidden="1" x14ac:dyDescent="0.2"/>
    <row r="5148" ht="12.75" hidden="1" x14ac:dyDescent="0.2"/>
    <row r="5149" ht="12.75" hidden="1" x14ac:dyDescent="0.2"/>
    <row r="5150" ht="12.75" hidden="1" x14ac:dyDescent="0.2"/>
    <row r="5151" ht="12.75" hidden="1" x14ac:dyDescent="0.2"/>
    <row r="5152" ht="12.75" hidden="1" x14ac:dyDescent="0.2"/>
    <row r="5153" ht="12.75" hidden="1" x14ac:dyDescent="0.2"/>
    <row r="5154" ht="12.75" hidden="1" x14ac:dyDescent="0.2"/>
    <row r="5155" ht="12.75" hidden="1" x14ac:dyDescent="0.2"/>
    <row r="5156" ht="12.75" hidden="1" x14ac:dyDescent="0.2"/>
    <row r="5157" ht="12.75" hidden="1" x14ac:dyDescent="0.2"/>
    <row r="5158" ht="12.75" hidden="1" x14ac:dyDescent="0.2"/>
    <row r="5159" ht="12.75" hidden="1" x14ac:dyDescent="0.2"/>
    <row r="5160" ht="12.75" hidden="1" x14ac:dyDescent="0.2"/>
    <row r="5161" ht="12.75" hidden="1" x14ac:dyDescent="0.2"/>
    <row r="5162" ht="12.75" hidden="1" x14ac:dyDescent="0.2"/>
    <row r="5163" ht="12.75" hidden="1" x14ac:dyDescent="0.2"/>
    <row r="5164" ht="12.75" hidden="1" x14ac:dyDescent="0.2"/>
    <row r="5165" ht="12.75" hidden="1" x14ac:dyDescent="0.2"/>
    <row r="5166" ht="12.75" hidden="1" x14ac:dyDescent="0.2"/>
    <row r="5167" ht="12.75" hidden="1" x14ac:dyDescent="0.2"/>
    <row r="5168" ht="12.75" hidden="1" x14ac:dyDescent="0.2"/>
    <row r="5169" ht="12.75" hidden="1" x14ac:dyDescent="0.2"/>
    <row r="5170" ht="12.75" hidden="1" x14ac:dyDescent="0.2"/>
    <row r="5171" ht="12.75" hidden="1" x14ac:dyDescent="0.2"/>
    <row r="5172" ht="12.75" hidden="1" x14ac:dyDescent="0.2"/>
    <row r="5173" ht="12.75" hidden="1" x14ac:dyDescent="0.2"/>
    <row r="5174" ht="12.75" hidden="1" x14ac:dyDescent="0.2"/>
    <row r="5175" ht="12.75" hidden="1" x14ac:dyDescent="0.2"/>
    <row r="5176" ht="12.75" hidden="1" x14ac:dyDescent="0.2"/>
    <row r="5177" ht="12.75" hidden="1" x14ac:dyDescent="0.2"/>
    <row r="5178" ht="12.75" hidden="1" x14ac:dyDescent="0.2"/>
    <row r="5179" ht="12.75" hidden="1" x14ac:dyDescent="0.2"/>
    <row r="5180" ht="12.75" hidden="1" x14ac:dyDescent="0.2"/>
    <row r="5181" ht="12.75" hidden="1" x14ac:dyDescent="0.2"/>
    <row r="5182" ht="12.75" hidden="1" x14ac:dyDescent="0.2"/>
    <row r="5183" ht="12.75" hidden="1" x14ac:dyDescent="0.2"/>
    <row r="5184" ht="12.75" hidden="1" x14ac:dyDescent="0.2"/>
    <row r="5185" ht="12.75" hidden="1" x14ac:dyDescent="0.2"/>
    <row r="5186" ht="12.75" hidden="1" x14ac:dyDescent="0.2"/>
    <row r="5187" ht="12.75" hidden="1" x14ac:dyDescent="0.2"/>
    <row r="5188" ht="12.75" hidden="1" x14ac:dyDescent="0.2"/>
    <row r="5189" ht="12.75" hidden="1" x14ac:dyDescent="0.2"/>
    <row r="5190" ht="12.75" hidden="1" x14ac:dyDescent="0.2"/>
    <row r="5191" ht="12.75" hidden="1" x14ac:dyDescent="0.2"/>
    <row r="5192" ht="12.75" hidden="1" x14ac:dyDescent="0.2"/>
    <row r="5193" ht="12.75" hidden="1" x14ac:dyDescent="0.2"/>
    <row r="5194" ht="12.75" hidden="1" x14ac:dyDescent="0.2"/>
    <row r="5195" ht="12.75" hidden="1" x14ac:dyDescent="0.2"/>
    <row r="5196" ht="12.75" hidden="1" x14ac:dyDescent="0.2"/>
    <row r="5197" ht="12.75" hidden="1" x14ac:dyDescent="0.2"/>
    <row r="5198" ht="12.75" hidden="1" x14ac:dyDescent="0.2"/>
    <row r="5199" ht="12.75" hidden="1" x14ac:dyDescent="0.2"/>
    <row r="5200" ht="12.75" hidden="1" x14ac:dyDescent="0.2"/>
    <row r="5201" ht="12.75" hidden="1" x14ac:dyDescent="0.2"/>
    <row r="5202" ht="12.75" hidden="1" x14ac:dyDescent="0.2"/>
    <row r="5203" ht="12.75" hidden="1" x14ac:dyDescent="0.2"/>
    <row r="5204" ht="12.75" hidden="1" x14ac:dyDescent="0.2"/>
    <row r="5205" ht="12.75" hidden="1" x14ac:dyDescent="0.2"/>
    <row r="5206" ht="12.75" hidden="1" x14ac:dyDescent="0.2"/>
    <row r="5207" ht="12.75" hidden="1" x14ac:dyDescent="0.2"/>
    <row r="5208" ht="12.75" hidden="1" x14ac:dyDescent="0.2"/>
    <row r="5209" ht="12.75" hidden="1" x14ac:dyDescent="0.2"/>
    <row r="5210" ht="12.75" hidden="1" x14ac:dyDescent="0.2"/>
    <row r="5211" ht="12.75" hidden="1" x14ac:dyDescent="0.2"/>
    <row r="5212" ht="12.75" hidden="1" x14ac:dyDescent="0.2"/>
    <row r="5213" ht="12.75" hidden="1" x14ac:dyDescent="0.2"/>
    <row r="5214" ht="12.75" hidden="1" x14ac:dyDescent="0.2"/>
    <row r="5215" ht="12.75" hidden="1" x14ac:dyDescent="0.2"/>
    <row r="5216" ht="12.75" hidden="1" x14ac:dyDescent="0.2"/>
    <row r="5217" ht="12.75" hidden="1" x14ac:dyDescent="0.2"/>
    <row r="5218" ht="12.75" hidden="1" x14ac:dyDescent="0.2"/>
    <row r="5219" ht="12.75" hidden="1" x14ac:dyDescent="0.2"/>
    <row r="5220" ht="12.75" hidden="1" x14ac:dyDescent="0.2"/>
    <row r="5221" ht="12.75" hidden="1" x14ac:dyDescent="0.2"/>
    <row r="5222" ht="12.75" hidden="1" x14ac:dyDescent="0.2"/>
    <row r="5223" ht="12.75" hidden="1" x14ac:dyDescent="0.2"/>
    <row r="5224" ht="12.75" hidden="1" x14ac:dyDescent="0.2"/>
    <row r="5225" ht="12.75" hidden="1" x14ac:dyDescent="0.2"/>
    <row r="5226" ht="12.75" hidden="1" x14ac:dyDescent="0.2"/>
    <row r="5227" ht="12.75" hidden="1" x14ac:dyDescent="0.2"/>
    <row r="5228" ht="12.75" hidden="1" x14ac:dyDescent="0.2"/>
    <row r="5229" ht="12.75" hidden="1" x14ac:dyDescent="0.2"/>
    <row r="5230" ht="12.75" hidden="1" x14ac:dyDescent="0.2"/>
    <row r="5231" ht="12.75" hidden="1" x14ac:dyDescent="0.2"/>
    <row r="5232" ht="12.75" hidden="1" x14ac:dyDescent="0.2"/>
    <row r="5233" ht="12.75" hidden="1" x14ac:dyDescent="0.2"/>
    <row r="5234" ht="12.75" hidden="1" x14ac:dyDescent="0.2"/>
    <row r="5235" ht="12.75" hidden="1" x14ac:dyDescent="0.2"/>
    <row r="5236" ht="12.75" hidden="1" x14ac:dyDescent="0.2"/>
    <row r="5237" ht="12.75" hidden="1" x14ac:dyDescent="0.2"/>
    <row r="5238" ht="12.75" hidden="1" x14ac:dyDescent="0.2"/>
    <row r="5239" ht="12.75" hidden="1" x14ac:dyDescent="0.2"/>
    <row r="5240" ht="12.75" hidden="1" x14ac:dyDescent="0.2"/>
    <row r="5241" ht="12.75" hidden="1" x14ac:dyDescent="0.2"/>
    <row r="5242" ht="12.75" hidden="1" x14ac:dyDescent="0.2"/>
    <row r="5243" ht="12.75" hidden="1" x14ac:dyDescent="0.2"/>
    <row r="5244" ht="12.75" hidden="1" x14ac:dyDescent="0.2"/>
    <row r="5245" ht="12.75" hidden="1" x14ac:dyDescent="0.2"/>
    <row r="5246" ht="12.75" hidden="1" x14ac:dyDescent="0.2"/>
    <row r="5247" ht="12.75" hidden="1" x14ac:dyDescent="0.2"/>
    <row r="5248" ht="12.75" hidden="1" x14ac:dyDescent="0.2"/>
    <row r="5249" ht="12.75" hidden="1" x14ac:dyDescent="0.2"/>
    <row r="5250" ht="12.75" hidden="1" x14ac:dyDescent="0.2"/>
    <row r="5251" ht="12.75" hidden="1" x14ac:dyDescent="0.2"/>
    <row r="5252" ht="12.75" hidden="1" x14ac:dyDescent="0.2"/>
    <row r="5253" ht="12.75" hidden="1" x14ac:dyDescent="0.2"/>
    <row r="5254" ht="12.75" hidden="1" x14ac:dyDescent="0.2"/>
    <row r="5255" ht="12.75" hidden="1" x14ac:dyDescent="0.2"/>
    <row r="5256" ht="12.75" hidden="1" x14ac:dyDescent="0.2"/>
    <row r="5257" ht="12.75" hidden="1" x14ac:dyDescent="0.2"/>
    <row r="5258" ht="12.75" hidden="1" x14ac:dyDescent="0.2"/>
    <row r="5259" ht="12.75" hidden="1" x14ac:dyDescent="0.2"/>
    <row r="5260" ht="12.75" hidden="1" x14ac:dyDescent="0.2"/>
    <row r="5261" ht="12.75" hidden="1" x14ac:dyDescent="0.2"/>
    <row r="5262" ht="12.75" hidden="1" x14ac:dyDescent="0.2"/>
    <row r="5263" ht="12.75" hidden="1" x14ac:dyDescent="0.2"/>
    <row r="5264" ht="12.75" hidden="1" x14ac:dyDescent="0.2"/>
    <row r="5265" ht="12.75" hidden="1" x14ac:dyDescent="0.2"/>
    <row r="5266" ht="12.75" hidden="1" x14ac:dyDescent="0.2"/>
    <row r="5267" ht="12.75" hidden="1" x14ac:dyDescent="0.2"/>
    <row r="5268" ht="12.75" hidden="1" x14ac:dyDescent="0.2"/>
    <row r="5269" ht="12.75" hidden="1" x14ac:dyDescent="0.2"/>
    <row r="5270" ht="12.75" hidden="1" x14ac:dyDescent="0.2"/>
    <row r="5271" ht="12.75" hidden="1" x14ac:dyDescent="0.2"/>
    <row r="5272" ht="12.75" hidden="1" x14ac:dyDescent="0.2"/>
    <row r="5273" ht="12.75" hidden="1" x14ac:dyDescent="0.2"/>
    <row r="5274" ht="12.75" hidden="1" x14ac:dyDescent="0.2"/>
    <row r="5275" ht="12.75" hidden="1" x14ac:dyDescent="0.2"/>
    <row r="5276" ht="12.75" hidden="1" x14ac:dyDescent="0.2"/>
    <row r="5277" ht="12.75" hidden="1" x14ac:dyDescent="0.2"/>
    <row r="5278" ht="12.75" hidden="1" x14ac:dyDescent="0.2"/>
    <row r="5279" ht="12.75" hidden="1" x14ac:dyDescent="0.2"/>
    <row r="5280" ht="12.75" hidden="1" x14ac:dyDescent="0.2"/>
    <row r="5281" ht="12.75" hidden="1" x14ac:dyDescent="0.2"/>
    <row r="5282" ht="12.75" hidden="1" x14ac:dyDescent="0.2"/>
    <row r="5283" ht="12.75" hidden="1" x14ac:dyDescent="0.2"/>
    <row r="5284" ht="12.75" hidden="1" x14ac:dyDescent="0.2"/>
    <row r="5285" ht="12.75" hidden="1" x14ac:dyDescent="0.2"/>
    <row r="5286" ht="12.75" hidden="1" x14ac:dyDescent="0.2"/>
    <row r="5287" ht="12.75" hidden="1" x14ac:dyDescent="0.2"/>
    <row r="5288" ht="12.75" hidden="1" x14ac:dyDescent="0.2"/>
    <row r="5289" ht="12.75" hidden="1" x14ac:dyDescent="0.2"/>
    <row r="5290" ht="12.75" hidden="1" x14ac:dyDescent="0.2"/>
    <row r="5291" ht="12.75" hidden="1" x14ac:dyDescent="0.2"/>
    <row r="5292" ht="12.75" hidden="1" x14ac:dyDescent="0.2"/>
    <row r="5293" ht="12.75" hidden="1" x14ac:dyDescent="0.2"/>
    <row r="5294" ht="12.75" hidden="1" x14ac:dyDescent="0.2"/>
    <row r="5295" ht="12.75" hidden="1" x14ac:dyDescent="0.2"/>
    <row r="5296" ht="12.75" hidden="1" x14ac:dyDescent="0.2"/>
    <row r="5297" ht="12.75" hidden="1" x14ac:dyDescent="0.2"/>
    <row r="5298" ht="12.75" hidden="1" x14ac:dyDescent="0.2"/>
    <row r="5299" ht="12.75" hidden="1" x14ac:dyDescent="0.2"/>
    <row r="5300" ht="12.75" hidden="1" x14ac:dyDescent="0.2"/>
    <row r="5301" ht="12.75" hidden="1" x14ac:dyDescent="0.2"/>
    <row r="5302" ht="12.75" hidden="1" x14ac:dyDescent="0.2"/>
    <row r="5303" ht="12.75" hidden="1" x14ac:dyDescent="0.2"/>
    <row r="5304" ht="12.75" hidden="1" x14ac:dyDescent="0.2"/>
    <row r="5305" ht="12.75" hidden="1" x14ac:dyDescent="0.2"/>
    <row r="5306" ht="12.75" hidden="1" x14ac:dyDescent="0.2"/>
    <row r="5307" ht="12.75" hidden="1" x14ac:dyDescent="0.2"/>
    <row r="5308" ht="12.75" hidden="1" x14ac:dyDescent="0.2"/>
    <row r="5309" ht="12.75" hidden="1" x14ac:dyDescent="0.2"/>
    <row r="5310" ht="12.75" hidden="1" x14ac:dyDescent="0.2"/>
    <row r="5311" ht="12.75" hidden="1" x14ac:dyDescent="0.2"/>
    <row r="5312" ht="12.75" hidden="1" x14ac:dyDescent="0.2"/>
    <row r="5313" ht="12.75" hidden="1" x14ac:dyDescent="0.2"/>
    <row r="5314" ht="12.75" hidden="1" x14ac:dyDescent="0.2"/>
    <row r="5315" ht="12.75" hidden="1" x14ac:dyDescent="0.2"/>
    <row r="5316" ht="12.75" hidden="1" x14ac:dyDescent="0.2"/>
    <row r="5317" ht="12.75" hidden="1" x14ac:dyDescent="0.2"/>
    <row r="5318" ht="12.75" hidden="1" x14ac:dyDescent="0.2"/>
    <row r="5319" ht="12.75" hidden="1" x14ac:dyDescent="0.2"/>
    <row r="5320" ht="12.75" hidden="1" x14ac:dyDescent="0.2"/>
    <row r="5321" ht="12.75" hidden="1" x14ac:dyDescent="0.2"/>
    <row r="5322" ht="12.75" hidden="1" x14ac:dyDescent="0.2"/>
    <row r="5323" ht="12.75" hidden="1" x14ac:dyDescent="0.2"/>
    <row r="5324" ht="12.75" hidden="1" x14ac:dyDescent="0.2"/>
    <row r="5325" ht="12.75" hidden="1" x14ac:dyDescent="0.2"/>
    <row r="5326" ht="12.75" hidden="1" x14ac:dyDescent="0.2"/>
    <row r="5327" ht="12.75" hidden="1" x14ac:dyDescent="0.2"/>
    <row r="5328" ht="12.75" hidden="1" x14ac:dyDescent="0.2"/>
    <row r="5329" ht="12.75" hidden="1" x14ac:dyDescent="0.2"/>
    <row r="5330" ht="12.75" hidden="1" x14ac:dyDescent="0.2"/>
    <row r="5331" ht="12.75" hidden="1" x14ac:dyDescent="0.2"/>
    <row r="5332" ht="12.75" hidden="1" x14ac:dyDescent="0.2"/>
    <row r="5333" ht="12.75" hidden="1" x14ac:dyDescent="0.2"/>
    <row r="5334" ht="12.75" hidden="1" x14ac:dyDescent="0.2"/>
    <row r="5335" ht="12.75" hidden="1" x14ac:dyDescent="0.2"/>
    <row r="5336" ht="12.75" hidden="1" x14ac:dyDescent="0.2"/>
    <row r="5337" ht="12.75" hidden="1" x14ac:dyDescent="0.2"/>
    <row r="5338" ht="12.75" hidden="1" x14ac:dyDescent="0.2"/>
    <row r="5339" ht="12.75" hidden="1" x14ac:dyDescent="0.2"/>
    <row r="5340" ht="12.75" hidden="1" x14ac:dyDescent="0.2"/>
    <row r="5341" ht="12.75" hidden="1" x14ac:dyDescent="0.2"/>
    <row r="5342" ht="12.75" hidden="1" x14ac:dyDescent="0.2"/>
    <row r="5343" ht="12.75" hidden="1" x14ac:dyDescent="0.2"/>
    <row r="5344" ht="12.75" hidden="1" x14ac:dyDescent="0.2"/>
    <row r="5345" ht="12.75" hidden="1" x14ac:dyDescent="0.2"/>
    <row r="5346" ht="12.75" hidden="1" x14ac:dyDescent="0.2"/>
    <row r="5347" ht="12.75" hidden="1" x14ac:dyDescent="0.2"/>
    <row r="5348" ht="12.75" hidden="1" x14ac:dyDescent="0.2"/>
    <row r="5349" ht="12.75" hidden="1" x14ac:dyDescent="0.2"/>
    <row r="5350" ht="12.75" hidden="1" x14ac:dyDescent="0.2"/>
    <row r="5351" ht="12.75" hidden="1" x14ac:dyDescent="0.2"/>
    <row r="5352" ht="12.75" hidden="1" x14ac:dyDescent="0.2"/>
    <row r="5353" ht="12.75" hidden="1" x14ac:dyDescent="0.2"/>
    <row r="5354" ht="12.75" hidden="1" x14ac:dyDescent="0.2"/>
    <row r="5355" ht="12.75" hidden="1" x14ac:dyDescent="0.2"/>
    <row r="5356" ht="12.75" hidden="1" x14ac:dyDescent="0.2"/>
    <row r="5357" ht="12.75" hidden="1" x14ac:dyDescent="0.2"/>
    <row r="5358" ht="12.75" hidden="1" x14ac:dyDescent="0.2"/>
    <row r="5359" ht="12.75" hidden="1" x14ac:dyDescent="0.2"/>
    <row r="5360" ht="12.75" hidden="1" x14ac:dyDescent="0.2"/>
    <row r="5361" ht="12.75" hidden="1" x14ac:dyDescent="0.2"/>
    <row r="5362" ht="12.75" hidden="1" x14ac:dyDescent="0.2"/>
    <row r="5363" ht="12.75" hidden="1" x14ac:dyDescent="0.2"/>
    <row r="5364" ht="12.75" hidden="1" x14ac:dyDescent="0.2"/>
    <row r="5365" ht="12.75" hidden="1" x14ac:dyDescent="0.2"/>
    <row r="5366" ht="12.75" hidden="1" x14ac:dyDescent="0.2"/>
    <row r="5367" ht="12.75" hidden="1" x14ac:dyDescent="0.2"/>
    <row r="5368" ht="12.75" hidden="1" x14ac:dyDescent="0.2"/>
    <row r="5369" ht="12.75" hidden="1" x14ac:dyDescent="0.2"/>
    <row r="5370" ht="12.75" hidden="1" x14ac:dyDescent="0.2"/>
    <row r="5371" ht="12.75" hidden="1" x14ac:dyDescent="0.2"/>
    <row r="5372" ht="12.75" hidden="1" x14ac:dyDescent="0.2"/>
    <row r="5373" ht="12.75" hidden="1" x14ac:dyDescent="0.2"/>
    <row r="5374" ht="12.75" hidden="1" x14ac:dyDescent="0.2"/>
    <row r="5375" ht="12.75" hidden="1" x14ac:dyDescent="0.2"/>
    <row r="5376" ht="12.75" hidden="1" x14ac:dyDescent="0.2"/>
    <row r="5377" ht="12.75" hidden="1" x14ac:dyDescent="0.2"/>
    <row r="5378" ht="12.75" hidden="1" x14ac:dyDescent="0.2"/>
    <row r="5379" ht="12.75" hidden="1" x14ac:dyDescent="0.2"/>
    <row r="5380" ht="12.75" hidden="1" x14ac:dyDescent="0.2"/>
    <row r="5381" ht="12.75" hidden="1" x14ac:dyDescent="0.2"/>
    <row r="5382" ht="12.75" hidden="1" x14ac:dyDescent="0.2"/>
    <row r="5383" ht="12.75" hidden="1" x14ac:dyDescent="0.2"/>
    <row r="5384" ht="12.75" hidden="1" x14ac:dyDescent="0.2"/>
    <row r="5385" ht="12.75" hidden="1" x14ac:dyDescent="0.2"/>
    <row r="5386" ht="12.75" hidden="1" x14ac:dyDescent="0.2"/>
    <row r="5387" ht="12.75" hidden="1" x14ac:dyDescent="0.2"/>
    <row r="5388" ht="12.75" hidden="1" x14ac:dyDescent="0.2"/>
    <row r="5389" ht="12.75" hidden="1" x14ac:dyDescent="0.2"/>
    <row r="5390" ht="12.75" hidden="1" x14ac:dyDescent="0.2"/>
    <row r="5391" ht="12.75" hidden="1" x14ac:dyDescent="0.2"/>
    <row r="5392" ht="12.75" hidden="1" x14ac:dyDescent="0.2"/>
    <row r="5393" ht="12.75" hidden="1" x14ac:dyDescent="0.2"/>
    <row r="5394" ht="12.75" hidden="1" x14ac:dyDescent="0.2"/>
    <row r="5395" ht="12.75" hidden="1" x14ac:dyDescent="0.2"/>
    <row r="5396" ht="12.75" hidden="1" x14ac:dyDescent="0.2"/>
    <row r="5397" ht="12.75" hidden="1" x14ac:dyDescent="0.2"/>
    <row r="5398" ht="12.75" hidden="1" x14ac:dyDescent="0.2"/>
    <row r="5399" ht="12.75" hidden="1" x14ac:dyDescent="0.2"/>
    <row r="5400" ht="12.75" hidden="1" x14ac:dyDescent="0.2"/>
    <row r="5401" ht="12.75" hidden="1" x14ac:dyDescent="0.2"/>
    <row r="5402" ht="12.75" hidden="1" x14ac:dyDescent="0.2"/>
    <row r="5403" ht="12.75" hidden="1" x14ac:dyDescent="0.2"/>
    <row r="5404" ht="12.75" hidden="1" x14ac:dyDescent="0.2"/>
    <row r="5405" ht="12.75" hidden="1" x14ac:dyDescent="0.2"/>
    <row r="5406" ht="12.75" hidden="1" x14ac:dyDescent="0.2"/>
    <row r="5407" ht="12.75" hidden="1" x14ac:dyDescent="0.2"/>
    <row r="5408" ht="12.75" hidden="1" x14ac:dyDescent="0.2"/>
    <row r="5409" ht="12.75" hidden="1" x14ac:dyDescent="0.2"/>
    <row r="5410" ht="12.75" hidden="1" x14ac:dyDescent="0.2"/>
    <row r="5411" ht="12.75" hidden="1" x14ac:dyDescent="0.2"/>
    <row r="5412" ht="12.75" hidden="1" x14ac:dyDescent="0.2"/>
    <row r="5413" ht="12.75" hidden="1" x14ac:dyDescent="0.2"/>
    <row r="5414" ht="12.75" hidden="1" x14ac:dyDescent="0.2"/>
    <row r="5415" ht="12.75" hidden="1" x14ac:dyDescent="0.2"/>
    <row r="5416" ht="12.75" hidden="1" x14ac:dyDescent="0.2"/>
    <row r="5417" ht="12.75" hidden="1" x14ac:dyDescent="0.2"/>
    <row r="5418" ht="12.75" hidden="1" x14ac:dyDescent="0.2"/>
    <row r="5419" ht="12.75" hidden="1" x14ac:dyDescent="0.2"/>
    <row r="5420" ht="12.75" hidden="1" x14ac:dyDescent="0.2"/>
    <row r="5421" ht="12.75" hidden="1" x14ac:dyDescent="0.2"/>
    <row r="5422" ht="12.75" hidden="1" x14ac:dyDescent="0.2"/>
    <row r="5423" ht="12.75" hidden="1" x14ac:dyDescent="0.2"/>
    <row r="5424" ht="12.75" hidden="1" x14ac:dyDescent="0.2"/>
    <row r="5425" ht="12.75" hidden="1" x14ac:dyDescent="0.2"/>
    <row r="5426" ht="12.75" hidden="1" x14ac:dyDescent="0.2"/>
    <row r="5427" ht="12.75" hidden="1" x14ac:dyDescent="0.2"/>
    <row r="5428" ht="12.75" hidden="1" x14ac:dyDescent="0.2"/>
    <row r="5429" ht="12.75" hidden="1" x14ac:dyDescent="0.2"/>
    <row r="5430" ht="12.75" hidden="1" x14ac:dyDescent="0.2"/>
    <row r="5431" ht="12.75" hidden="1" x14ac:dyDescent="0.2"/>
    <row r="5432" ht="12.75" hidden="1" x14ac:dyDescent="0.2"/>
    <row r="5433" ht="12.75" hidden="1" x14ac:dyDescent="0.2"/>
    <row r="5434" ht="12.75" hidden="1" x14ac:dyDescent="0.2"/>
    <row r="5435" ht="12.75" hidden="1" x14ac:dyDescent="0.2"/>
    <row r="5436" ht="12.75" hidden="1" x14ac:dyDescent="0.2"/>
    <row r="5437" ht="12.75" hidden="1" x14ac:dyDescent="0.2"/>
    <row r="5438" ht="12.75" hidden="1" x14ac:dyDescent="0.2"/>
    <row r="5439" ht="12.75" hidden="1" x14ac:dyDescent="0.2"/>
    <row r="5440" ht="12.75" hidden="1" x14ac:dyDescent="0.2"/>
    <row r="5441" ht="12.75" hidden="1" x14ac:dyDescent="0.2"/>
    <row r="5442" ht="12.75" hidden="1" x14ac:dyDescent="0.2"/>
    <row r="5443" ht="12.75" hidden="1" x14ac:dyDescent="0.2"/>
    <row r="5444" ht="12.75" hidden="1" x14ac:dyDescent="0.2"/>
    <row r="5445" ht="12.75" hidden="1" x14ac:dyDescent="0.2"/>
    <row r="5446" ht="12.75" hidden="1" x14ac:dyDescent="0.2"/>
    <row r="5447" ht="12.75" hidden="1" x14ac:dyDescent="0.2"/>
    <row r="5448" ht="12.75" hidden="1" x14ac:dyDescent="0.2"/>
    <row r="5449" ht="12.75" hidden="1" x14ac:dyDescent="0.2"/>
    <row r="5450" ht="12.75" hidden="1" x14ac:dyDescent="0.2"/>
    <row r="5451" ht="12.75" hidden="1" x14ac:dyDescent="0.2"/>
    <row r="5452" ht="12.75" hidden="1" x14ac:dyDescent="0.2"/>
    <row r="5453" ht="12.75" hidden="1" x14ac:dyDescent="0.2"/>
    <row r="5454" ht="12.75" hidden="1" x14ac:dyDescent="0.2"/>
    <row r="5455" ht="12.75" hidden="1" x14ac:dyDescent="0.2"/>
    <row r="5456" ht="12.75" hidden="1" x14ac:dyDescent="0.2"/>
    <row r="5457" ht="12.75" hidden="1" x14ac:dyDescent="0.2"/>
    <row r="5458" ht="12.75" hidden="1" x14ac:dyDescent="0.2"/>
    <row r="5459" ht="12.75" hidden="1" x14ac:dyDescent="0.2"/>
    <row r="5460" ht="12.75" hidden="1" x14ac:dyDescent="0.2"/>
    <row r="5461" ht="12.75" hidden="1" x14ac:dyDescent="0.2"/>
    <row r="5462" ht="12.75" hidden="1" x14ac:dyDescent="0.2"/>
    <row r="5463" ht="12.75" hidden="1" x14ac:dyDescent="0.2"/>
    <row r="5464" ht="12.75" hidden="1" x14ac:dyDescent="0.2"/>
    <row r="5465" ht="12.75" hidden="1" x14ac:dyDescent="0.2"/>
    <row r="5466" ht="12.75" hidden="1" x14ac:dyDescent="0.2"/>
    <row r="5467" ht="12.75" hidden="1" x14ac:dyDescent="0.2"/>
    <row r="5468" ht="12.75" hidden="1" x14ac:dyDescent="0.2"/>
    <row r="5469" ht="12.75" hidden="1" x14ac:dyDescent="0.2"/>
    <row r="5470" ht="12.75" hidden="1" x14ac:dyDescent="0.2"/>
    <row r="5471" ht="12.75" hidden="1" x14ac:dyDescent="0.2"/>
    <row r="5472" ht="12.75" hidden="1" x14ac:dyDescent="0.2"/>
    <row r="5473" ht="12.75" hidden="1" x14ac:dyDescent="0.2"/>
    <row r="5474" ht="12.75" hidden="1" x14ac:dyDescent="0.2"/>
    <row r="5475" ht="12.75" hidden="1" x14ac:dyDescent="0.2"/>
    <row r="5476" ht="12.75" hidden="1" x14ac:dyDescent="0.2"/>
    <row r="5477" ht="12.75" hidden="1" x14ac:dyDescent="0.2"/>
    <row r="5478" ht="12.75" hidden="1" x14ac:dyDescent="0.2"/>
    <row r="5479" ht="12.75" hidden="1" x14ac:dyDescent="0.2"/>
    <row r="5480" ht="12.75" hidden="1" x14ac:dyDescent="0.2"/>
    <row r="5481" ht="12.75" hidden="1" x14ac:dyDescent="0.2"/>
    <row r="5482" ht="12.75" hidden="1" x14ac:dyDescent="0.2"/>
    <row r="5483" ht="12.75" hidden="1" x14ac:dyDescent="0.2"/>
    <row r="5484" ht="12.75" hidden="1" x14ac:dyDescent="0.2"/>
    <row r="5485" ht="12.75" hidden="1" x14ac:dyDescent="0.2"/>
    <row r="5486" ht="12.75" hidden="1" x14ac:dyDescent="0.2"/>
    <row r="5487" ht="12.75" hidden="1" x14ac:dyDescent="0.2"/>
    <row r="5488" ht="12.75" hidden="1" x14ac:dyDescent="0.2"/>
    <row r="5489" ht="12.75" hidden="1" x14ac:dyDescent="0.2"/>
    <row r="5490" ht="12.75" hidden="1" x14ac:dyDescent="0.2"/>
    <row r="5491" ht="12.75" hidden="1" x14ac:dyDescent="0.2"/>
    <row r="5492" ht="12.75" hidden="1" x14ac:dyDescent="0.2"/>
    <row r="5493" ht="12.75" hidden="1" x14ac:dyDescent="0.2"/>
    <row r="5494" ht="12.75" hidden="1" x14ac:dyDescent="0.2"/>
    <row r="5495" ht="12.75" hidden="1" x14ac:dyDescent="0.2"/>
    <row r="5496" ht="12.75" hidden="1" x14ac:dyDescent="0.2"/>
    <row r="5497" ht="12.75" hidden="1" x14ac:dyDescent="0.2"/>
    <row r="5498" ht="12.75" hidden="1" x14ac:dyDescent="0.2"/>
    <row r="5499" ht="12.75" hidden="1" x14ac:dyDescent="0.2"/>
    <row r="5500" ht="12.75" hidden="1" x14ac:dyDescent="0.2"/>
    <row r="5501" ht="12.75" hidden="1" x14ac:dyDescent="0.2"/>
    <row r="5502" ht="12.75" hidden="1" x14ac:dyDescent="0.2"/>
    <row r="5503" ht="12.75" hidden="1" x14ac:dyDescent="0.2"/>
    <row r="5504" ht="12.75" hidden="1" x14ac:dyDescent="0.2"/>
    <row r="5505" ht="12.75" hidden="1" x14ac:dyDescent="0.2"/>
    <row r="5506" ht="12.75" hidden="1" x14ac:dyDescent="0.2"/>
    <row r="5507" ht="12.75" hidden="1" x14ac:dyDescent="0.2"/>
    <row r="5508" ht="12.75" hidden="1" x14ac:dyDescent="0.2"/>
    <row r="5509" ht="12.75" hidden="1" x14ac:dyDescent="0.2"/>
    <row r="5510" ht="12.75" hidden="1" x14ac:dyDescent="0.2"/>
    <row r="5511" ht="12.75" hidden="1" x14ac:dyDescent="0.2"/>
    <row r="5512" ht="12.75" hidden="1" x14ac:dyDescent="0.2"/>
    <row r="5513" ht="12.75" hidden="1" x14ac:dyDescent="0.2"/>
    <row r="5514" ht="12.75" hidden="1" x14ac:dyDescent="0.2"/>
    <row r="5515" ht="12.75" hidden="1" x14ac:dyDescent="0.2"/>
    <row r="5516" ht="12.75" hidden="1" x14ac:dyDescent="0.2"/>
    <row r="5517" ht="12.75" hidden="1" x14ac:dyDescent="0.2"/>
    <row r="5518" ht="12.75" hidden="1" x14ac:dyDescent="0.2"/>
    <row r="5519" ht="12.75" hidden="1" x14ac:dyDescent="0.2"/>
    <row r="5520" ht="12.75" hidden="1" x14ac:dyDescent="0.2"/>
    <row r="5521" ht="12.75" hidden="1" x14ac:dyDescent="0.2"/>
    <row r="5522" ht="12.75" hidden="1" x14ac:dyDescent="0.2"/>
    <row r="5523" ht="12.75" hidden="1" x14ac:dyDescent="0.2"/>
    <row r="5524" ht="12.75" hidden="1" x14ac:dyDescent="0.2"/>
    <row r="5525" ht="12.75" hidden="1" x14ac:dyDescent="0.2"/>
    <row r="5526" ht="12.75" hidden="1" x14ac:dyDescent="0.2"/>
    <row r="5527" ht="12.75" hidden="1" x14ac:dyDescent="0.2"/>
    <row r="5528" ht="12.75" hidden="1" x14ac:dyDescent="0.2"/>
    <row r="5529" ht="12.75" hidden="1" x14ac:dyDescent="0.2"/>
    <row r="5530" ht="12.75" hidden="1" x14ac:dyDescent="0.2"/>
    <row r="5531" ht="12.75" hidden="1" x14ac:dyDescent="0.2"/>
    <row r="5532" ht="12.75" hidden="1" x14ac:dyDescent="0.2"/>
    <row r="5533" ht="12.75" hidden="1" x14ac:dyDescent="0.2"/>
    <row r="5534" ht="12.75" hidden="1" x14ac:dyDescent="0.2"/>
    <row r="5535" ht="12.75" hidden="1" x14ac:dyDescent="0.2"/>
    <row r="5536" ht="12.75" hidden="1" x14ac:dyDescent="0.2"/>
    <row r="5537" ht="12.75" hidden="1" x14ac:dyDescent="0.2"/>
    <row r="5538" ht="12.75" hidden="1" x14ac:dyDescent="0.2"/>
    <row r="5539" ht="12.75" hidden="1" x14ac:dyDescent="0.2"/>
    <row r="5540" ht="12.75" hidden="1" x14ac:dyDescent="0.2"/>
    <row r="5541" ht="12.75" hidden="1" x14ac:dyDescent="0.2"/>
    <row r="5542" ht="12.75" hidden="1" x14ac:dyDescent="0.2"/>
    <row r="5543" ht="12.75" hidden="1" x14ac:dyDescent="0.2"/>
    <row r="5544" ht="12.75" hidden="1" x14ac:dyDescent="0.2"/>
    <row r="5545" ht="12.75" hidden="1" x14ac:dyDescent="0.2"/>
    <row r="5546" ht="12.75" hidden="1" x14ac:dyDescent="0.2"/>
    <row r="5547" ht="12.75" hidden="1" x14ac:dyDescent="0.2"/>
    <row r="5548" ht="12.75" hidden="1" x14ac:dyDescent="0.2"/>
    <row r="5549" ht="12.75" hidden="1" x14ac:dyDescent="0.2"/>
    <row r="5550" ht="12.75" hidden="1" x14ac:dyDescent="0.2"/>
    <row r="5551" ht="12.75" hidden="1" x14ac:dyDescent="0.2"/>
    <row r="5552" ht="12.75" hidden="1" x14ac:dyDescent="0.2"/>
    <row r="5553" ht="12.75" hidden="1" x14ac:dyDescent="0.2"/>
    <row r="5554" ht="12.75" hidden="1" x14ac:dyDescent="0.2"/>
    <row r="5555" ht="12.75" hidden="1" x14ac:dyDescent="0.2"/>
    <row r="5556" ht="12.75" hidden="1" x14ac:dyDescent="0.2"/>
    <row r="5557" ht="12.75" hidden="1" x14ac:dyDescent="0.2"/>
    <row r="5558" ht="12.75" hidden="1" x14ac:dyDescent="0.2"/>
    <row r="5559" ht="12.75" hidden="1" x14ac:dyDescent="0.2"/>
    <row r="5560" ht="12.75" hidden="1" x14ac:dyDescent="0.2"/>
    <row r="5561" ht="12.75" hidden="1" x14ac:dyDescent="0.2"/>
    <row r="5562" ht="12.75" hidden="1" x14ac:dyDescent="0.2"/>
    <row r="5563" ht="12.75" hidden="1" x14ac:dyDescent="0.2"/>
    <row r="5564" ht="12.75" hidden="1" x14ac:dyDescent="0.2"/>
    <row r="5565" ht="12.75" hidden="1" x14ac:dyDescent="0.2"/>
    <row r="5566" ht="12.75" hidden="1" x14ac:dyDescent="0.2"/>
    <row r="5567" ht="12.75" hidden="1" x14ac:dyDescent="0.2"/>
    <row r="5568" ht="12.75" hidden="1" x14ac:dyDescent="0.2"/>
    <row r="5569" ht="12.75" hidden="1" x14ac:dyDescent="0.2"/>
    <row r="5570" ht="12.75" hidden="1" x14ac:dyDescent="0.2"/>
    <row r="5571" ht="12.75" hidden="1" x14ac:dyDescent="0.2"/>
    <row r="5572" ht="12.75" hidden="1" x14ac:dyDescent="0.2"/>
    <row r="5573" ht="12.75" hidden="1" x14ac:dyDescent="0.2"/>
    <row r="5574" ht="12.75" hidden="1" x14ac:dyDescent="0.2"/>
    <row r="5575" ht="12.75" hidden="1" x14ac:dyDescent="0.2"/>
    <row r="5576" ht="12.75" hidden="1" x14ac:dyDescent="0.2"/>
    <row r="5577" ht="12.75" hidden="1" x14ac:dyDescent="0.2"/>
    <row r="5578" ht="12.75" hidden="1" x14ac:dyDescent="0.2"/>
    <row r="5579" ht="12.75" hidden="1" x14ac:dyDescent="0.2"/>
    <row r="5580" ht="12.75" hidden="1" x14ac:dyDescent="0.2"/>
    <row r="5581" ht="12.75" hidden="1" x14ac:dyDescent="0.2"/>
    <row r="5582" ht="12.75" hidden="1" x14ac:dyDescent="0.2"/>
    <row r="5583" ht="12.75" hidden="1" x14ac:dyDescent="0.2"/>
    <row r="5584" ht="12.75" hidden="1" x14ac:dyDescent="0.2"/>
    <row r="5585" ht="12.75" hidden="1" x14ac:dyDescent="0.2"/>
    <row r="5586" ht="12.75" hidden="1" x14ac:dyDescent="0.2"/>
    <row r="5587" ht="12.75" hidden="1" x14ac:dyDescent="0.2"/>
    <row r="5588" ht="12.75" hidden="1" x14ac:dyDescent="0.2"/>
    <row r="5589" ht="12.75" hidden="1" x14ac:dyDescent="0.2"/>
    <row r="5590" ht="12.75" hidden="1" x14ac:dyDescent="0.2"/>
    <row r="5591" ht="12.75" hidden="1" x14ac:dyDescent="0.2"/>
    <row r="5592" ht="12.75" hidden="1" x14ac:dyDescent="0.2"/>
    <row r="5593" ht="12.75" hidden="1" x14ac:dyDescent="0.2"/>
    <row r="5594" ht="12.75" hidden="1" x14ac:dyDescent="0.2"/>
    <row r="5595" ht="12.75" hidden="1" x14ac:dyDescent="0.2"/>
    <row r="5596" ht="12.75" hidden="1" x14ac:dyDescent="0.2"/>
    <row r="5597" ht="12.75" hidden="1" x14ac:dyDescent="0.2"/>
    <row r="5598" ht="12.75" hidden="1" x14ac:dyDescent="0.2"/>
    <row r="5599" ht="12.75" hidden="1" x14ac:dyDescent="0.2"/>
    <row r="5600" ht="12.75" hidden="1" x14ac:dyDescent="0.2"/>
    <row r="5601" ht="12.75" hidden="1" x14ac:dyDescent="0.2"/>
    <row r="5602" ht="12.75" hidden="1" x14ac:dyDescent="0.2"/>
    <row r="5603" ht="12.75" hidden="1" x14ac:dyDescent="0.2"/>
    <row r="5604" ht="12.75" hidden="1" x14ac:dyDescent="0.2"/>
    <row r="5605" ht="12.75" hidden="1" x14ac:dyDescent="0.2"/>
    <row r="5606" ht="12.75" hidden="1" x14ac:dyDescent="0.2"/>
    <row r="5607" ht="12.75" hidden="1" x14ac:dyDescent="0.2"/>
    <row r="5608" ht="12.75" hidden="1" x14ac:dyDescent="0.2"/>
    <row r="5609" ht="12.75" hidden="1" x14ac:dyDescent="0.2"/>
    <row r="5610" ht="12.75" hidden="1" x14ac:dyDescent="0.2"/>
    <row r="5611" ht="12.75" hidden="1" x14ac:dyDescent="0.2"/>
    <row r="5612" ht="12.75" hidden="1" x14ac:dyDescent="0.2"/>
    <row r="5613" ht="12.75" hidden="1" x14ac:dyDescent="0.2"/>
    <row r="5614" ht="12.75" hidden="1" x14ac:dyDescent="0.2"/>
    <row r="5615" ht="12.75" hidden="1" x14ac:dyDescent="0.2"/>
    <row r="5616" ht="12.75" hidden="1" x14ac:dyDescent="0.2"/>
    <row r="5617" ht="12.75" hidden="1" x14ac:dyDescent="0.2"/>
    <row r="5618" ht="12.75" hidden="1" x14ac:dyDescent="0.2"/>
    <row r="5619" ht="12.75" hidden="1" x14ac:dyDescent="0.2"/>
    <row r="5620" ht="12.75" hidden="1" x14ac:dyDescent="0.2"/>
    <row r="5621" ht="12.75" hidden="1" x14ac:dyDescent="0.2"/>
    <row r="5622" ht="12.75" hidden="1" x14ac:dyDescent="0.2"/>
    <row r="5623" ht="12.75" hidden="1" x14ac:dyDescent="0.2"/>
    <row r="5624" ht="12.75" hidden="1" x14ac:dyDescent="0.2"/>
    <row r="5625" ht="12.75" hidden="1" x14ac:dyDescent="0.2"/>
    <row r="5626" ht="12.75" hidden="1" x14ac:dyDescent="0.2"/>
    <row r="5627" ht="12.75" hidden="1" x14ac:dyDescent="0.2"/>
    <row r="5628" ht="12.75" hidden="1" x14ac:dyDescent="0.2"/>
    <row r="5629" ht="12.75" hidden="1" x14ac:dyDescent="0.2"/>
    <row r="5630" ht="12.75" hidden="1" x14ac:dyDescent="0.2"/>
    <row r="5631" ht="12.75" hidden="1" x14ac:dyDescent="0.2"/>
    <row r="5632" ht="12.75" hidden="1" x14ac:dyDescent="0.2"/>
    <row r="5633" ht="12.75" hidden="1" x14ac:dyDescent="0.2"/>
    <row r="5634" ht="12.75" hidden="1" x14ac:dyDescent="0.2"/>
    <row r="5635" ht="12.75" hidden="1" x14ac:dyDescent="0.2"/>
    <row r="5636" ht="12.75" hidden="1" x14ac:dyDescent="0.2"/>
    <row r="5637" ht="12.75" hidden="1" x14ac:dyDescent="0.2"/>
    <row r="5638" ht="12.75" hidden="1" x14ac:dyDescent="0.2"/>
    <row r="5639" ht="12.75" hidden="1" x14ac:dyDescent="0.2"/>
    <row r="5640" ht="12.75" hidden="1" x14ac:dyDescent="0.2"/>
    <row r="5641" ht="12.75" hidden="1" x14ac:dyDescent="0.2"/>
    <row r="5642" ht="12.75" hidden="1" x14ac:dyDescent="0.2"/>
    <row r="5643" ht="12.75" hidden="1" x14ac:dyDescent="0.2"/>
    <row r="5644" ht="12.75" hidden="1" x14ac:dyDescent="0.2"/>
    <row r="5645" ht="12.75" hidden="1" x14ac:dyDescent="0.2"/>
    <row r="5646" ht="12.75" hidden="1" x14ac:dyDescent="0.2"/>
    <row r="5647" ht="12.75" hidden="1" x14ac:dyDescent="0.2"/>
    <row r="5648" ht="12.75" hidden="1" x14ac:dyDescent="0.2"/>
    <row r="5649" ht="12.75" hidden="1" x14ac:dyDescent="0.2"/>
    <row r="5650" ht="12.75" hidden="1" x14ac:dyDescent="0.2"/>
    <row r="5651" ht="12.75" hidden="1" x14ac:dyDescent="0.2"/>
    <row r="5652" ht="12.75" hidden="1" x14ac:dyDescent="0.2"/>
    <row r="5653" ht="12.75" hidden="1" x14ac:dyDescent="0.2"/>
    <row r="5654" ht="12.75" hidden="1" x14ac:dyDescent="0.2"/>
    <row r="5655" ht="12.75" hidden="1" x14ac:dyDescent="0.2"/>
    <row r="5656" ht="12.75" hidden="1" x14ac:dyDescent="0.2"/>
    <row r="5657" ht="12.75" hidden="1" x14ac:dyDescent="0.2"/>
    <row r="5658" ht="12.75" hidden="1" x14ac:dyDescent="0.2"/>
    <row r="5659" ht="12.75" hidden="1" x14ac:dyDescent="0.2"/>
    <row r="5660" ht="12.75" hidden="1" x14ac:dyDescent="0.2"/>
    <row r="5661" ht="12.75" hidden="1" x14ac:dyDescent="0.2"/>
    <row r="5662" ht="12.75" hidden="1" x14ac:dyDescent="0.2"/>
    <row r="5663" ht="12.75" hidden="1" x14ac:dyDescent="0.2"/>
    <row r="5664" ht="12.75" hidden="1" x14ac:dyDescent="0.2"/>
    <row r="5665" ht="12.75" hidden="1" x14ac:dyDescent="0.2"/>
    <row r="5666" ht="12.75" hidden="1" x14ac:dyDescent="0.2"/>
    <row r="5667" ht="12.75" hidden="1" x14ac:dyDescent="0.2"/>
    <row r="5668" ht="12.75" hidden="1" x14ac:dyDescent="0.2"/>
    <row r="5669" ht="12.75" hidden="1" x14ac:dyDescent="0.2"/>
    <row r="5670" ht="12.75" hidden="1" x14ac:dyDescent="0.2"/>
    <row r="5671" ht="12.75" hidden="1" x14ac:dyDescent="0.2"/>
    <row r="5672" ht="12.75" hidden="1" x14ac:dyDescent="0.2"/>
    <row r="5673" ht="12.75" hidden="1" x14ac:dyDescent="0.2"/>
    <row r="5674" ht="12.75" hidden="1" x14ac:dyDescent="0.2"/>
    <row r="5675" ht="12.75" hidden="1" x14ac:dyDescent="0.2"/>
    <row r="5676" ht="12.75" hidden="1" x14ac:dyDescent="0.2"/>
    <row r="5677" ht="12.75" hidden="1" x14ac:dyDescent="0.2"/>
    <row r="5678" ht="12.75" hidden="1" x14ac:dyDescent="0.2"/>
    <row r="5679" ht="12.75" hidden="1" x14ac:dyDescent="0.2"/>
    <row r="5680" ht="12.75" hidden="1" x14ac:dyDescent="0.2"/>
    <row r="5681" ht="12.75" hidden="1" x14ac:dyDescent="0.2"/>
    <row r="5682" ht="12.75" hidden="1" x14ac:dyDescent="0.2"/>
    <row r="5683" ht="12.75" hidden="1" x14ac:dyDescent="0.2"/>
    <row r="5684" ht="12.75" hidden="1" x14ac:dyDescent="0.2"/>
    <row r="5685" ht="12.75" hidden="1" x14ac:dyDescent="0.2"/>
    <row r="5686" ht="12.75" hidden="1" x14ac:dyDescent="0.2"/>
    <row r="5687" ht="12.75" hidden="1" x14ac:dyDescent="0.2"/>
    <row r="5688" ht="12.75" hidden="1" x14ac:dyDescent="0.2"/>
    <row r="5689" ht="12.75" hidden="1" x14ac:dyDescent="0.2"/>
    <row r="5690" ht="12.75" hidden="1" x14ac:dyDescent="0.2"/>
    <row r="5691" ht="12.75" hidden="1" x14ac:dyDescent="0.2"/>
    <row r="5692" ht="12.75" hidden="1" x14ac:dyDescent="0.2"/>
    <row r="5693" ht="12.75" hidden="1" x14ac:dyDescent="0.2"/>
    <row r="5694" ht="12.75" hidden="1" x14ac:dyDescent="0.2"/>
    <row r="5695" ht="12.75" hidden="1" x14ac:dyDescent="0.2"/>
    <row r="5696" ht="12.75" hidden="1" x14ac:dyDescent="0.2"/>
    <row r="5697" ht="12.75" hidden="1" x14ac:dyDescent="0.2"/>
    <row r="5698" ht="12.75" hidden="1" x14ac:dyDescent="0.2"/>
    <row r="5699" ht="12.75" hidden="1" x14ac:dyDescent="0.2"/>
    <row r="5700" ht="12.75" hidden="1" x14ac:dyDescent="0.2"/>
    <row r="5701" ht="12.75" hidden="1" x14ac:dyDescent="0.2"/>
    <row r="5702" ht="12.75" hidden="1" x14ac:dyDescent="0.2"/>
    <row r="5703" ht="12.75" hidden="1" x14ac:dyDescent="0.2"/>
    <row r="5704" ht="12.75" hidden="1" x14ac:dyDescent="0.2"/>
    <row r="5705" ht="12.75" hidden="1" x14ac:dyDescent="0.2"/>
    <row r="5706" ht="12.75" hidden="1" x14ac:dyDescent="0.2"/>
    <row r="5707" ht="12.75" hidden="1" x14ac:dyDescent="0.2"/>
    <row r="5708" ht="12.75" hidden="1" x14ac:dyDescent="0.2"/>
    <row r="5709" ht="12.75" hidden="1" x14ac:dyDescent="0.2"/>
    <row r="5710" ht="12.75" hidden="1" x14ac:dyDescent="0.2"/>
    <row r="5711" ht="12.75" hidden="1" x14ac:dyDescent="0.2"/>
    <row r="5712" ht="12.75" hidden="1" x14ac:dyDescent="0.2"/>
    <row r="5713" ht="12.75" hidden="1" x14ac:dyDescent="0.2"/>
    <row r="5714" ht="12.75" hidden="1" x14ac:dyDescent="0.2"/>
    <row r="5715" ht="12.75" hidden="1" x14ac:dyDescent="0.2"/>
    <row r="5716" ht="12.75" hidden="1" x14ac:dyDescent="0.2"/>
    <row r="5717" ht="12.75" hidden="1" x14ac:dyDescent="0.2"/>
    <row r="5718" ht="12.75" hidden="1" x14ac:dyDescent="0.2"/>
    <row r="5719" ht="12.75" hidden="1" x14ac:dyDescent="0.2"/>
    <row r="5720" ht="12.75" hidden="1" x14ac:dyDescent="0.2"/>
    <row r="5721" ht="12.75" hidden="1" x14ac:dyDescent="0.2"/>
    <row r="5722" ht="12.75" hidden="1" x14ac:dyDescent="0.2"/>
    <row r="5723" ht="12.75" hidden="1" x14ac:dyDescent="0.2"/>
    <row r="5724" ht="12.75" hidden="1" x14ac:dyDescent="0.2"/>
    <row r="5725" ht="12.75" hidden="1" x14ac:dyDescent="0.2"/>
    <row r="5726" ht="12.75" hidden="1" x14ac:dyDescent="0.2"/>
    <row r="5727" ht="12.75" hidden="1" x14ac:dyDescent="0.2"/>
    <row r="5728" ht="12.75" hidden="1" x14ac:dyDescent="0.2"/>
    <row r="5729" ht="12.75" hidden="1" x14ac:dyDescent="0.2"/>
    <row r="5730" ht="12.75" hidden="1" x14ac:dyDescent="0.2"/>
    <row r="5731" ht="12.75" hidden="1" x14ac:dyDescent="0.2"/>
    <row r="5732" ht="12.75" hidden="1" x14ac:dyDescent="0.2"/>
    <row r="5733" ht="12.75" hidden="1" x14ac:dyDescent="0.2"/>
    <row r="5734" ht="12.75" hidden="1" x14ac:dyDescent="0.2"/>
    <row r="5735" ht="12.75" hidden="1" x14ac:dyDescent="0.2"/>
    <row r="5736" ht="12.75" hidden="1" x14ac:dyDescent="0.2"/>
    <row r="5737" ht="12.75" hidden="1" x14ac:dyDescent="0.2"/>
    <row r="5738" ht="12.75" hidden="1" x14ac:dyDescent="0.2"/>
    <row r="5739" ht="12.75" hidden="1" x14ac:dyDescent="0.2"/>
    <row r="5740" ht="12.75" hidden="1" x14ac:dyDescent="0.2"/>
    <row r="5741" ht="12.75" hidden="1" x14ac:dyDescent="0.2"/>
    <row r="5742" ht="12.75" hidden="1" x14ac:dyDescent="0.2"/>
    <row r="5743" ht="12.75" hidden="1" x14ac:dyDescent="0.2"/>
    <row r="5744" ht="12.75" hidden="1" x14ac:dyDescent="0.2"/>
    <row r="5745" ht="12.75" hidden="1" x14ac:dyDescent="0.2"/>
    <row r="5746" ht="12.75" hidden="1" x14ac:dyDescent="0.2"/>
    <row r="5747" ht="12.75" hidden="1" x14ac:dyDescent="0.2"/>
    <row r="5748" ht="12.75" hidden="1" x14ac:dyDescent="0.2"/>
    <row r="5749" ht="12.75" hidden="1" x14ac:dyDescent="0.2"/>
    <row r="5750" ht="12.75" hidden="1" x14ac:dyDescent="0.2"/>
    <row r="5751" ht="12.75" hidden="1" x14ac:dyDescent="0.2"/>
    <row r="5752" ht="12.75" hidden="1" x14ac:dyDescent="0.2"/>
    <row r="5753" ht="12.75" hidden="1" x14ac:dyDescent="0.2"/>
    <row r="5754" ht="12.75" hidden="1" x14ac:dyDescent="0.2"/>
    <row r="5755" ht="12.75" hidden="1" x14ac:dyDescent="0.2"/>
    <row r="5756" ht="12.75" hidden="1" x14ac:dyDescent="0.2"/>
    <row r="5757" ht="12.75" hidden="1" x14ac:dyDescent="0.2"/>
    <row r="5758" ht="12.75" hidden="1" x14ac:dyDescent="0.2"/>
    <row r="5759" ht="12.75" hidden="1" x14ac:dyDescent="0.2"/>
    <row r="5760" ht="12.75" hidden="1" x14ac:dyDescent="0.2"/>
    <row r="5761" ht="12.75" hidden="1" x14ac:dyDescent="0.2"/>
    <row r="5762" ht="12.75" hidden="1" x14ac:dyDescent="0.2"/>
    <row r="5763" ht="12.75" hidden="1" x14ac:dyDescent="0.2"/>
    <row r="5764" ht="12.75" hidden="1" x14ac:dyDescent="0.2"/>
    <row r="5765" ht="12.75" hidden="1" x14ac:dyDescent="0.2"/>
    <row r="5766" ht="12.75" hidden="1" x14ac:dyDescent="0.2"/>
    <row r="5767" ht="12.75" hidden="1" x14ac:dyDescent="0.2"/>
    <row r="5768" ht="12.75" hidden="1" x14ac:dyDescent="0.2"/>
    <row r="5769" ht="12.75" hidden="1" x14ac:dyDescent="0.2"/>
    <row r="5770" ht="12.75" hidden="1" x14ac:dyDescent="0.2"/>
    <row r="5771" ht="12.75" hidden="1" x14ac:dyDescent="0.2"/>
    <row r="5772" ht="12.75" hidden="1" x14ac:dyDescent="0.2"/>
    <row r="5773" ht="12.75" hidden="1" x14ac:dyDescent="0.2"/>
    <row r="5774" ht="12.75" hidden="1" x14ac:dyDescent="0.2"/>
    <row r="5775" ht="12.75" hidden="1" x14ac:dyDescent="0.2"/>
    <row r="5776" ht="12.75" hidden="1" x14ac:dyDescent="0.2"/>
    <row r="5777" ht="12.75" hidden="1" x14ac:dyDescent="0.2"/>
    <row r="5778" ht="12.75" hidden="1" x14ac:dyDescent="0.2"/>
    <row r="5779" ht="12.75" hidden="1" x14ac:dyDescent="0.2"/>
    <row r="5780" ht="12.75" hidden="1" x14ac:dyDescent="0.2"/>
    <row r="5781" ht="12.75" hidden="1" x14ac:dyDescent="0.2"/>
    <row r="5782" ht="12.75" hidden="1" x14ac:dyDescent="0.2"/>
    <row r="5783" ht="12.75" hidden="1" x14ac:dyDescent="0.2"/>
    <row r="5784" ht="12.75" hidden="1" x14ac:dyDescent="0.2"/>
    <row r="5785" ht="12.75" hidden="1" x14ac:dyDescent="0.2"/>
    <row r="5786" ht="12.75" hidden="1" x14ac:dyDescent="0.2"/>
    <row r="5787" ht="12.75" hidden="1" x14ac:dyDescent="0.2"/>
    <row r="5788" ht="12.75" hidden="1" x14ac:dyDescent="0.2"/>
    <row r="5789" ht="12.75" hidden="1" x14ac:dyDescent="0.2"/>
    <row r="5790" ht="12.75" hidden="1" x14ac:dyDescent="0.2"/>
    <row r="5791" ht="12.75" hidden="1" x14ac:dyDescent="0.2"/>
    <row r="5792" ht="12.75" hidden="1" x14ac:dyDescent="0.2"/>
    <row r="5793" ht="12.75" hidden="1" x14ac:dyDescent="0.2"/>
    <row r="5794" ht="12.75" hidden="1" x14ac:dyDescent="0.2"/>
    <row r="5795" ht="12.75" hidden="1" x14ac:dyDescent="0.2"/>
    <row r="5796" ht="12.75" hidden="1" x14ac:dyDescent="0.2"/>
    <row r="5797" ht="12.75" hidden="1" x14ac:dyDescent="0.2"/>
    <row r="5798" ht="12.75" hidden="1" x14ac:dyDescent="0.2"/>
    <row r="5799" ht="12.75" hidden="1" x14ac:dyDescent="0.2"/>
    <row r="5800" ht="12.75" hidden="1" x14ac:dyDescent="0.2"/>
    <row r="5801" ht="12.75" hidden="1" x14ac:dyDescent="0.2"/>
    <row r="5802" ht="12.75" hidden="1" x14ac:dyDescent="0.2"/>
    <row r="5803" ht="12.75" hidden="1" x14ac:dyDescent="0.2"/>
    <row r="5804" ht="12.75" hidden="1" x14ac:dyDescent="0.2"/>
    <row r="5805" ht="12.75" hidden="1" x14ac:dyDescent="0.2"/>
    <row r="5806" ht="12.75" hidden="1" x14ac:dyDescent="0.2"/>
    <row r="5807" ht="12.75" hidden="1" x14ac:dyDescent="0.2"/>
    <row r="5808" ht="12.75" hidden="1" x14ac:dyDescent="0.2"/>
    <row r="5809" ht="12.75" hidden="1" x14ac:dyDescent="0.2"/>
    <row r="5810" ht="12.75" hidden="1" x14ac:dyDescent="0.2"/>
    <row r="5811" ht="12.75" hidden="1" x14ac:dyDescent="0.2"/>
    <row r="5812" ht="12.75" hidden="1" x14ac:dyDescent="0.2"/>
    <row r="5813" ht="12.75" hidden="1" x14ac:dyDescent="0.2"/>
    <row r="5814" ht="12.75" hidden="1" x14ac:dyDescent="0.2"/>
    <row r="5815" ht="12.75" hidden="1" x14ac:dyDescent="0.2"/>
    <row r="5816" ht="12.75" hidden="1" x14ac:dyDescent="0.2"/>
    <row r="5817" ht="12.75" hidden="1" x14ac:dyDescent="0.2"/>
    <row r="5818" ht="12.75" hidden="1" x14ac:dyDescent="0.2"/>
    <row r="5819" ht="12.75" hidden="1" x14ac:dyDescent="0.2"/>
    <row r="5820" ht="12.75" hidden="1" x14ac:dyDescent="0.2"/>
    <row r="5821" ht="12.75" hidden="1" x14ac:dyDescent="0.2"/>
    <row r="5822" ht="12.75" hidden="1" x14ac:dyDescent="0.2"/>
    <row r="5823" ht="12.75" hidden="1" x14ac:dyDescent="0.2"/>
    <row r="5824" ht="12.75" hidden="1" x14ac:dyDescent="0.2"/>
    <row r="5825" ht="12.75" hidden="1" x14ac:dyDescent="0.2"/>
    <row r="5826" ht="12.75" hidden="1" x14ac:dyDescent="0.2"/>
    <row r="5827" ht="12.75" hidden="1" x14ac:dyDescent="0.2"/>
    <row r="5828" ht="12.75" hidden="1" x14ac:dyDescent="0.2"/>
    <row r="5829" ht="12.75" hidden="1" x14ac:dyDescent="0.2"/>
    <row r="5830" ht="12.75" hidden="1" x14ac:dyDescent="0.2"/>
    <row r="5831" ht="12.75" hidden="1" x14ac:dyDescent="0.2"/>
    <row r="5832" ht="12.75" hidden="1" x14ac:dyDescent="0.2"/>
    <row r="5833" ht="12.75" hidden="1" x14ac:dyDescent="0.2"/>
    <row r="5834" ht="12.75" hidden="1" x14ac:dyDescent="0.2"/>
    <row r="5835" ht="12.75" hidden="1" x14ac:dyDescent="0.2"/>
    <row r="5836" ht="12.75" hidden="1" x14ac:dyDescent="0.2"/>
    <row r="5837" ht="12.75" hidden="1" x14ac:dyDescent="0.2"/>
    <row r="5838" ht="12.75" hidden="1" x14ac:dyDescent="0.2"/>
    <row r="5839" ht="12.75" hidden="1" x14ac:dyDescent="0.2"/>
    <row r="5840" ht="12.75" hidden="1" x14ac:dyDescent="0.2"/>
    <row r="5841" ht="12.75" hidden="1" x14ac:dyDescent="0.2"/>
    <row r="5842" ht="12.75" hidden="1" x14ac:dyDescent="0.2"/>
    <row r="5843" ht="12.75" hidden="1" x14ac:dyDescent="0.2"/>
    <row r="5844" ht="12.75" hidden="1" x14ac:dyDescent="0.2"/>
    <row r="5845" ht="12.75" hidden="1" x14ac:dyDescent="0.2"/>
    <row r="5846" ht="12.75" hidden="1" x14ac:dyDescent="0.2"/>
    <row r="5847" ht="12.75" hidden="1" x14ac:dyDescent="0.2"/>
    <row r="5848" ht="12.75" hidden="1" x14ac:dyDescent="0.2"/>
    <row r="5849" ht="12.75" hidden="1" x14ac:dyDescent="0.2"/>
    <row r="5850" ht="12.75" hidden="1" x14ac:dyDescent="0.2"/>
    <row r="5851" ht="12.75" hidden="1" x14ac:dyDescent="0.2"/>
    <row r="5852" ht="12.75" hidden="1" x14ac:dyDescent="0.2"/>
    <row r="5853" ht="12.75" hidden="1" x14ac:dyDescent="0.2"/>
    <row r="5854" ht="12.75" hidden="1" x14ac:dyDescent="0.2"/>
    <row r="5855" ht="12.75" hidden="1" x14ac:dyDescent="0.2"/>
    <row r="5856" ht="12.75" hidden="1" x14ac:dyDescent="0.2"/>
    <row r="5857" ht="12.75" hidden="1" x14ac:dyDescent="0.2"/>
    <row r="5858" ht="12.75" hidden="1" x14ac:dyDescent="0.2"/>
    <row r="5859" ht="12.75" hidden="1" x14ac:dyDescent="0.2"/>
    <row r="5860" ht="12.75" hidden="1" x14ac:dyDescent="0.2"/>
    <row r="5861" ht="12.75" hidden="1" x14ac:dyDescent="0.2"/>
    <row r="5862" ht="12.75" hidden="1" x14ac:dyDescent="0.2"/>
    <row r="5863" ht="12.75" hidden="1" x14ac:dyDescent="0.2"/>
    <row r="5864" ht="12.75" hidden="1" x14ac:dyDescent="0.2"/>
    <row r="5865" ht="12.75" hidden="1" x14ac:dyDescent="0.2"/>
    <row r="5866" ht="12.75" hidden="1" x14ac:dyDescent="0.2"/>
    <row r="5867" ht="12.75" hidden="1" x14ac:dyDescent="0.2"/>
    <row r="5868" ht="12.75" hidden="1" x14ac:dyDescent="0.2"/>
    <row r="5869" ht="12.75" hidden="1" x14ac:dyDescent="0.2"/>
    <row r="5870" ht="12.75" hidden="1" x14ac:dyDescent="0.2"/>
    <row r="5871" ht="12.75" hidden="1" x14ac:dyDescent="0.2"/>
    <row r="5872" ht="12.75" hidden="1" x14ac:dyDescent="0.2"/>
    <row r="5873" ht="12.75" hidden="1" x14ac:dyDescent="0.2"/>
    <row r="5874" ht="12.75" hidden="1" x14ac:dyDescent="0.2"/>
    <row r="5875" ht="12.75" hidden="1" x14ac:dyDescent="0.2"/>
    <row r="5876" ht="12.75" hidden="1" x14ac:dyDescent="0.2"/>
    <row r="5877" ht="12.75" hidden="1" x14ac:dyDescent="0.2"/>
    <row r="5878" ht="12.75" hidden="1" x14ac:dyDescent="0.2"/>
    <row r="5879" ht="12.75" hidden="1" x14ac:dyDescent="0.2"/>
    <row r="5880" ht="12.75" hidden="1" x14ac:dyDescent="0.2"/>
    <row r="5881" ht="12.75" hidden="1" x14ac:dyDescent="0.2"/>
    <row r="5882" ht="12.75" hidden="1" x14ac:dyDescent="0.2"/>
    <row r="5883" ht="12.75" hidden="1" x14ac:dyDescent="0.2"/>
    <row r="5884" ht="12.75" hidden="1" x14ac:dyDescent="0.2"/>
    <row r="5885" ht="12.75" hidden="1" x14ac:dyDescent="0.2"/>
    <row r="5886" ht="12.75" hidden="1" x14ac:dyDescent="0.2"/>
    <row r="5887" ht="12.75" hidden="1" x14ac:dyDescent="0.2"/>
    <row r="5888" ht="12.75" hidden="1" x14ac:dyDescent="0.2"/>
    <row r="5889" ht="12.75" hidden="1" x14ac:dyDescent="0.2"/>
    <row r="5890" ht="12.75" hidden="1" x14ac:dyDescent="0.2"/>
    <row r="5891" ht="12.75" hidden="1" x14ac:dyDescent="0.2"/>
    <row r="5892" ht="12.75" hidden="1" x14ac:dyDescent="0.2"/>
    <row r="5893" ht="12.75" hidden="1" x14ac:dyDescent="0.2"/>
    <row r="5894" ht="12.75" hidden="1" x14ac:dyDescent="0.2"/>
    <row r="5895" ht="12.75" hidden="1" x14ac:dyDescent="0.2"/>
    <row r="5896" ht="12.75" hidden="1" x14ac:dyDescent="0.2"/>
    <row r="5897" ht="12.75" hidden="1" x14ac:dyDescent="0.2"/>
    <row r="5898" ht="12.75" hidden="1" x14ac:dyDescent="0.2"/>
    <row r="5899" ht="12.75" hidden="1" x14ac:dyDescent="0.2"/>
    <row r="5900" ht="12.75" hidden="1" x14ac:dyDescent="0.2"/>
    <row r="5901" ht="12.75" hidden="1" x14ac:dyDescent="0.2"/>
    <row r="5902" ht="12.75" hidden="1" x14ac:dyDescent="0.2"/>
    <row r="5903" ht="12.75" hidden="1" x14ac:dyDescent="0.2"/>
    <row r="5904" ht="12.75" hidden="1" x14ac:dyDescent="0.2"/>
    <row r="5905" ht="12.75" hidden="1" x14ac:dyDescent="0.2"/>
    <row r="5906" ht="12.75" hidden="1" x14ac:dyDescent="0.2"/>
    <row r="5907" ht="12.75" hidden="1" x14ac:dyDescent="0.2"/>
    <row r="5908" ht="12.75" hidden="1" x14ac:dyDescent="0.2"/>
    <row r="5909" ht="12.75" hidden="1" x14ac:dyDescent="0.2"/>
    <row r="5910" ht="12.75" hidden="1" x14ac:dyDescent="0.2"/>
    <row r="5911" ht="12.75" hidden="1" x14ac:dyDescent="0.2"/>
    <row r="5912" ht="12.75" hidden="1" x14ac:dyDescent="0.2"/>
    <row r="5913" ht="12.75" hidden="1" x14ac:dyDescent="0.2"/>
    <row r="5914" ht="12.75" hidden="1" x14ac:dyDescent="0.2"/>
    <row r="5915" ht="12.75" hidden="1" x14ac:dyDescent="0.2"/>
    <row r="5916" ht="12.75" hidden="1" x14ac:dyDescent="0.2"/>
    <row r="5917" ht="12.75" hidden="1" x14ac:dyDescent="0.2"/>
    <row r="5918" ht="12.75" hidden="1" x14ac:dyDescent="0.2"/>
    <row r="5919" ht="12.75" hidden="1" x14ac:dyDescent="0.2"/>
    <row r="5920" ht="12.75" hidden="1" x14ac:dyDescent="0.2"/>
    <row r="5921" ht="12.75" hidden="1" x14ac:dyDescent="0.2"/>
    <row r="5922" ht="12.75" hidden="1" x14ac:dyDescent="0.2"/>
    <row r="5923" ht="12.75" hidden="1" x14ac:dyDescent="0.2"/>
    <row r="5924" ht="12.75" hidden="1" x14ac:dyDescent="0.2"/>
    <row r="5925" ht="12.75" hidden="1" x14ac:dyDescent="0.2"/>
    <row r="5926" ht="12.75" hidden="1" x14ac:dyDescent="0.2"/>
    <row r="5927" ht="12.75" hidden="1" x14ac:dyDescent="0.2"/>
    <row r="5928" ht="12.75" hidden="1" x14ac:dyDescent="0.2"/>
    <row r="5929" ht="12.75" hidden="1" x14ac:dyDescent="0.2"/>
    <row r="5930" ht="12.75" hidden="1" x14ac:dyDescent="0.2"/>
    <row r="5931" ht="12.75" hidden="1" x14ac:dyDescent="0.2"/>
    <row r="5932" ht="12.75" hidden="1" x14ac:dyDescent="0.2"/>
    <row r="5933" ht="12.75" hidden="1" x14ac:dyDescent="0.2"/>
    <row r="5934" ht="12.75" hidden="1" x14ac:dyDescent="0.2"/>
    <row r="5935" ht="12.75" hidden="1" x14ac:dyDescent="0.2"/>
    <row r="5936" ht="12.75" hidden="1" x14ac:dyDescent="0.2"/>
    <row r="5937" ht="12.75" hidden="1" x14ac:dyDescent="0.2"/>
    <row r="5938" ht="12.75" hidden="1" x14ac:dyDescent="0.2"/>
    <row r="5939" ht="12.75" hidden="1" x14ac:dyDescent="0.2"/>
    <row r="5940" ht="12.75" hidden="1" x14ac:dyDescent="0.2"/>
    <row r="5941" ht="12.75" hidden="1" x14ac:dyDescent="0.2"/>
    <row r="5942" ht="12.75" hidden="1" x14ac:dyDescent="0.2"/>
    <row r="5943" ht="12.75" hidden="1" x14ac:dyDescent="0.2"/>
    <row r="5944" ht="12.75" hidden="1" x14ac:dyDescent="0.2"/>
    <row r="5945" ht="12.75" hidden="1" x14ac:dyDescent="0.2"/>
    <row r="5946" ht="12.75" hidden="1" x14ac:dyDescent="0.2"/>
    <row r="5947" ht="12.75" hidden="1" x14ac:dyDescent="0.2"/>
    <row r="5948" ht="12.75" hidden="1" x14ac:dyDescent="0.2"/>
    <row r="5949" ht="12.75" hidden="1" x14ac:dyDescent="0.2"/>
    <row r="5950" ht="12.75" hidden="1" x14ac:dyDescent="0.2"/>
    <row r="5951" ht="12.75" hidden="1" x14ac:dyDescent="0.2"/>
    <row r="5952" ht="12.75" hidden="1" x14ac:dyDescent="0.2"/>
    <row r="5953" ht="12.75" hidden="1" x14ac:dyDescent="0.2"/>
    <row r="5954" ht="12.75" hidden="1" x14ac:dyDescent="0.2"/>
    <row r="5955" ht="12.75" hidden="1" x14ac:dyDescent="0.2"/>
    <row r="5956" ht="12.75" hidden="1" x14ac:dyDescent="0.2"/>
    <row r="5957" ht="12.75" hidden="1" x14ac:dyDescent="0.2"/>
    <row r="5958" ht="12.75" hidden="1" x14ac:dyDescent="0.2"/>
    <row r="5959" ht="12.75" hidden="1" x14ac:dyDescent="0.2"/>
    <row r="5960" ht="12.75" hidden="1" x14ac:dyDescent="0.2"/>
    <row r="5961" ht="12.75" hidden="1" x14ac:dyDescent="0.2"/>
    <row r="5962" ht="12.75" hidden="1" x14ac:dyDescent="0.2"/>
    <row r="5963" ht="12.75" hidden="1" x14ac:dyDescent="0.2"/>
    <row r="5964" ht="12.75" hidden="1" x14ac:dyDescent="0.2"/>
    <row r="5965" ht="12.75" hidden="1" x14ac:dyDescent="0.2"/>
    <row r="5966" ht="12.75" hidden="1" x14ac:dyDescent="0.2"/>
    <row r="5967" ht="12.75" hidden="1" x14ac:dyDescent="0.2"/>
    <row r="5968" ht="12.75" hidden="1" x14ac:dyDescent="0.2"/>
    <row r="5969" ht="12.75" hidden="1" x14ac:dyDescent="0.2"/>
    <row r="5970" ht="12.75" hidden="1" x14ac:dyDescent="0.2"/>
    <row r="5971" ht="12.75" hidden="1" x14ac:dyDescent="0.2"/>
    <row r="5972" ht="12.75" hidden="1" x14ac:dyDescent="0.2"/>
    <row r="5973" ht="12.75" hidden="1" x14ac:dyDescent="0.2"/>
    <row r="5974" ht="12.75" hidden="1" x14ac:dyDescent="0.2"/>
    <row r="5975" ht="12.75" hidden="1" x14ac:dyDescent="0.2"/>
    <row r="5976" ht="12.75" hidden="1" x14ac:dyDescent="0.2"/>
    <row r="5977" ht="12.75" hidden="1" x14ac:dyDescent="0.2"/>
    <row r="5978" ht="12.75" hidden="1" x14ac:dyDescent="0.2"/>
    <row r="5979" ht="12.75" hidden="1" x14ac:dyDescent="0.2"/>
    <row r="5980" ht="12.75" hidden="1" x14ac:dyDescent="0.2"/>
    <row r="5981" ht="12.75" hidden="1" x14ac:dyDescent="0.2"/>
    <row r="5982" ht="12.75" hidden="1" x14ac:dyDescent="0.2"/>
    <row r="5983" ht="12.75" hidden="1" x14ac:dyDescent="0.2"/>
    <row r="5984" ht="12.75" hidden="1" x14ac:dyDescent="0.2"/>
    <row r="5985" ht="12.75" hidden="1" x14ac:dyDescent="0.2"/>
    <row r="5986" ht="12.75" hidden="1" x14ac:dyDescent="0.2"/>
    <row r="5987" ht="12.75" hidden="1" x14ac:dyDescent="0.2"/>
    <row r="5988" ht="12.75" hidden="1" x14ac:dyDescent="0.2"/>
    <row r="5989" ht="12.75" hidden="1" x14ac:dyDescent="0.2"/>
    <row r="5990" ht="12.75" hidden="1" x14ac:dyDescent="0.2"/>
    <row r="5991" ht="12.75" hidden="1" x14ac:dyDescent="0.2"/>
    <row r="5992" ht="12.75" hidden="1" x14ac:dyDescent="0.2"/>
    <row r="5993" ht="12.75" hidden="1" x14ac:dyDescent="0.2"/>
    <row r="5994" ht="12.75" hidden="1" x14ac:dyDescent="0.2"/>
    <row r="5995" ht="12.75" hidden="1" x14ac:dyDescent="0.2"/>
    <row r="5996" ht="12.75" hidden="1" x14ac:dyDescent="0.2"/>
    <row r="5997" ht="12.75" hidden="1" x14ac:dyDescent="0.2"/>
    <row r="5998" ht="12.75" hidden="1" x14ac:dyDescent="0.2"/>
    <row r="5999" ht="12.75" hidden="1" x14ac:dyDescent="0.2"/>
    <row r="6000" ht="12.75" hidden="1" x14ac:dyDescent="0.2"/>
    <row r="6001" ht="12.75" hidden="1" x14ac:dyDescent="0.2"/>
    <row r="6002" ht="12.75" hidden="1" x14ac:dyDescent="0.2"/>
    <row r="6003" ht="12.75" hidden="1" x14ac:dyDescent="0.2"/>
    <row r="6004" ht="12.75" hidden="1" x14ac:dyDescent="0.2"/>
    <row r="6005" ht="12.75" hidden="1" x14ac:dyDescent="0.2"/>
    <row r="6006" ht="12.75" hidden="1" x14ac:dyDescent="0.2"/>
    <row r="6007" ht="12.75" hidden="1" x14ac:dyDescent="0.2"/>
    <row r="6008" ht="12.75" hidden="1" x14ac:dyDescent="0.2"/>
    <row r="6009" ht="12.75" hidden="1" x14ac:dyDescent="0.2"/>
    <row r="6010" ht="12.75" hidden="1" x14ac:dyDescent="0.2"/>
    <row r="6011" ht="12.75" hidden="1" x14ac:dyDescent="0.2"/>
    <row r="6012" ht="12.75" hidden="1" x14ac:dyDescent="0.2"/>
    <row r="6013" ht="12.75" hidden="1" x14ac:dyDescent="0.2"/>
    <row r="6014" ht="12.75" hidden="1" x14ac:dyDescent="0.2"/>
    <row r="6015" ht="12.75" hidden="1" x14ac:dyDescent="0.2"/>
    <row r="6016" ht="12.75" hidden="1" x14ac:dyDescent="0.2"/>
    <row r="6017" ht="12.75" hidden="1" x14ac:dyDescent="0.2"/>
    <row r="6018" ht="12.75" hidden="1" x14ac:dyDescent="0.2"/>
    <row r="6019" ht="12.75" hidden="1" x14ac:dyDescent="0.2"/>
    <row r="6020" ht="12.75" hidden="1" x14ac:dyDescent="0.2"/>
    <row r="6021" ht="12.75" hidden="1" x14ac:dyDescent="0.2"/>
    <row r="6022" ht="12.75" hidden="1" x14ac:dyDescent="0.2"/>
    <row r="6023" ht="12.75" hidden="1" x14ac:dyDescent="0.2"/>
    <row r="6024" ht="12.75" hidden="1" x14ac:dyDescent="0.2"/>
    <row r="6025" ht="12.75" hidden="1" x14ac:dyDescent="0.2"/>
    <row r="6026" ht="12.75" hidden="1" x14ac:dyDescent="0.2"/>
    <row r="6027" ht="12.75" hidden="1" x14ac:dyDescent="0.2"/>
    <row r="6028" ht="12.75" hidden="1" x14ac:dyDescent="0.2"/>
    <row r="6029" ht="12.75" hidden="1" x14ac:dyDescent="0.2"/>
    <row r="6030" ht="12.75" hidden="1" x14ac:dyDescent="0.2"/>
    <row r="6031" ht="12.75" hidden="1" x14ac:dyDescent="0.2"/>
    <row r="6032" ht="12.75" hidden="1" x14ac:dyDescent="0.2"/>
    <row r="6033" ht="12.75" hidden="1" x14ac:dyDescent="0.2"/>
    <row r="6034" ht="12.75" hidden="1" x14ac:dyDescent="0.2"/>
    <row r="6035" ht="12.75" hidden="1" x14ac:dyDescent="0.2"/>
    <row r="6036" ht="12.75" hidden="1" x14ac:dyDescent="0.2"/>
    <row r="6037" ht="12.75" hidden="1" x14ac:dyDescent="0.2"/>
    <row r="6038" ht="12.75" hidden="1" x14ac:dyDescent="0.2"/>
    <row r="6039" ht="12.75" hidden="1" x14ac:dyDescent="0.2"/>
    <row r="6040" ht="12.75" hidden="1" x14ac:dyDescent="0.2"/>
    <row r="6041" ht="12.75" hidden="1" x14ac:dyDescent="0.2"/>
    <row r="6042" ht="12.75" hidden="1" x14ac:dyDescent="0.2"/>
    <row r="6043" ht="12.75" hidden="1" x14ac:dyDescent="0.2"/>
    <row r="6044" ht="12.75" hidden="1" x14ac:dyDescent="0.2"/>
    <row r="6045" ht="12.75" hidden="1" x14ac:dyDescent="0.2"/>
    <row r="6046" ht="12.75" hidden="1" x14ac:dyDescent="0.2"/>
    <row r="6047" ht="12.75" hidden="1" x14ac:dyDescent="0.2"/>
    <row r="6048" ht="12.75" hidden="1" x14ac:dyDescent="0.2"/>
    <row r="6049" ht="12.75" hidden="1" x14ac:dyDescent="0.2"/>
    <row r="6050" ht="12.75" hidden="1" x14ac:dyDescent="0.2"/>
    <row r="6051" ht="12.75" hidden="1" x14ac:dyDescent="0.2"/>
    <row r="6052" ht="12.75" hidden="1" x14ac:dyDescent="0.2"/>
    <row r="6053" ht="12.75" hidden="1" x14ac:dyDescent="0.2"/>
    <row r="6054" ht="12.75" hidden="1" x14ac:dyDescent="0.2"/>
    <row r="6055" ht="12.75" hidden="1" x14ac:dyDescent="0.2"/>
    <row r="6056" ht="12.75" hidden="1" x14ac:dyDescent="0.2"/>
    <row r="6057" ht="12.75" hidden="1" x14ac:dyDescent="0.2"/>
    <row r="6058" ht="12.75" hidden="1" x14ac:dyDescent="0.2"/>
    <row r="6059" ht="12.75" hidden="1" x14ac:dyDescent="0.2"/>
    <row r="6060" ht="12.75" hidden="1" x14ac:dyDescent="0.2"/>
    <row r="6061" ht="12.75" hidden="1" x14ac:dyDescent="0.2"/>
    <row r="6062" ht="12.75" hidden="1" x14ac:dyDescent="0.2"/>
    <row r="6063" ht="12.75" hidden="1" x14ac:dyDescent="0.2"/>
    <row r="6064" ht="12.75" hidden="1" x14ac:dyDescent="0.2"/>
    <row r="6065" ht="12.75" hidden="1" x14ac:dyDescent="0.2"/>
    <row r="6066" ht="12.75" hidden="1" x14ac:dyDescent="0.2"/>
    <row r="6067" ht="12.75" hidden="1" x14ac:dyDescent="0.2"/>
    <row r="6068" ht="12.75" hidden="1" x14ac:dyDescent="0.2"/>
    <row r="6069" ht="12.75" hidden="1" x14ac:dyDescent="0.2"/>
    <row r="6070" ht="12.75" hidden="1" x14ac:dyDescent="0.2"/>
    <row r="6071" ht="12.75" hidden="1" x14ac:dyDescent="0.2"/>
    <row r="6072" ht="12.75" hidden="1" x14ac:dyDescent="0.2"/>
    <row r="6073" ht="12.75" hidden="1" x14ac:dyDescent="0.2"/>
    <row r="6074" ht="12.75" hidden="1" x14ac:dyDescent="0.2"/>
    <row r="6075" ht="12.75" hidden="1" x14ac:dyDescent="0.2"/>
    <row r="6076" ht="12.75" hidden="1" x14ac:dyDescent="0.2"/>
    <row r="6077" ht="12.75" hidden="1" x14ac:dyDescent="0.2"/>
    <row r="6078" ht="12.75" hidden="1" x14ac:dyDescent="0.2"/>
    <row r="6079" ht="12.75" hidden="1" x14ac:dyDescent="0.2"/>
    <row r="6080" ht="12.75" hidden="1" x14ac:dyDescent="0.2"/>
    <row r="6081" ht="12.75" hidden="1" x14ac:dyDescent="0.2"/>
    <row r="6082" ht="12.75" hidden="1" x14ac:dyDescent="0.2"/>
    <row r="6083" ht="12.75" hidden="1" x14ac:dyDescent="0.2"/>
    <row r="6084" ht="12.75" hidden="1" x14ac:dyDescent="0.2"/>
    <row r="6085" ht="12.75" hidden="1" x14ac:dyDescent="0.2"/>
    <row r="6086" ht="12.75" hidden="1" x14ac:dyDescent="0.2"/>
    <row r="6087" ht="12.75" hidden="1" x14ac:dyDescent="0.2"/>
    <row r="6088" ht="12.75" hidden="1" x14ac:dyDescent="0.2"/>
    <row r="6089" ht="12.75" hidden="1" x14ac:dyDescent="0.2"/>
    <row r="6090" ht="12.75" hidden="1" x14ac:dyDescent="0.2"/>
    <row r="6091" ht="12.75" hidden="1" x14ac:dyDescent="0.2"/>
    <row r="6092" ht="12.75" hidden="1" x14ac:dyDescent="0.2"/>
    <row r="6093" ht="12.75" hidden="1" x14ac:dyDescent="0.2"/>
    <row r="6094" ht="12.75" hidden="1" x14ac:dyDescent="0.2"/>
    <row r="6095" ht="12.75" hidden="1" x14ac:dyDescent="0.2"/>
    <row r="6096" ht="12.75" hidden="1" x14ac:dyDescent="0.2"/>
    <row r="6097" ht="12.75" hidden="1" x14ac:dyDescent="0.2"/>
    <row r="6098" ht="12.75" hidden="1" x14ac:dyDescent="0.2"/>
    <row r="6099" ht="12.75" hidden="1" x14ac:dyDescent="0.2"/>
    <row r="6100" ht="12.75" hidden="1" x14ac:dyDescent="0.2"/>
    <row r="6101" ht="12.75" hidden="1" x14ac:dyDescent="0.2"/>
    <row r="6102" ht="12.75" hidden="1" x14ac:dyDescent="0.2"/>
    <row r="6103" ht="12.75" hidden="1" x14ac:dyDescent="0.2"/>
    <row r="6104" ht="12.75" hidden="1" x14ac:dyDescent="0.2"/>
    <row r="6105" ht="12.75" hidden="1" x14ac:dyDescent="0.2"/>
    <row r="6106" ht="12.75" hidden="1" x14ac:dyDescent="0.2"/>
    <row r="6107" ht="12.75" hidden="1" x14ac:dyDescent="0.2"/>
    <row r="6108" ht="12.75" hidden="1" x14ac:dyDescent="0.2"/>
    <row r="6109" ht="12.75" hidden="1" x14ac:dyDescent="0.2"/>
    <row r="6110" ht="12.75" hidden="1" x14ac:dyDescent="0.2"/>
    <row r="6111" ht="12.75" hidden="1" x14ac:dyDescent="0.2"/>
    <row r="6112" ht="12.75" hidden="1" x14ac:dyDescent="0.2"/>
    <row r="6113" ht="12.75" hidden="1" x14ac:dyDescent="0.2"/>
    <row r="6114" ht="12.75" hidden="1" x14ac:dyDescent="0.2"/>
    <row r="6115" ht="12.75" hidden="1" x14ac:dyDescent="0.2"/>
    <row r="6116" ht="12.75" hidden="1" x14ac:dyDescent="0.2"/>
    <row r="6117" ht="12.75" hidden="1" x14ac:dyDescent="0.2"/>
    <row r="6118" ht="12.75" hidden="1" x14ac:dyDescent="0.2"/>
    <row r="6119" ht="12.75" hidden="1" x14ac:dyDescent="0.2"/>
    <row r="6120" ht="12.75" hidden="1" x14ac:dyDescent="0.2"/>
    <row r="6121" ht="12.75" hidden="1" x14ac:dyDescent="0.2"/>
    <row r="6122" ht="12.75" hidden="1" x14ac:dyDescent="0.2"/>
    <row r="6123" ht="12.75" hidden="1" x14ac:dyDescent="0.2"/>
    <row r="6124" ht="12.75" hidden="1" x14ac:dyDescent="0.2"/>
    <row r="6125" ht="12.75" hidden="1" x14ac:dyDescent="0.2"/>
    <row r="6126" ht="12.75" hidden="1" x14ac:dyDescent="0.2"/>
    <row r="6127" ht="12.75" hidden="1" x14ac:dyDescent="0.2"/>
    <row r="6128" ht="12.75" hidden="1" x14ac:dyDescent="0.2"/>
    <row r="6129" ht="12.75" hidden="1" x14ac:dyDescent="0.2"/>
    <row r="6130" ht="12.75" hidden="1" x14ac:dyDescent="0.2"/>
    <row r="6131" ht="12.75" hidden="1" x14ac:dyDescent="0.2"/>
    <row r="6132" ht="12.75" hidden="1" x14ac:dyDescent="0.2"/>
    <row r="6133" ht="12.75" hidden="1" x14ac:dyDescent="0.2"/>
    <row r="6134" ht="12.75" hidden="1" x14ac:dyDescent="0.2"/>
    <row r="6135" ht="12.75" hidden="1" x14ac:dyDescent="0.2"/>
    <row r="6136" ht="12.75" hidden="1" x14ac:dyDescent="0.2"/>
    <row r="6137" ht="12.75" hidden="1" x14ac:dyDescent="0.2"/>
    <row r="6138" ht="12.75" hidden="1" x14ac:dyDescent="0.2"/>
    <row r="6139" ht="12.75" hidden="1" x14ac:dyDescent="0.2"/>
    <row r="6140" ht="12.75" hidden="1" x14ac:dyDescent="0.2"/>
    <row r="6141" ht="12.75" hidden="1" x14ac:dyDescent="0.2"/>
    <row r="6142" ht="12.75" hidden="1" x14ac:dyDescent="0.2"/>
    <row r="6143" ht="12.75" hidden="1" x14ac:dyDescent="0.2"/>
    <row r="6144" ht="12.75" hidden="1" x14ac:dyDescent="0.2"/>
    <row r="6145" ht="12.75" hidden="1" x14ac:dyDescent="0.2"/>
    <row r="6146" ht="12.75" hidden="1" x14ac:dyDescent="0.2"/>
    <row r="6147" ht="12.75" hidden="1" x14ac:dyDescent="0.2"/>
    <row r="6148" ht="12.75" hidden="1" x14ac:dyDescent="0.2"/>
    <row r="6149" ht="12.75" hidden="1" x14ac:dyDescent="0.2"/>
    <row r="6150" ht="12.75" hidden="1" x14ac:dyDescent="0.2"/>
    <row r="6151" ht="12.75" hidden="1" x14ac:dyDescent="0.2"/>
    <row r="6152" ht="12.75" hidden="1" x14ac:dyDescent="0.2"/>
    <row r="6153" ht="12.75" hidden="1" x14ac:dyDescent="0.2"/>
    <row r="6154" ht="12.75" hidden="1" x14ac:dyDescent="0.2"/>
    <row r="6155" ht="12.75" hidden="1" x14ac:dyDescent="0.2"/>
    <row r="6156" ht="12.75" hidden="1" x14ac:dyDescent="0.2"/>
    <row r="6157" ht="12.75" hidden="1" x14ac:dyDescent="0.2"/>
    <row r="6158" ht="12.75" hidden="1" x14ac:dyDescent="0.2"/>
    <row r="6159" ht="12.75" hidden="1" x14ac:dyDescent="0.2"/>
    <row r="6160" ht="12.75" hidden="1" x14ac:dyDescent="0.2"/>
    <row r="6161" ht="12.75" hidden="1" x14ac:dyDescent="0.2"/>
    <row r="6162" ht="12.75" hidden="1" x14ac:dyDescent="0.2"/>
    <row r="6163" ht="12.75" hidden="1" x14ac:dyDescent="0.2"/>
    <row r="6164" ht="12.75" hidden="1" x14ac:dyDescent="0.2"/>
    <row r="6165" ht="12.75" hidden="1" x14ac:dyDescent="0.2"/>
    <row r="6166" ht="12.75" hidden="1" x14ac:dyDescent="0.2"/>
    <row r="6167" ht="12.75" hidden="1" x14ac:dyDescent="0.2"/>
    <row r="6168" ht="12.75" hidden="1" x14ac:dyDescent="0.2"/>
    <row r="6169" ht="12.75" hidden="1" x14ac:dyDescent="0.2"/>
    <row r="6170" ht="12.75" hidden="1" x14ac:dyDescent="0.2"/>
    <row r="6171" ht="12.75" hidden="1" x14ac:dyDescent="0.2"/>
    <row r="6172" ht="12.75" hidden="1" x14ac:dyDescent="0.2"/>
    <row r="6173" ht="12.75" hidden="1" x14ac:dyDescent="0.2"/>
    <row r="6174" ht="12.75" hidden="1" x14ac:dyDescent="0.2"/>
    <row r="6175" ht="12.75" hidden="1" x14ac:dyDescent="0.2"/>
    <row r="6176" ht="12.75" hidden="1" x14ac:dyDescent="0.2"/>
    <row r="6177" ht="12.75" hidden="1" x14ac:dyDescent="0.2"/>
    <row r="6178" ht="12.75" hidden="1" x14ac:dyDescent="0.2"/>
    <row r="6179" ht="12.75" hidden="1" x14ac:dyDescent="0.2"/>
    <row r="6180" ht="12.75" hidden="1" x14ac:dyDescent="0.2"/>
    <row r="6181" ht="12.75" hidden="1" x14ac:dyDescent="0.2"/>
    <row r="6182" ht="12.75" hidden="1" x14ac:dyDescent="0.2"/>
    <row r="6183" ht="12.75" hidden="1" x14ac:dyDescent="0.2"/>
    <row r="6184" ht="12.75" hidden="1" x14ac:dyDescent="0.2"/>
    <row r="6185" ht="12.75" hidden="1" x14ac:dyDescent="0.2"/>
    <row r="6186" ht="12.75" hidden="1" x14ac:dyDescent="0.2"/>
    <row r="6187" ht="12.75" hidden="1" x14ac:dyDescent="0.2"/>
    <row r="6188" ht="12.75" hidden="1" x14ac:dyDescent="0.2"/>
    <row r="6189" ht="12.75" hidden="1" x14ac:dyDescent="0.2"/>
    <row r="6190" ht="12.75" hidden="1" x14ac:dyDescent="0.2"/>
    <row r="6191" ht="12.75" hidden="1" x14ac:dyDescent="0.2"/>
    <row r="6192" ht="12.75" hidden="1" x14ac:dyDescent="0.2"/>
    <row r="6193" ht="12.75" hidden="1" x14ac:dyDescent="0.2"/>
    <row r="6194" ht="12.75" hidden="1" x14ac:dyDescent="0.2"/>
    <row r="6195" ht="12.75" hidden="1" x14ac:dyDescent="0.2"/>
    <row r="6196" ht="12.75" hidden="1" x14ac:dyDescent="0.2"/>
    <row r="6197" ht="12.75" hidden="1" x14ac:dyDescent="0.2"/>
    <row r="6198" ht="12.75" hidden="1" x14ac:dyDescent="0.2"/>
    <row r="6199" ht="12.75" hidden="1" x14ac:dyDescent="0.2"/>
    <row r="6200" ht="12.75" hidden="1" x14ac:dyDescent="0.2"/>
    <row r="6201" ht="12.75" hidden="1" x14ac:dyDescent="0.2"/>
    <row r="6202" ht="12.75" hidden="1" x14ac:dyDescent="0.2"/>
    <row r="6203" ht="12.75" hidden="1" x14ac:dyDescent="0.2"/>
    <row r="6204" ht="12.75" hidden="1" x14ac:dyDescent="0.2"/>
    <row r="6205" ht="12.75" hidden="1" x14ac:dyDescent="0.2"/>
    <row r="6206" ht="12.75" hidden="1" x14ac:dyDescent="0.2"/>
    <row r="6207" ht="12.75" hidden="1" x14ac:dyDescent="0.2"/>
    <row r="6208" ht="12.75" hidden="1" x14ac:dyDescent="0.2"/>
    <row r="6209" ht="12.75" hidden="1" x14ac:dyDescent="0.2"/>
    <row r="6210" ht="12.75" hidden="1" x14ac:dyDescent="0.2"/>
    <row r="6211" ht="12.75" hidden="1" x14ac:dyDescent="0.2"/>
    <row r="6212" ht="12.75" hidden="1" x14ac:dyDescent="0.2"/>
    <row r="6213" ht="12.75" hidden="1" x14ac:dyDescent="0.2"/>
    <row r="6214" ht="12.75" hidden="1" x14ac:dyDescent="0.2"/>
    <row r="6215" ht="12.75" hidden="1" x14ac:dyDescent="0.2"/>
    <row r="6216" ht="12.75" hidden="1" x14ac:dyDescent="0.2"/>
    <row r="6217" ht="12.75" hidden="1" x14ac:dyDescent="0.2"/>
    <row r="6218" ht="12.75" hidden="1" x14ac:dyDescent="0.2"/>
    <row r="6219" ht="12.75" hidden="1" x14ac:dyDescent="0.2"/>
    <row r="6220" ht="12.75" hidden="1" x14ac:dyDescent="0.2"/>
    <row r="6221" ht="12.75" hidden="1" x14ac:dyDescent="0.2"/>
    <row r="6222" ht="12.75" hidden="1" x14ac:dyDescent="0.2"/>
    <row r="6223" ht="12.75" hidden="1" x14ac:dyDescent="0.2"/>
    <row r="6224" ht="12.75" hidden="1" x14ac:dyDescent="0.2"/>
    <row r="6225" ht="12.75" hidden="1" x14ac:dyDescent="0.2"/>
    <row r="6226" ht="12.75" hidden="1" x14ac:dyDescent="0.2"/>
    <row r="6227" ht="12.75" hidden="1" x14ac:dyDescent="0.2"/>
    <row r="6228" ht="12.75" hidden="1" x14ac:dyDescent="0.2"/>
    <row r="6229" ht="12.75" hidden="1" x14ac:dyDescent="0.2"/>
    <row r="6230" ht="12.75" hidden="1" x14ac:dyDescent="0.2"/>
    <row r="6231" ht="12.75" hidden="1" x14ac:dyDescent="0.2"/>
    <row r="6232" ht="12.75" hidden="1" x14ac:dyDescent="0.2"/>
    <row r="6233" ht="12.75" hidden="1" x14ac:dyDescent="0.2"/>
    <row r="6234" ht="12.75" hidden="1" x14ac:dyDescent="0.2"/>
    <row r="6235" ht="12.75" hidden="1" x14ac:dyDescent="0.2"/>
    <row r="6236" ht="12.75" hidden="1" x14ac:dyDescent="0.2"/>
    <row r="6237" ht="12.75" hidden="1" x14ac:dyDescent="0.2"/>
    <row r="6238" ht="12.75" hidden="1" x14ac:dyDescent="0.2"/>
    <row r="6239" ht="12.75" hidden="1" x14ac:dyDescent="0.2"/>
    <row r="6240" ht="12.75" hidden="1" x14ac:dyDescent="0.2"/>
    <row r="6241" ht="12.75" hidden="1" x14ac:dyDescent="0.2"/>
    <row r="6242" ht="12.75" hidden="1" x14ac:dyDescent="0.2"/>
    <row r="6243" ht="12.75" hidden="1" x14ac:dyDescent="0.2"/>
    <row r="6244" ht="12.75" hidden="1" x14ac:dyDescent="0.2"/>
    <row r="6245" ht="12.75" hidden="1" x14ac:dyDescent="0.2"/>
    <row r="6246" ht="12.75" hidden="1" x14ac:dyDescent="0.2"/>
    <row r="6247" ht="12.75" hidden="1" x14ac:dyDescent="0.2"/>
    <row r="6248" ht="12.75" hidden="1" x14ac:dyDescent="0.2"/>
    <row r="6249" ht="12.75" hidden="1" x14ac:dyDescent="0.2"/>
    <row r="6250" ht="12.75" hidden="1" x14ac:dyDescent="0.2"/>
    <row r="6251" ht="12.75" hidden="1" x14ac:dyDescent="0.2"/>
    <row r="6252" ht="12.75" hidden="1" x14ac:dyDescent="0.2"/>
    <row r="6253" ht="12.75" hidden="1" x14ac:dyDescent="0.2"/>
    <row r="6254" ht="12.75" hidden="1" x14ac:dyDescent="0.2"/>
    <row r="6255" ht="12.75" hidden="1" x14ac:dyDescent="0.2"/>
    <row r="6256" ht="12.75" hidden="1" x14ac:dyDescent="0.2"/>
    <row r="6257" ht="12.75" hidden="1" x14ac:dyDescent="0.2"/>
    <row r="6258" ht="12.75" hidden="1" x14ac:dyDescent="0.2"/>
    <row r="6259" ht="12.75" hidden="1" x14ac:dyDescent="0.2"/>
    <row r="6260" ht="12.75" hidden="1" x14ac:dyDescent="0.2"/>
    <row r="6261" ht="12.75" hidden="1" x14ac:dyDescent="0.2"/>
    <row r="6262" ht="12.75" hidden="1" x14ac:dyDescent="0.2"/>
    <row r="6263" ht="12.75" hidden="1" x14ac:dyDescent="0.2"/>
    <row r="6264" ht="12.75" hidden="1" x14ac:dyDescent="0.2"/>
    <row r="6265" ht="12.75" hidden="1" x14ac:dyDescent="0.2"/>
    <row r="6266" ht="12.75" hidden="1" x14ac:dyDescent="0.2"/>
    <row r="6267" ht="12.75" hidden="1" x14ac:dyDescent="0.2"/>
    <row r="6268" ht="12.75" hidden="1" x14ac:dyDescent="0.2"/>
    <row r="6269" ht="12.75" hidden="1" x14ac:dyDescent="0.2"/>
    <row r="6270" ht="12.75" hidden="1" x14ac:dyDescent="0.2"/>
    <row r="6271" ht="12.75" hidden="1" x14ac:dyDescent="0.2"/>
    <row r="6272" ht="12.75" hidden="1" x14ac:dyDescent="0.2"/>
    <row r="6273" ht="12.75" hidden="1" x14ac:dyDescent="0.2"/>
    <row r="6274" ht="12.75" hidden="1" x14ac:dyDescent="0.2"/>
    <row r="6275" ht="12.75" hidden="1" x14ac:dyDescent="0.2"/>
    <row r="6276" ht="12.75" hidden="1" x14ac:dyDescent="0.2"/>
    <row r="6277" ht="12.75" hidden="1" x14ac:dyDescent="0.2"/>
    <row r="6278" ht="12.75" hidden="1" x14ac:dyDescent="0.2"/>
    <row r="6279" ht="12.75" hidden="1" x14ac:dyDescent="0.2"/>
    <row r="6280" ht="12.75" hidden="1" x14ac:dyDescent="0.2"/>
    <row r="6281" ht="12.75" hidden="1" x14ac:dyDescent="0.2"/>
    <row r="6282" ht="12.75" hidden="1" x14ac:dyDescent="0.2"/>
    <row r="6283" ht="12.75" hidden="1" x14ac:dyDescent="0.2"/>
    <row r="6284" ht="12.75" hidden="1" x14ac:dyDescent="0.2"/>
    <row r="6285" ht="12.75" hidden="1" x14ac:dyDescent="0.2"/>
    <row r="6286" ht="12.75" hidden="1" x14ac:dyDescent="0.2"/>
    <row r="6287" ht="12.75" hidden="1" x14ac:dyDescent="0.2"/>
    <row r="6288" ht="12.75" hidden="1" x14ac:dyDescent="0.2"/>
    <row r="6289" ht="12.75" hidden="1" x14ac:dyDescent="0.2"/>
    <row r="6290" ht="12.75" hidden="1" x14ac:dyDescent="0.2"/>
    <row r="6291" ht="12.75" hidden="1" x14ac:dyDescent="0.2"/>
    <row r="6292" ht="12.75" hidden="1" x14ac:dyDescent="0.2"/>
    <row r="6293" ht="12.75" hidden="1" x14ac:dyDescent="0.2"/>
    <row r="6294" ht="12.75" hidden="1" x14ac:dyDescent="0.2"/>
    <row r="6295" ht="12.75" hidden="1" x14ac:dyDescent="0.2"/>
    <row r="6296" ht="12.75" hidden="1" x14ac:dyDescent="0.2"/>
    <row r="6297" ht="12.75" hidden="1" x14ac:dyDescent="0.2"/>
    <row r="6298" ht="12.75" hidden="1" x14ac:dyDescent="0.2"/>
    <row r="6299" ht="12.75" hidden="1" x14ac:dyDescent="0.2"/>
    <row r="6300" ht="12.75" hidden="1" x14ac:dyDescent="0.2"/>
    <row r="6301" ht="12.75" hidden="1" x14ac:dyDescent="0.2"/>
    <row r="6302" ht="12.75" hidden="1" x14ac:dyDescent="0.2"/>
    <row r="6303" ht="12.75" hidden="1" x14ac:dyDescent="0.2"/>
    <row r="6304" ht="12.75" hidden="1" x14ac:dyDescent="0.2"/>
    <row r="6305" ht="12.75" hidden="1" x14ac:dyDescent="0.2"/>
    <row r="6306" ht="12.75" hidden="1" x14ac:dyDescent="0.2"/>
    <row r="6307" ht="12.75" hidden="1" x14ac:dyDescent="0.2"/>
    <row r="6308" ht="12.75" hidden="1" x14ac:dyDescent="0.2"/>
    <row r="6309" ht="12.75" hidden="1" x14ac:dyDescent="0.2"/>
    <row r="6310" ht="12.75" hidden="1" x14ac:dyDescent="0.2"/>
    <row r="6311" ht="12.75" hidden="1" x14ac:dyDescent="0.2"/>
    <row r="6312" ht="12.75" hidden="1" x14ac:dyDescent="0.2"/>
    <row r="6313" ht="12.75" hidden="1" x14ac:dyDescent="0.2"/>
    <row r="6314" ht="12.75" hidden="1" x14ac:dyDescent="0.2"/>
    <row r="6315" ht="12.75" hidden="1" x14ac:dyDescent="0.2"/>
    <row r="6316" ht="12.75" hidden="1" x14ac:dyDescent="0.2"/>
    <row r="6317" ht="12.75" hidden="1" x14ac:dyDescent="0.2"/>
    <row r="6318" ht="12.75" hidden="1" x14ac:dyDescent="0.2"/>
    <row r="6319" ht="12.75" hidden="1" x14ac:dyDescent="0.2"/>
    <row r="6320" ht="12.75" hidden="1" x14ac:dyDescent="0.2"/>
    <row r="6321" ht="12.75" hidden="1" x14ac:dyDescent="0.2"/>
    <row r="6322" ht="12.75" hidden="1" x14ac:dyDescent="0.2"/>
    <row r="6323" ht="12.75" hidden="1" x14ac:dyDescent="0.2"/>
    <row r="6324" ht="12.75" hidden="1" x14ac:dyDescent="0.2"/>
    <row r="6325" ht="12.75" hidden="1" x14ac:dyDescent="0.2"/>
    <row r="6326" ht="12.75" hidden="1" x14ac:dyDescent="0.2"/>
    <row r="6327" ht="12.75" hidden="1" x14ac:dyDescent="0.2"/>
    <row r="6328" ht="12.75" hidden="1" x14ac:dyDescent="0.2"/>
    <row r="6329" ht="12.75" hidden="1" x14ac:dyDescent="0.2"/>
    <row r="6330" ht="12.75" hidden="1" x14ac:dyDescent="0.2"/>
    <row r="6331" ht="12.75" hidden="1" x14ac:dyDescent="0.2"/>
    <row r="6332" ht="12.75" hidden="1" x14ac:dyDescent="0.2"/>
    <row r="6333" ht="12.75" hidden="1" x14ac:dyDescent="0.2"/>
    <row r="6334" ht="12.75" hidden="1" x14ac:dyDescent="0.2"/>
    <row r="6335" ht="12.75" hidden="1" x14ac:dyDescent="0.2"/>
    <row r="6336" ht="12.75" hidden="1" x14ac:dyDescent="0.2"/>
    <row r="6337" ht="12.75" hidden="1" x14ac:dyDescent="0.2"/>
    <row r="6338" ht="12.75" hidden="1" x14ac:dyDescent="0.2"/>
    <row r="6339" ht="12.75" hidden="1" x14ac:dyDescent="0.2"/>
    <row r="6340" ht="12.75" hidden="1" x14ac:dyDescent="0.2"/>
    <row r="6341" ht="12.75" hidden="1" x14ac:dyDescent="0.2"/>
    <row r="6342" ht="12.75" hidden="1" x14ac:dyDescent="0.2"/>
    <row r="6343" ht="12.75" hidden="1" x14ac:dyDescent="0.2"/>
    <row r="6344" ht="12.75" hidden="1" x14ac:dyDescent="0.2"/>
    <row r="6345" ht="12.75" hidden="1" x14ac:dyDescent="0.2"/>
    <row r="6346" ht="12.75" hidden="1" x14ac:dyDescent="0.2"/>
    <row r="6347" ht="12.75" hidden="1" x14ac:dyDescent="0.2"/>
    <row r="6348" ht="12.75" hidden="1" x14ac:dyDescent="0.2"/>
    <row r="6349" ht="12.75" hidden="1" x14ac:dyDescent="0.2"/>
    <row r="6350" ht="12.75" hidden="1" x14ac:dyDescent="0.2"/>
    <row r="6351" ht="12.75" hidden="1" x14ac:dyDescent="0.2"/>
    <row r="6352" ht="12.75" hidden="1" x14ac:dyDescent="0.2"/>
    <row r="6353" ht="12.75" hidden="1" x14ac:dyDescent="0.2"/>
    <row r="6354" ht="12.75" hidden="1" x14ac:dyDescent="0.2"/>
    <row r="6355" ht="12.75" hidden="1" x14ac:dyDescent="0.2"/>
    <row r="6356" ht="12.75" hidden="1" x14ac:dyDescent="0.2"/>
    <row r="6357" ht="12.75" hidden="1" x14ac:dyDescent="0.2"/>
    <row r="6358" ht="12.75" hidden="1" x14ac:dyDescent="0.2"/>
    <row r="6359" ht="12.75" hidden="1" x14ac:dyDescent="0.2"/>
    <row r="6360" ht="12.75" hidden="1" x14ac:dyDescent="0.2"/>
    <row r="6361" ht="12.75" hidden="1" x14ac:dyDescent="0.2"/>
    <row r="6362" ht="12.75" hidden="1" x14ac:dyDescent="0.2"/>
    <row r="6363" ht="12.75" hidden="1" x14ac:dyDescent="0.2"/>
    <row r="6364" ht="12.75" hidden="1" x14ac:dyDescent="0.2"/>
    <row r="6365" ht="12.75" hidden="1" x14ac:dyDescent="0.2"/>
    <row r="6366" ht="12.75" hidden="1" x14ac:dyDescent="0.2"/>
    <row r="6367" ht="12.75" hidden="1" x14ac:dyDescent="0.2"/>
    <row r="6368" ht="12.75" hidden="1" x14ac:dyDescent="0.2"/>
    <row r="6369" ht="12.75" hidden="1" x14ac:dyDescent="0.2"/>
    <row r="6370" ht="12.75" hidden="1" x14ac:dyDescent="0.2"/>
    <row r="6371" ht="12.75" hidden="1" x14ac:dyDescent="0.2"/>
    <row r="6372" ht="12.75" hidden="1" x14ac:dyDescent="0.2"/>
    <row r="6373" ht="12.75" hidden="1" x14ac:dyDescent="0.2"/>
    <row r="6374" ht="12.75" hidden="1" x14ac:dyDescent="0.2"/>
    <row r="6375" ht="12.75" hidden="1" x14ac:dyDescent="0.2"/>
    <row r="6376" ht="12.75" hidden="1" x14ac:dyDescent="0.2"/>
    <row r="6377" ht="12.75" hidden="1" x14ac:dyDescent="0.2"/>
    <row r="6378" ht="12.75" hidden="1" x14ac:dyDescent="0.2"/>
    <row r="6379" ht="12.75" hidden="1" x14ac:dyDescent="0.2"/>
    <row r="6380" ht="12.75" hidden="1" x14ac:dyDescent="0.2"/>
    <row r="6381" ht="12.75" hidden="1" x14ac:dyDescent="0.2"/>
    <row r="6382" ht="12.75" hidden="1" x14ac:dyDescent="0.2"/>
    <row r="6383" ht="12.75" hidden="1" x14ac:dyDescent="0.2"/>
    <row r="6384" ht="12.75" hidden="1" x14ac:dyDescent="0.2"/>
    <row r="6385" ht="12.75" hidden="1" x14ac:dyDescent="0.2"/>
    <row r="6386" ht="12.75" hidden="1" x14ac:dyDescent="0.2"/>
    <row r="6387" ht="12.75" hidden="1" x14ac:dyDescent="0.2"/>
    <row r="6388" ht="12.75" hidden="1" x14ac:dyDescent="0.2"/>
    <row r="6389" ht="12.75" hidden="1" x14ac:dyDescent="0.2"/>
    <row r="6390" ht="12.75" hidden="1" x14ac:dyDescent="0.2"/>
    <row r="6391" ht="12.75" hidden="1" x14ac:dyDescent="0.2"/>
    <row r="6392" ht="12.75" hidden="1" x14ac:dyDescent="0.2"/>
    <row r="6393" ht="12.75" hidden="1" x14ac:dyDescent="0.2"/>
    <row r="6394" ht="12.75" hidden="1" x14ac:dyDescent="0.2"/>
    <row r="6395" ht="12.75" hidden="1" x14ac:dyDescent="0.2"/>
    <row r="6396" ht="12.75" hidden="1" x14ac:dyDescent="0.2"/>
    <row r="6397" ht="12.75" hidden="1" x14ac:dyDescent="0.2"/>
    <row r="6398" ht="12.75" hidden="1" x14ac:dyDescent="0.2"/>
    <row r="6399" ht="12.75" hidden="1" x14ac:dyDescent="0.2"/>
    <row r="6400" ht="12.75" hidden="1" x14ac:dyDescent="0.2"/>
    <row r="6401" ht="12.75" hidden="1" x14ac:dyDescent="0.2"/>
    <row r="6402" ht="12.75" hidden="1" x14ac:dyDescent="0.2"/>
    <row r="6403" ht="12.75" hidden="1" x14ac:dyDescent="0.2"/>
    <row r="6404" ht="12.75" hidden="1" x14ac:dyDescent="0.2"/>
    <row r="6405" ht="12.75" hidden="1" x14ac:dyDescent="0.2"/>
    <row r="6406" ht="12.75" hidden="1" x14ac:dyDescent="0.2"/>
    <row r="6407" ht="12.75" hidden="1" x14ac:dyDescent="0.2"/>
    <row r="6408" ht="12.75" hidden="1" x14ac:dyDescent="0.2"/>
    <row r="6409" ht="12.75" hidden="1" x14ac:dyDescent="0.2"/>
    <row r="6410" ht="12.75" hidden="1" x14ac:dyDescent="0.2"/>
    <row r="6411" ht="12.75" hidden="1" x14ac:dyDescent="0.2"/>
    <row r="6412" ht="12.75" hidden="1" x14ac:dyDescent="0.2"/>
    <row r="6413" ht="12.75" hidden="1" x14ac:dyDescent="0.2"/>
    <row r="6414" ht="12.75" hidden="1" x14ac:dyDescent="0.2"/>
    <row r="6415" ht="12.75" hidden="1" x14ac:dyDescent="0.2"/>
    <row r="6416" ht="12.75" hidden="1" x14ac:dyDescent="0.2"/>
    <row r="6417" ht="12.75" hidden="1" x14ac:dyDescent="0.2"/>
    <row r="6418" ht="12.75" hidden="1" x14ac:dyDescent="0.2"/>
    <row r="6419" ht="12.75" hidden="1" x14ac:dyDescent="0.2"/>
    <row r="6420" ht="12.75" hidden="1" x14ac:dyDescent="0.2"/>
    <row r="6421" ht="12.75" hidden="1" x14ac:dyDescent="0.2"/>
    <row r="6422" ht="12.75" hidden="1" x14ac:dyDescent="0.2"/>
    <row r="6423" ht="12.75" hidden="1" x14ac:dyDescent="0.2"/>
    <row r="6424" ht="12.75" hidden="1" x14ac:dyDescent="0.2"/>
    <row r="6425" ht="12.75" hidden="1" x14ac:dyDescent="0.2"/>
    <row r="6426" ht="12.75" hidden="1" x14ac:dyDescent="0.2"/>
    <row r="6427" ht="12.75" hidden="1" x14ac:dyDescent="0.2"/>
    <row r="6428" ht="12.75" hidden="1" x14ac:dyDescent="0.2"/>
    <row r="6429" ht="12.75" hidden="1" x14ac:dyDescent="0.2"/>
    <row r="6430" ht="12.75" hidden="1" x14ac:dyDescent="0.2"/>
    <row r="6431" ht="12.75" hidden="1" x14ac:dyDescent="0.2"/>
    <row r="6432" ht="12.75" hidden="1" x14ac:dyDescent="0.2"/>
    <row r="6433" ht="12.75" hidden="1" x14ac:dyDescent="0.2"/>
    <row r="6434" ht="12.75" hidden="1" x14ac:dyDescent="0.2"/>
    <row r="6435" ht="12.75" hidden="1" x14ac:dyDescent="0.2"/>
    <row r="6436" ht="12.75" hidden="1" x14ac:dyDescent="0.2"/>
    <row r="6437" ht="12.75" hidden="1" x14ac:dyDescent="0.2"/>
    <row r="6438" ht="12.75" hidden="1" x14ac:dyDescent="0.2"/>
    <row r="6439" ht="12.75" hidden="1" x14ac:dyDescent="0.2"/>
    <row r="6440" ht="12.75" hidden="1" x14ac:dyDescent="0.2"/>
    <row r="6441" ht="12.75" hidden="1" x14ac:dyDescent="0.2"/>
    <row r="6442" ht="12.75" hidden="1" x14ac:dyDescent="0.2"/>
    <row r="6443" ht="12.75" hidden="1" x14ac:dyDescent="0.2"/>
    <row r="6444" ht="12.75" hidden="1" x14ac:dyDescent="0.2"/>
    <row r="6445" ht="12.75" hidden="1" x14ac:dyDescent="0.2"/>
    <row r="6446" ht="12.75" hidden="1" x14ac:dyDescent="0.2"/>
    <row r="6447" ht="12.75" hidden="1" x14ac:dyDescent="0.2"/>
    <row r="6448" ht="12.75" hidden="1" x14ac:dyDescent="0.2"/>
    <row r="6449" ht="12.75" hidden="1" x14ac:dyDescent="0.2"/>
    <row r="6450" ht="12.75" hidden="1" x14ac:dyDescent="0.2"/>
    <row r="6451" ht="12.75" hidden="1" x14ac:dyDescent="0.2"/>
    <row r="6452" ht="12.75" hidden="1" x14ac:dyDescent="0.2"/>
    <row r="6453" ht="12.75" hidden="1" x14ac:dyDescent="0.2"/>
    <row r="6454" ht="12.75" hidden="1" x14ac:dyDescent="0.2"/>
    <row r="6455" ht="12.75" hidden="1" x14ac:dyDescent="0.2"/>
    <row r="6456" ht="12.75" hidden="1" x14ac:dyDescent="0.2"/>
    <row r="6457" ht="12.75" hidden="1" x14ac:dyDescent="0.2"/>
    <row r="6458" ht="12.75" hidden="1" x14ac:dyDescent="0.2"/>
    <row r="6459" ht="12.75" hidden="1" x14ac:dyDescent="0.2"/>
    <row r="6460" ht="12.75" hidden="1" x14ac:dyDescent="0.2"/>
    <row r="6461" ht="12.75" hidden="1" x14ac:dyDescent="0.2"/>
    <row r="6462" ht="12.75" hidden="1" x14ac:dyDescent="0.2"/>
    <row r="6463" ht="12.75" hidden="1" x14ac:dyDescent="0.2"/>
    <row r="6464" ht="12.75" hidden="1" x14ac:dyDescent="0.2"/>
    <row r="6465" ht="12.75" hidden="1" x14ac:dyDescent="0.2"/>
    <row r="6466" ht="12.75" hidden="1" x14ac:dyDescent="0.2"/>
    <row r="6467" ht="12.75" hidden="1" x14ac:dyDescent="0.2"/>
    <row r="6468" ht="12.75" hidden="1" x14ac:dyDescent="0.2"/>
    <row r="6469" ht="12.75" hidden="1" x14ac:dyDescent="0.2"/>
    <row r="6470" ht="12.75" hidden="1" x14ac:dyDescent="0.2"/>
    <row r="6471" ht="12.75" hidden="1" x14ac:dyDescent="0.2"/>
    <row r="6472" ht="12.75" hidden="1" x14ac:dyDescent="0.2"/>
    <row r="6473" ht="12.75" hidden="1" x14ac:dyDescent="0.2"/>
    <row r="6474" ht="12.75" hidden="1" x14ac:dyDescent="0.2"/>
    <row r="6475" ht="12.75" hidden="1" x14ac:dyDescent="0.2"/>
    <row r="6476" ht="12.75" hidden="1" x14ac:dyDescent="0.2"/>
    <row r="6477" ht="12.75" hidden="1" x14ac:dyDescent="0.2"/>
    <row r="6478" ht="12.75" hidden="1" x14ac:dyDescent="0.2"/>
    <row r="6479" ht="12.75" hidden="1" x14ac:dyDescent="0.2"/>
    <row r="6480" ht="12.75" hidden="1" x14ac:dyDescent="0.2"/>
    <row r="6481" ht="12.75" hidden="1" x14ac:dyDescent="0.2"/>
    <row r="6482" ht="12.75" hidden="1" x14ac:dyDescent="0.2"/>
    <row r="6483" ht="12.75" hidden="1" x14ac:dyDescent="0.2"/>
    <row r="6484" ht="12.75" hidden="1" x14ac:dyDescent="0.2"/>
    <row r="6485" ht="12.75" hidden="1" x14ac:dyDescent="0.2"/>
    <row r="6486" ht="12.75" hidden="1" x14ac:dyDescent="0.2"/>
    <row r="6487" ht="12.75" hidden="1" x14ac:dyDescent="0.2"/>
    <row r="6488" ht="12.75" hidden="1" x14ac:dyDescent="0.2"/>
    <row r="6489" ht="12.75" hidden="1" x14ac:dyDescent="0.2"/>
    <row r="6490" ht="12.75" hidden="1" x14ac:dyDescent="0.2"/>
    <row r="6491" ht="12.75" hidden="1" x14ac:dyDescent="0.2"/>
    <row r="6492" ht="12.75" hidden="1" x14ac:dyDescent="0.2"/>
    <row r="6493" ht="12.75" hidden="1" x14ac:dyDescent="0.2"/>
    <row r="6494" ht="12.75" hidden="1" x14ac:dyDescent="0.2"/>
    <row r="6495" ht="12.75" hidden="1" x14ac:dyDescent="0.2"/>
    <row r="6496" ht="12.75" hidden="1" x14ac:dyDescent="0.2"/>
    <row r="6497" ht="12.75" hidden="1" x14ac:dyDescent="0.2"/>
    <row r="6498" ht="12.75" hidden="1" x14ac:dyDescent="0.2"/>
    <row r="6499" ht="12.75" hidden="1" x14ac:dyDescent="0.2"/>
    <row r="6500" ht="12.75" hidden="1" x14ac:dyDescent="0.2"/>
    <row r="6501" ht="12.75" hidden="1" x14ac:dyDescent="0.2"/>
    <row r="6502" ht="12.75" hidden="1" x14ac:dyDescent="0.2"/>
    <row r="6503" ht="12.75" hidden="1" x14ac:dyDescent="0.2"/>
    <row r="6504" ht="12.75" hidden="1" x14ac:dyDescent="0.2"/>
    <row r="6505" ht="12.75" hidden="1" x14ac:dyDescent="0.2"/>
    <row r="6506" ht="12.75" hidden="1" x14ac:dyDescent="0.2"/>
    <row r="6507" ht="12.75" hidden="1" x14ac:dyDescent="0.2"/>
    <row r="6508" ht="12.75" hidden="1" x14ac:dyDescent="0.2"/>
    <row r="6509" ht="12.75" hidden="1" x14ac:dyDescent="0.2"/>
    <row r="6510" ht="12.75" hidden="1" x14ac:dyDescent="0.2"/>
    <row r="6511" ht="12.75" hidden="1" x14ac:dyDescent="0.2"/>
    <row r="6512" ht="12.75" hidden="1" x14ac:dyDescent="0.2"/>
    <row r="6513" ht="12.75" hidden="1" x14ac:dyDescent="0.2"/>
    <row r="6514" ht="12.75" hidden="1" x14ac:dyDescent="0.2"/>
    <row r="6515" ht="12.75" hidden="1" x14ac:dyDescent="0.2"/>
    <row r="6516" ht="12.75" hidden="1" x14ac:dyDescent="0.2"/>
    <row r="6517" ht="12.75" hidden="1" x14ac:dyDescent="0.2"/>
    <row r="6518" ht="12.75" hidden="1" x14ac:dyDescent="0.2"/>
    <row r="6519" ht="12.75" hidden="1" x14ac:dyDescent="0.2"/>
    <row r="6520" ht="12.75" hidden="1" x14ac:dyDescent="0.2"/>
    <row r="6521" ht="12.75" hidden="1" x14ac:dyDescent="0.2"/>
    <row r="6522" ht="12.75" hidden="1" x14ac:dyDescent="0.2"/>
    <row r="6523" ht="12.75" hidden="1" x14ac:dyDescent="0.2"/>
    <row r="6524" ht="12.75" hidden="1" x14ac:dyDescent="0.2"/>
    <row r="6525" ht="12.75" hidden="1" x14ac:dyDescent="0.2"/>
    <row r="6526" ht="12.75" hidden="1" x14ac:dyDescent="0.2"/>
    <row r="6527" ht="12.75" hidden="1" x14ac:dyDescent="0.2"/>
    <row r="6528" ht="12.75" hidden="1" x14ac:dyDescent="0.2"/>
    <row r="6529" ht="12.75" hidden="1" x14ac:dyDescent="0.2"/>
    <row r="6530" ht="12.75" hidden="1" x14ac:dyDescent="0.2"/>
    <row r="6531" ht="12.75" hidden="1" x14ac:dyDescent="0.2"/>
    <row r="6532" ht="12.75" hidden="1" x14ac:dyDescent="0.2"/>
    <row r="6533" ht="12.75" hidden="1" x14ac:dyDescent="0.2"/>
    <row r="6534" ht="12.75" hidden="1" x14ac:dyDescent="0.2"/>
    <row r="6535" ht="12.75" hidden="1" x14ac:dyDescent="0.2"/>
    <row r="6536" ht="12.75" hidden="1" x14ac:dyDescent="0.2"/>
    <row r="6537" ht="12.75" hidden="1" x14ac:dyDescent="0.2"/>
    <row r="6538" ht="12.75" hidden="1" x14ac:dyDescent="0.2"/>
    <row r="6539" ht="12.75" hidden="1" x14ac:dyDescent="0.2"/>
    <row r="6540" ht="12.75" hidden="1" x14ac:dyDescent="0.2"/>
    <row r="6541" ht="12.75" hidden="1" x14ac:dyDescent="0.2"/>
    <row r="6542" ht="12.75" hidden="1" x14ac:dyDescent="0.2"/>
    <row r="6543" ht="12.75" hidden="1" x14ac:dyDescent="0.2"/>
    <row r="6544" ht="12.75" hidden="1" x14ac:dyDescent="0.2"/>
    <row r="6545" ht="12.75" hidden="1" x14ac:dyDescent="0.2"/>
    <row r="6546" ht="12.75" hidden="1" x14ac:dyDescent="0.2"/>
    <row r="6547" ht="12.75" hidden="1" x14ac:dyDescent="0.2"/>
    <row r="6548" ht="12.75" hidden="1" x14ac:dyDescent="0.2"/>
    <row r="6549" ht="12.75" hidden="1" x14ac:dyDescent="0.2"/>
    <row r="6550" ht="12.75" hidden="1" x14ac:dyDescent="0.2"/>
    <row r="6551" ht="12.75" hidden="1" x14ac:dyDescent="0.2"/>
    <row r="6552" ht="12.75" hidden="1" x14ac:dyDescent="0.2"/>
    <row r="6553" ht="12.75" hidden="1" x14ac:dyDescent="0.2"/>
    <row r="6554" ht="12.75" hidden="1" x14ac:dyDescent="0.2"/>
    <row r="6555" ht="12.75" hidden="1" x14ac:dyDescent="0.2"/>
    <row r="6556" ht="12.75" hidden="1" x14ac:dyDescent="0.2"/>
    <row r="6557" ht="12.75" hidden="1" x14ac:dyDescent="0.2"/>
    <row r="6558" ht="12.75" hidden="1" x14ac:dyDescent="0.2"/>
    <row r="6559" ht="12.75" hidden="1" x14ac:dyDescent="0.2"/>
    <row r="6560" ht="12.75" hidden="1" x14ac:dyDescent="0.2"/>
    <row r="6561" ht="12.75" hidden="1" x14ac:dyDescent="0.2"/>
    <row r="6562" ht="12.75" hidden="1" x14ac:dyDescent="0.2"/>
    <row r="6563" ht="12.75" hidden="1" x14ac:dyDescent="0.2"/>
    <row r="6564" ht="12.75" hidden="1" x14ac:dyDescent="0.2"/>
    <row r="6565" ht="12.75" hidden="1" x14ac:dyDescent="0.2"/>
    <row r="6566" ht="12.75" hidden="1" x14ac:dyDescent="0.2"/>
    <row r="6567" ht="12.75" hidden="1" x14ac:dyDescent="0.2"/>
    <row r="6568" ht="12.75" hidden="1" x14ac:dyDescent="0.2"/>
    <row r="6569" ht="12.75" hidden="1" x14ac:dyDescent="0.2"/>
    <row r="6570" ht="12.75" hidden="1" x14ac:dyDescent="0.2"/>
    <row r="6571" ht="12.75" hidden="1" x14ac:dyDescent="0.2"/>
    <row r="6572" ht="12.75" hidden="1" x14ac:dyDescent="0.2"/>
    <row r="6573" ht="12.75" hidden="1" x14ac:dyDescent="0.2"/>
    <row r="6574" ht="12.75" hidden="1" x14ac:dyDescent="0.2"/>
    <row r="6575" ht="12.75" hidden="1" x14ac:dyDescent="0.2"/>
    <row r="6576" ht="12.75" hidden="1" x14ac:dyDescent="0.2"/>
    <row r="6577" ht="12.75" hidden="1" x14ac:dyDescent="0.2"/>
    <row r="6578" ht="12.75" hidden="1" x14ac:dyDescent="0.2"/>
    <row r="6579" ht="12.75" hidden="1" x14ac:dyDescent="0.2"/>
    <row r="6580" ht="12.75" hidden="1" x14ac:dyDescent="0.2"/>
    <row r="6581" ht="12.75" hidden="1" x14ac:dyDescent="0.2"/>
    <row r="6582" ht="12.75" hidden="1" x14ac:dyDescent="0.2"/>
    <row r="6583" ht="12.75" hidden="1" x14ac:dyDescent="0.2"/>
    <row r="6584" ht="12.75" hidden="1" x14ac:dyDescent="0.2"/>
    <row r="6585" ht="12.75" hidden="1" x14ac:dyDescent="0.2"/>
    <row r="6586" ht="12.75" hidden="1" x14ac:dyDescent="0.2"/>
    <row r="6587" ht="12.75" hidden="1" x14ac:dyDescent="0.2"/>
    <row r="6588" ht="12.75" hidden="1" x14ac:dyDescent="0.2"/>
    <row r="6589" ht="12.75" hidden="1" x14ac:dyDescent="0.2"/>
    <row r="6590" ht="12.75" hidden="1" x14ac:dyDescent="0.2"/>
    <row r="6591" ht="12.75" hidden="1" x14ac:dyDescent="0.2"/>
    <row r="6592" ht="12.75" hidden="1" x14ac:dyDescent="0.2"/>
    <row r="6593" ht="12.75" hidden="1" x14ac:dyDescent="0.2"/>
    <row r="6594" ht="12.75" hidden="1" x14ac:dyDescent="0.2"/>
    <row r="6595" ht="12.75" hidden="1" x14ac:dyDescent="0.2"/>
    <row r="6596" ht="12.75" hidden="1" x14ac:dyDescent="0.2"/>
    <row r="6597" ht="12.75" hidden="1" x14ac:dyDescent="0.2"/>
    <row r="6598" ht="12.75" hidden="1" x14ac:dyDescent="0.2"/>
    <row r="6599" ht="12.75" hidden="1" x14ac:dyDescent="0.2"/>
    <row r="6600" ht="12.75" hidden="1" x14ac:dyDescent="0.2"/>
    <row r="6601" ht="12.75" hidden="1" x14ac:dyDescent="0.2"/>
    <row r="6602" ht="12.75" hidden="1" x14ac:dyDescent="0.2"/>
    <row r="6603" ht="12.75" hidden="1" x14ac:dyDescent="0.2"/>
    <row r="6604" ht="12.75" hidden="1" x14ac:dyDescent="0.2"/>
    <row r="6605" ht="12.75" hidden="1" x14ac:dyDescent="0.2"/>
    <row r="6606" ht="12.75" hidden="1" x14ac:dyDescent="0.2"/>
    <row r="6607" ht="12.75" hidden="1" x14ac:dyDescent="0.2"/>
    <row r="6608" ht="12.75" hidden="1" x14ac:dyDescent="0.2"/>
    <row r="6609" ht="12.75" hidden="1" x14ac:dyDescent="0.2"/>
    <row r="6610" ht="12.75" hidden="1" x14ac:dyDescent="0.2"/>
    <row r="6611" ht="12.75" hidden="1" x14ac:dyDescent="0.2"/>
    <row r="6612" ht="12.75" hidden="1" x14ac:dyDescent="0.2"/>
    <row r="6613" ht="12.75" hidden="1" x14ac:dyDescent="0.2"/>
    <row r="6614" ht="12.75" hidden="1" x14ac:dyDescent="0.2"/>
    <row r="6615" ht="12.75" hidden="1" x14ac:dyDescent="0.2"/>
    <row r="6616" ht="12.75" hidden="1" x14ac:dyDescent="0.2"/>
    <row r="6617" ht="12.75" hidden="1" x14ac:dyDescent="0.2"/>
    <row r="6618" ht="12.75" hidden="1" x14ac:dyDescent="0.2"/>
    <row r="6619" ht="12.75" hidden="1" x14ac:dyDescent="0.2"/>
    <row r="6620" ht="12.75" hidden="1" x14ac:dyDescent="0.2"/>
    <row r="6621" ht="12.75" hidden="1" x14ac:dyDescent="0.2"/>
    <row r="6622" ht="12.75" hidden="1" x14ac:dyDescent="0.2"/>
    <row r="6623" ht="12.75" hidden="1" x14ac:dyDescent="0.2"/>
    <row r="6624" ht="12.75" hidden="1" x14ac:dyDescent="0.2"/>
    <row r="6625" ht="12.75" hidden="1" x14ac:dyDescent="0.2"/>
    <row r="6626" ht="12.75" hidden="1" x14ac:dyDescent="0.2"/>
    <row r="6627" ht="12.75" hidden="1" x14ac:dyDescent="0.2"/>
    <row r="6628" ht="12.75" hidden="1" x14ac:dyDescent="0.2"/>
    <row r="6629" ht="12.75" hidden="1" x14ac:dyDescent="0.2"/>
    <row r="6630" ht="12.75" hidden="1" x14ac:dyDescent="0.2"/>
    <row r="6631" ht="12.75" hidden="1" x14ac:dyDescent="0.2"/>
    <row r="6632" ht="12.75" hidden="1" x14ac:dyDescent="0.2"/>
    <row r="6633" ht="12.75" hidden="1" x14ac:dyDescent="0.2"/>
    <row r="6634" ht="12.75" hidden="1" x14ac:dyDescent="0.2"/>
    <row r="6635" ht="12.75" hidden="1" x14ac:dyDescent="0.2"/>
    <row r="6636" ht="12.75" hidden="1" x14ac:dyDescent="0.2"/>
    <row r="6637" ht="12.75" hidden="1" x14ac:dyDescent="0.2"/>
    <row r="6638" ht="12.75" hidden="1" x14ac:dyDescent="0.2"/>
    <row r="6639" ht="12.75" hidden="1" x14ac:dyDescent="0.2"/>
    <row r="6640" ht="12.75" hidden="1" x14ac:dyDescent="0.2"/>
    <row r="6641" ht="12.75" hidden="1" x14ac:dyDescent="0.2"/>
    <row r="6642" ht="12.75" hidden="1" x14ac:dyDescent="0.2"/>
    <row r="6643" ht="12.75" hidden="1" x14ac:dyDescent="0.2"/>
    <row r="6644" ht="12.75" hidden="1" x14ac:dyDescent="0.2"/>
    <row r="6645" ht="12.75" hidden="1" x14ac:dyDescent="0.2"/>
    <row r="6646" ht="12.75" hidden="1" x14ac:dyDescent="0.2"/>
    <row r="6647" ht="12.75" hidden="1" x14ac:dyDescent="0.2"/>
    <row r="6648" ht="12.75" hidden="1" x14ac:dyDescent="0.2"/>
    <row r="6649" ht="12.75" hidden="1" x14ac:dyDescent="0.2"/>
    <row r="6650" ht="12.75" hidden="1" x14ac:dyDescent="0.2"/>
    <row r="6651" ht="12.75" hidden="1" x14ac:dyDescent="0.2"/>
    <row r="6652" ht="12.75" hidden="1" x14ac:dyDescent="0.2"/>
    <row r="6653" ht="12.75" hidden="1" x14ac:dyDescent="0.2"/>
    <row r="6654" ht="12.75" hidden="1" x14ac:dyDescent="0.2"/>
    <row r="6655" ht="12.75" hidden="1" x14ac:dyDescent="0.2"/>
    <row r="6656" ht="12.75" hidden="1" x14ac:dyDescent="0.2"/>
    <row r="6657" ht="12.75" hidden="1" x14ac:dyDescent="0.2"/>
    <row r="6658" ht="12.75" hidden="1" x14ac:dyDescent="0.2"/>
    <row r="6659" ht="12.75" hidden="1" x14ac:dyDescent="0.2"/>
    <row r="6660" ht="12.75" hidden="1" x14ac:dyDescent="0.2"/>
    <row r="6661" ht="12.75" hidden="1" x14ac:dyDescent="0.2"/>
    <row r="6662" ht="12.75" hidden="1" x14ac:dyDescent="0.2"/>
    <row r="6663" ht="12.75" hidden="1" x14ac:dyDescent="0.2"/>
    <row r="6664" ht="12.75" hidden="1" x14ac:dyDescent="0.2"/>
    <row r="6665" ht="12.75" hidden="1" x14ac:dyDescent="0.2"/>
    <row r="6666" ht="12.75" hidden="1" x14ac:dyDescent="0.2"/>
    <row r="6667" ht="12.75" hidden="1" x14ac:dyDescent="0.2"/>
    <row r="6668" ht="12.75" hidden="1" x14ac:dyDescent="0.2"/>
    <row r="6669" ht="12.75" hidden="1" x14ac:dyDescent="0.2"/>
    <row r="6670" ht="12.75" hidden="1" x14ac:dyDescent="0.2"/>
    <row r="6671" ht="12.75" hidden="1" x14ac:dyDescent="0.2"/>
    <row r="6672" ht="12.75" hidden="1" x14ac:dyDescent="0.2"/>
    <row r="6673" ht="12.75" hidden="1" x14ac:dyDescent="0.2"/>
    <row r="6674" ht="12.75" hidden="1" x14ac:dyDescent="0.2"/>
    <row r="6675" ht="12.75" hidden="1" x14ac:dyDescent="0.2"/>
    <row r="6676" ht="12.75" hidden="1" x14ac:dyDescent="0.2"/>
    <row r="6677" ht="12.75" hidden="1" x14ac:dyDescent="0.2"/>
    <row r="6678" ht="12.75" hidden="1" x14ac:dyDescent="0.2"/>
    <row r="6679" ht="12.75" hidden="1" x14ac:dyDescent="0.2"/>
    <row r="6680" ht="12.75" hidden="1" x14ac:dyDescent="0.2"/>
    <row r="6681" ht="12.75" hidden="1" x14ac:dyDescent="0.2"/>
    <row r="6682" ht="12.75" hidden="1" x14ac:dyDescent="0.2"/>
    <row r="6683" ht="12.75" hidden="1" x14ac:dyDescent="0.2"/>
    <row r="6684" ht="12.75" hidden="1" x14ac:dyDescent="0.2"/>
    <row r="6685" ht="12.75" hidden="1" x14ac:dyDescent="0.2"/>
    <row r="6686" ht="12.75" hidden="1" x14ac:dyDescent="0.2"/>
    <row r="6687" ht="12.75" hidden="1" x14ac:dyDescent="0.2"/>
    <row r="6688" ht="12.75" hidden="1" x14ac:dyDescent="0.2"/>
    <row r="6689" ht="12.75" hidden="1" x14ac:dyDescent="0.2"/>
    <row r="6690" ht="12.75" hidden="1" x14ac:dyDescent="0.2"/>
    <row r="6691" ht="12.75" hidden="1" x14ac:dyDescent="0.2"/>
    <row r="6692" ht="12.75" hidden="1" x14ac:dyDescent="0.2"/>
    <row r="6693" ht="12.75" hidden="1" x14ac:dyDescent="0.2"/>
    <row r="6694" ht="12.75" hidden="1" x14ac:dyDescent="0.2"/>
    <row r="6695" ht="12.75" hidden="1" x14ac:dyDescent="0.2"/>
    <row r="6696" ht="12.75" hidden="1" x14ac:dyDescent="0.2"/>
    <row r="6697" ht="12.75" hidden="1" x14ac:dyDescent="0.2"/>
    <row r="6698" ht="12.75" hidden="1" x14ac:dyDescent="0.2"/>
    <row r="6699" ht="12.75" hidden="1" x14ac:dyDescent="0.2"/>
    <row r="6700" ht="12.75" hidden="1" x14ac:dyDescent="0.2"/>
    <row r="6701" ht="12.75" hidden="1" x14ac:dyDescent="0.2"/>
    <row r="6702" ht="12.75" hidden="1" x14ac:dyDescent="0.2"/>
    <row r="6703" ht="12.75" hidden="1" x14ac:dyDescent="0.2"/>
    <row r="6704" ht="12.75" hidden="1" x14ac:dyDescent="0.2"/>
    <row r="6705" ht="12.75" hidden="1" x14ac:dyDescent="0.2"/>
    <row r="6706" ht="12.75" hidden="1" x14ac:dyDescent="0.2"/>
    <row r="6707" ht="12.75" hidden="1" x14ac:dyDescent="0.2"/>
    <row r="6708" ht="12.75" hidden="1" x14ac:dyDescent="0.2"/>
    <row r="6709" ht="12.75" hidden="1" x14ac:dyDescent="0.2"/>
    <row r="6710" ht="12.75" hidden="1" x14ac:dyDescent="0.2"/>
    <row r="6711" ht="12.75" hidden="1" x14ac:dyDescent="0.2"/>
    <row r="6712" ht="12.75" hidden="1" x14ac:dyDescent="0.2"/>
    <row r="6713" ht="12.75" hidden="1" x14ac:dyDescent="0.2"/>
    <row r="6714" ht="12.75" hidden="1" x14ac:dyDescent="0.2"/>
    <row r="6715" ht="12.75" hidden="1" x14ac:dyDescent="0.2"/>
    <row r="6716" ht="12.75" hidden="1" x14ac:dyDescent="0.2"/>
    <row r="6717" ht="12.75" hidden="1" x14ac:dyDescent="0.2"/>
    <row r="6718" ht="12.75" hidden="1" x14ac:dyDescent="0.2"/>
    <row r="6719" ht="12.75" hidden="1" x14ac:dyDescent="0.2"/>
    <row r="6720" ht="12.75" hidden="1" x14ac:dyDescent="0.2"/>
    <row r="6721" ht="12.75" hidden="1" x14ac:dyDescent="0.2"/>
    <row r="6722" ht="12.75" hidden="1" x14ac:dyDescent="0.2"/>
    <row r="6723" ht="12.75" hidden="1" x14ac:dyDescent="0.2"/>
    <row r="6724" ht="12.75" hidden="1" x14ac:dyDescent="0.2"/>
    <row r="6725" ht="12.75" hidden="1" x14ac:dyDescent="0.2"/>
    <row r="6726" ht="12.75" hidden="1" x14ac:dyDescent="0.2"/>
    <row r="6727" ht="12.75" hidden="1" x14ac:dyDescent="0.2"/>
    <row r="6728" ht="12.75" hidden="1" x14ac:dyDescent="0.2"/>
    <row r="6729" ht="12.75" hidden="1" x14ac:dyDescent="0.2"/>
    <row r="6730" ht="12.75" hidden="1" x14ac:dyDescent="0.2"/>
    <row r="6731" ht="12.75" hidden="1" x14ac:dyDescent="0.2"/>
    <row r="6732" ht="12.75" hidden="1" x14ac:dyDescent="0.2"/>
    <row r="6733" ht="12.75" hidden="1" x14ac:dyDescent="0.2"/>
    <row r="6734" ht="12.75" hidden="1" x14ac:dyDescent="0.2"/>
    <row r="6735" ht="12.75" hidden="1" x14ac:dyDescent="0.2"/>
    <row r="6736" ht="12.75" hidden="1" x14ac:dyDescent="0.2"/>
    <row r="6737" ht="12.75" hidden="1" x14ac:dyDescent="0.2"/>
    <row r="6738" ht="12.75" hidden="1" x14ac:dyDescent="0.2"/>
    <row r="6739" ht="12.75" hidden="1" x14ac:dyDescent="0.2"/>
    <row r="6740" ht="12.75" hidden="1" x14ac:dyDescent="0.2"/>
    <row r="6741" ht="12.75" hidden="1" x14ac:dyDescent="0.2"/>
    <row r="6742" ht="12.75" hidden="1" x14ac:dyDescent="0.2"/>
    <row r="6743" ht="12.75" hidden="1" x14ac:dyDescent="0.2"/>
    <row r="6744" ht="12.75" hidden="1" x14ac:dyDescent="0.2"/>
    <row r="6745" ht="12.75" hidden="1" x14ac:dyDescent="0.2"/>
    <row r="6746" ht="12.75" hidden="1" x14ac:dyDescent="0.2"/>
    <row r="6747" ht="12.75" hidden="1" x14ac:dyDescent="0.2"/>
    <row r="6748" ht="12.75" hidden="1" x14ac:dyDescent="0.2"/>
    <row r="6749" ht="12.75" hidden="1" x14ac:dyDescent="0.2"/>
    <row r="6750" ht="12.75" hidden="1" x14ac:dyDescent="0.2"/>
    <row r="6751" ht="12.75" hidden="1" x14ac:dyDescent="0.2"/>
    <row r="6752" ht="12.75" hidden="1" x14ac:dyDescent="0.2"/>
    <row r="6753" ht="12.75" hidden="1" x14ac:dyDescent="0.2"/>
    <row r="6754" ht="12.75" hidden="1" x14ac:dyDescent="0.2"/>
    <row r="6755" ht="12.75" hidden="1" x14ac:dyDescent="0.2"/>
    <row r="6756" ht="12.75" hidden="1" x14ac:dyDescent="0.2"/>
    <row r="6757" ht="12.75" hidden="1" x14ac:dyDescent="0.2"/>
    <row r="6758" ht="12.75" hidden="1" x14ac:dyDescent="0.2"/>
    <row r="6759" ht="12.75" hidden="1" x14ac:dyDescent="0.2"/>
    <row r="6760" ht="12.75" hidden="1" x14ac:dyDescent="0.2"/>
    <row r="6761" ht="12.75" hidden="1" x14ac:dyDescent="0.2"/>
    <row r="6762" ht="12.75" hidden="1" x14ac:dyDescent="0.2"/>
    <row r="6763" ht="12.75" hidden="1" x14ac:dyDescent="0.2"/>
    <row r="6764" ht="12.75" hidden="1" x14ac:dyDescent="0.2"/>
    <row r="6765" ht="12.75" hidden="1" x14ac:dyDescent="0.2"/>
    <row r="6766" ht="12.75" hidden="1" x14ac:dyDescent="0.2"/>
    <row r="6767" ht="12.75" hidden="1" x14ac:dyDescent="0.2"/>
    <row r="6768" ht="12.75" hidden="1" x14ac:dyDescent="0.2"/>
    <row r="6769" ht="12.75" hidden="1" x14ac:dyDescent="0.2"/>
    <row r="6770" ht="12.75" hidden="1" x14ac:dyDescent="0.2"/>
    <row r="6771" ht="12.75" hidden="1" x14ac:dyDescent="0.2"/>
    <row r="6772" ht="12.75" hidden="1" x14ac:dyDescent="0.2"/>
    <row r="6773" ht="12.75" hidden="1" x14ac:dyDescent="0.2"/>
    <row r="6774" ht="12.75" hidden="1" x14ac:dyDescent="0.2"/>
    <row r="6775" ht="12.75" hidden="1" x14ac:dyDescent="0.2"/>
    <row r="6776" ht="12.75" hidden="1" x14ac:dyDescent="0.2"/>
    <row r="6777" ht="12.75" hidden="1" x14ac:dyDescent="0.2"/>
    <row r="6778" ht="12.75" hidden="1" x14ac:dyDescent="0.2"/>
    <row r="6779" ht="12.75" hidden="1" x14ac:dyDescent="0.2"/>
    <row r="6780" ht="12.75" hidden="1" x14ac:dyDescent="0.2"/>
    <row r="6781" ht="12.75" hidden="1" x14ac:dyDescent="0.2"/>
    <row r="6782" ht="12.75" hidden="1" x14ac:dyDescent="0.2"/>
    <row r="6783" ht="12.75" hidden="1" x14ac:dyDescent="0.2"/>
    <row r="6784" ht="12.75" hidden="1" x14ac:dyDescent="0.2"/>
    <row r="6785" ht="12.75" hidden="1" x14ac:dyDescent="0.2"/>
    <row r="6786" ht="12.75" hidden="1" x14ac:dyDescent="0.2"/>
    <row r="6787" ht="12.75" hidden="1" x14ac:dyDescent="0.2"/>
    <row r="6788" ht="12.75" hidden="1" x14ac:dyDescent="0.2"/>
    <row r="6789" ht="12.75" hidden="1" x14ac:dyDescent="0.2"/>
    <row r="6790" ht="12.75" hidden="1" x14ac:dyDescent="0.2"/>
    <row r="6791" ht="12.75" hidden="1" x14ac:dyDescent="0.2"/>
    <row r="6792" ht="12.75" hidden="1" x14ac:dyDescent="0.2"/>
    <row r="6793" ht="12.75" hidden="1" x14ac:dyDescent="0.2"/>
    <row r="6794" ht="12.75" hidden="1" x14ac:dyDescent="0.2"/>
    <row r="6795" ht="12.75" hidden="1" x14ac:dyDescent="0.2"/>
    <row r="6796" ht="12.75" hidden="1" x14ac:dyDescent="0.2"/>
    <row r="6797" ht="12.75" hidden="1" x14ac:dyDescent="0.2"/>
    <row r="6798" ht="12.75" hidden="1" x14ac:dyDescent="0.2"/>
    <row r="6799" ht="12.75" hidden="1" x14ac:dyDescent="0.2"/>
    <row r="6800" ht="12.75" hidden="1" x14ac:dyDescent="0.2"/>
    <row r="6801" ht="12.75" hidden="1" x14ac:dyDescent="0.2"/>
    <row r="6802" ht="12.75" hidden="1" x14ac:dyDescent="0.2"/>
    <row r="6803" ht="12.75" hidden="1" x14ac:dyDescent="0.2"/>
    <row r="6804" ht="12.75" hidden="1" x14ac:dyDescent="0.2"/>
    <row r="6805" ht="12.75" hidden="1" x14ac:dyDescent="0.2"/>
    <row r="6806" ht="12.75" hidden="1" x14ac:dyDescent="0.2"/>
    <row r="6807" ht="12.75" hidden="1" x14ac:dyDescent="0.2"/>
    <row r="6808" ht="12.75" hidden="1" x14ac:dyDescent="0.2"/>
    <row r="6809" ht="12.75" hidden="1" x14ac:dyDescent="0.2"/>
    <row r="6810" ht="12.75" hidden="1" x14ac:dyDescent="0.2"/>
    <row r="6811" ht="12.75" hidden="1" x14ac:dyDescent="0.2"/>
    <row r="6812" ht="12.75" hidden="1" x14ac:dyDescent="0.2"/>
    <row r="6813" ht="12.75" hidden="1" x14ac:dyDescent="0.2"/>
    <row r="6814" ht="12.75" hidden="1" x14ac:dyDescent="0.2"/>
    <row r="6815" ht="12.75" hidden="1" x14ac:dyDescent="0.2"/>
    <row r="6816" ht="12.75" hidden="1" x14ac:dyDescent="0.2"/>
    <row r="6817" ht="12.75" hidden="1" x14ac:dyDescent="0.2"/>
    <row r="6818" ht="12.75" hidden="1" x14ac:dyDescent="0.2"/>
    <row r="6819" ht="12.75" hidden="1" x14ac:dyDescent="0.2"/>
    <row r="6820" ht="12.75" hidden="1" x14ac:dyDescent="0.2"/>
    <row r="6821" ht="12.75" hidden="1" x14ac:dyDescent="0.2"/>
    <row r="6822" ht="12.75" hidden="1" x14ac:dyDescent="0.2"/>
    <row r="6823" ht="12.75" hidden="1" x14ac:dyDescent="0.2"/>
    <row r="6824" ht="12.75" hidden="1" x14ac:dyDescent="0.2"/>
    <row r="6825" ht="12.75" hidden="1" x14ac:dyDescent="0.2"/>
    <row r="6826" ht="12.75" hidden="1" x14ac:dyDescent="0.2"/>
    <row r="6827" ht="12.75" hidden="1" x14ac:dyDescent="0.2"/>
    <row r="6828" ht="12.75" hidden="1" x14ac:dyDescent="0.2"/>
    <row r="6829" ht="12.75" hidden="1" x14ac:dyDescent="0.2"/>
    <row r="6830" ht="12.75" hidden="1" x14ac:dyDescent="0.2"/>
    <row r="6831" ht="12.75" hidden="1" x14ac:dyDescent="0.2"/>
    <row r="6832" ht="12.75" hidden="1" x14ac:dyDescent="0.2"/>
    <row r="6833" ht="12.75" hidden="1" x14ac:dyDescent="0.2"/>
    <row r="6834" ht="12.75" hidden="1" x14ac:dyDescent="0.2"/>
    <row r="6835" ht="12.75" hidden="1" x14ac:dyDescent="0.2"/>
    <row r="6836" ht="12.75" hidden="1" x14ac:dyDescent="0.2"/>
    <row r="6837" ht="12.75" hidden="1" x14ac:dyDescent="0.2"/>
    <row r="6838" ht="12.75" hidden="1" x14ac:dyDescent="0.2"/>
    <row r="6839" ht="12.75" hidden="1" x14ac:dyDescent="0.2"/>
    <row r="6840" ht="12.75" hidden="1" x14ac:dyDescent="0.2"/>
    <row r="6841" ht="12.75" hidden="1" x14ac:dyDescent="0.2"/>
    <row r="6842" ht="12.75" hidden="1" x14ac:dyDescent="0.2"/>
    <row r="6843" ht="12.75" hidden="1" x14ac:dyDescent="0.2"/>
    <row r="6844" ht="12.75" hidden="1" x14ac:dyDescent="0.2"/>
    <row r="6845" ht="12.75" hidden="1" x14ac:dyDescent="0.2"/>
    <row r="6846" ht="12.75" hidden="1" x14ac:dyDescent="0.2"/>
    <row r="6847" ht="12.75" hidden="1" x14ac:dyDescent="0.2"/>
    <row r="6848" ht="12.75" hidden="1" x14ac:dyDescent="0.2"/>
    <row r="6849" ht="12.75" hidden="1" x14ac:dyDescent="0.2"/>
    <row r="6850" ht="12.75" hidden="1" x14ac:dyDescent="0.2"/>
    <row r="6851" ht="12.75" hidden="1" x14ac:dyDescent="0.2"/>
    <row r="6852" ht="12.75" hidden="1" x14ac:dyDescent="0.2"/>
    <row r="6853" ht="12.75" hidden="1" x14ac:dyDescent="0.2"/>
    <row r="6854" ht="12.75" hidden="1" x14ac:dyDescent="0.2"/>
    <row r="6855" ht="12.75" hidden="1" x14ac:dyDescent="0.2"/>
    <row r="6856" ht="12.75" hidden="1" x14ac:dyDescent="0.2"/>
    <row r="6857" ht="12.75" hidden="1" x14ac:dyDescent="0.2"/>
    <row r="6858" ht="12.75" hidden="1" x14ac:dyDescent="0.2"/>
    <row r="6859" ht="12.75" hidden="1" x14ac:dyDescent="0.2"/>
    <row r="6860" ht="12.75" hidden="1" x14ac:dyDescent="0.2"/>
    <row r="6861" ht="12.75" hidden="1" x14ac:dyDescent="0.2"/>
    <row r="6862" ht="12.75" hidden="1" x14ac:dyDescent="0.2"/>
    <row r="6863" ht="12.75" hidden="1" x14ac:dyDescent="0.2"/>
    <row r="6864" ht="12.75" hidden="1" x14ac:dyDescent="0.2"/>
    <row r="6865" ht="12.75" hidden="1" x14ac:dyDescent="0.2"/>
    <row r="6866" ht="12.75" hidden="1" x14ac:dyDescent="0.2"/>
    <row r="6867" ht="12.75" hidden="1" x14ac:dyDescent="0.2"/>
    <row r="6868" ht="12.75" hidden="1" x14ac:dyDescent="0.2"/>
    <row r="6869" ht="12.75" hidden="1" x14ac:dyDescent="0.2"/>
    <row r="6870" ht="12.75" hidden="1" x14ac:dyDescent="0.2"/>
    <row r="6871" ht="12.75" hidden="1" x14ac:dyDescent="0.2"/>
    <row r="6872" ht="12.75" hidden="1" x14ac:dyDescent="0.2"/>
    <row r="6873" ht="12.75" hidden="1" x14ac:dyDescent="0.2"/>
    <row r="6874" ht="12.75" hidden="1" x14ac:dyDescent="0.2"/>
    <row r="6875" ht="12.75" hidden="1" x14ac:dyDescent="0.2"/>
    <row r="6876" ht="12.75" hidden="1" x14ac:dyDescent="0.2"/>
    <row r="6877" ht="12.75" hidden="1" x14ac:dyDescent="0.2"/>
    <row r="6878" ht="12.75" hidden="1" x14ac:dyDescent="0.2"/>
    <row r="6879" ht="12.75" hidden="1" x14ac:dyDescent="0.2"/>
    <row r="6880" ht="12.75" hidden="1" x14ac:dyDescent="0.2"/>
    <row r="6881" ht="12.75" hidden="1" x14ac:dyDescent="0.2"/>
    <row r="6882" ht="12.75" hidden="1" x14ac:dyDescent="0.2"/>
    <row r="6883" ht="12.75" hidden="1" x14ac:dyDescent="0.2"/>
    <row r="6884" ht="12.75" hidden="1" x14ac:dyDescent="0.2"/>
    <row r="6885" ht="12.75" hidden="1" x14ac:dyDescent="0.2"/>
    <row r="6886" ht="12.75" hidden="1" x14ac:dyDescent="0.2"/>
    <row r="6887" ht="12.75" hidden="1" x14ac:dyDescent="0.2"/>
    <row r="6888" ht="12.75" hidden="1" x14ac:dyDescent="0.2"/>
    <row r="6889" ht="12.75" hidden="1" x14ac:dyDescent="0.2"/>
    <row r="6890" ht="12.75" hidden="1" x14ac:dyDescent="0.2"/>
    <row r="6891" ht="12.75" hidden="1" x14ac:dyDescent="0.2"/>
    <row r="6892" ht="12.75" hidden="1" x14ac:dyDescent="0.2"/>
    <row r="6893" ht="12.75" hidden="1" x14ac:dyDescent="0.2"/>
    <row r="6894" ht="12.75" hidden="1" x14ac:dyDescent="0.2"/>
    <row r="6895" ht="12.75" hidden="1" x14ac:dyDescent="0.2"/>
    <row r="6896" ht="12.75" hidden="1" x14ac:dyDescent="0.2"/>
    <row r="6897" ht="12.75" hidden="1" x14ac:dyDescent="0.2"/>
    <row r="6898" ht="12.75" hidden="1" x14ac:dyDescent="0.2"/>
    <row r="6899" ht="12.75" hidden="1" x14ac:dyDescent="0.2"/>
    <row r="6900" ht="12.75" hidden="1" x14ac:dyDescent="0.2"/>
    <row r="6901" ht="12.75" hidden="1" x14ac:dyDescent="0.2"/>
    <row r="6902" ht="12.75" hidden="1" x14ac:dyDescent="0.2"/>
    <row r="6903" ht="12.75" hidden="1" x14ac:dyDescent="0.2"/>
    <row r="6904" ht="12.75" hidden="1" x14ac:dyDescent="0.2"/>
    <row r="6905" ht="12.75" hidden="1" x14ac:dyDescent="0.2"/>
    <row r="6906" ht="12.75" hidden="1" x14ac:dyDescent="0.2"/>
    <row r="6907" ht="12.75" hidden="1" x14ac:dyDescent="0.2"/>
    <row r="6908" ht="12.75" hidden="1" x14ac:dyDescent="0.2"/>
    <row r="6909" ht="12.75" hidden="1" x14ac:dyDescent="0.2"/>
    <row r="6910" ht="12.75" hidden="1" x14ac:dyDescent="0.2"/>
    <row r="6911" ht="12.75" hidden="1" x14ac:dyDescent="0.2"/>
    <row r="6912" ht="12.75" hidden="1" x14ac:dyDescent="0.2"/>
    <row r="6913" ht="12.75" hidden="1" x14ac:dyDescent="0.2"/>
    <row r="6914" ht="12.75" hidden="1" x14ac:dyDescent="0.2"/>
    <row r="6915" ht="12.75" hidden="1" x14ac:dyDescent="0.2"/>
    <row r="6916" ht="12.75" hidden="1" x14ac:dyDescent="0.2"/>
    <row r="6917" ht="12.75" hidden="1" x14ac:dyDescent="0.2"/>
    <row r="6918" ht="12.75" hidden="1" x14ac:dyDescent="0.2"/>
    <row r="6919" ht="12.75" hidden="1" x14ac:dyDescent="0.2"/>
    <row r="6920" ht="12.75" hidden="1" x14ac:dyDescent="0.2"/>
    <row r="6921" ht="12.75" hidden="1" x14ac:dyDescent="0.2"/>
    <row r="6922" ht="12.75" hidden="1" x14ac:dyDescent="0.2"/>
    <row r="6923" ht="12.75" hidden="1" x14ac:dyDescent="0.2"/>
    <row r="6924" ht="12.75" hidden="1" x14ac:dyDescent="0.2"/>
    <row r="6925" ht="12.75" hidden="1" x14ac:dyDescent="0.2"/>
    <row r="6926" ht="12.75" hidden="1" x14ac:dyDescent="0.2"/>
    <row r="6927" ht="12.75" hidden="1" x14ac:dyDescent="0.2"/>
    <row r="6928" ht="12.75" hidden="1" x14ac:dyDescent="0.2"/>
    <row r="6929" ht="12.75" hidden="1" x14ac:dyDescent="0.2"/>
    <row r="6930" ht="12.75" hidden="1" x14ac:dyDescent="0.2"/>
    <row r="6931" ht="12.75" hidden="1" x14ac:dyDescent="0.2"/>
    <row r="6932" ht="12.75" hidden="1" x14ac:dyDescent="0.2"/>
    <row r="6933" ht="12.75" hidden="1" x14ac:dyDescent="0.2"/>
    <row r="6934" ht="12.75" hidden="1" x14ac:dyDescent="0.2"/>
    <row r="6935" ht="12.75" hidden="1" x14ac:dyDescent="0.2"/>
    <row r="6936" ht="12.75" hidden="1" x14ac:dyDescent="0.2"/>
    <row r="6937" ht="12.75" hidden="1" x14ac:dyDescent="0.2"/>
    <row r="6938" ht="12.75" hidden="1" x14ac:dyDescent="0.2"/>
    <row r="6939" ht="12.75" hidden="1" x14ac:dyDescent="0.2"/>
    <row r="6940" ht="12.75" hidden="1" x14ac:dyDescent="0.2"/>
    <row r="6941" ht="12.75" hidden="1" x14ac:dyDescent="0.2"/>
    <row r="6942" ht="12.75" hidden="1" x14ac:dyDescent="0.2"/>
    <row r="6943" ht="12.75" hidden="1" x14ac:dyDescent="0.2"/>
    <row r="6944" ht="12.75" hidden="1" x14ac:dyDescent="0.2"/>
    <row r="6945" ht="12.75" hidden="1" x14ac:dyDescent="0.2"/>
    <row r="6946" ht="12.75" hidden="1" x14ac:dyDescent="0.2"/>
    <row r="6947" ht="12.75" hidden="1" x14ac:dyDescent="0.2"/>
    <row r="6948" ht="12.75" hidden="1" x14ac:dyDescent="0.2"/>
    <row r="6949" ht="12.75" hidden="1" x14ac:dyDescent="0.2"/>
    <row r="6950" ht="12.75" hidden="1" x14ac:dyDescent="0.2"/>
    <row r="6951" ht="12.75" hidden="1" x14ac:dyDescent="0.2"/>
    <row r="6952" ht="12.75" hidden="1" x14ac:dyDescent="0.2"/>
    <row r="6953" ht="12.75" hidden="1" x14ac:dyDescent="0.2"/>
    <row r="6954" ht="12.75" hidden="1" x14ac:dyDescent="0.2"/>
    <row r="6955" ht="12.75" hidden="1" x14ac:dyDescent="0.2"/>
    <row r="6956" ht="12.75" hidden="1" x14ac:dyDescent="0.2"/>
    <row r="6957" ht="12.75" hidden="1" x14ac:dyDescent="0.2"/>
    <row r="6958" ht="12.75" hidden="1" x14ac:dyDescent="0.2"/>
    <row r="6959" ht="12.75" hidden="1" x14ac:dyDescent="0.2"/>
    <row r="6960" ht="12.75" hidden="1" x14ac:dyDescent="0.2"/>
    <row r="6961" ht="12.75" hidden="1" x14ac:dyDescent="0.2"/>
    <row r="6962" ht="12.75" hidden="1" x14ac:dyDescent="0.2"/>
    <row r="6963" ht="12.75" hidden="1" x14ac:dyDescent="0.2"/>
    <row r="6964" ht="12.75" hidden="1" x14ac:dyDescent="0.2"/>
    <row r="6965" ht="12.75" hidden="1" x14ac:dyDescent="0.2"/>
    <row r="6966" ht="12.75" hidden="1" x14ac:dyDescent="0.2"/>
    <row r="6967" ht="12.75" hidden="1" x14ac:dyDescent="0.2"/>
    <row r="6968" ht="12.75" hidden="1" x14ac:dyDescent="0.2"/>
    <row r="6969" ht="12.75" hidden="1" x14ac:dyDescent="0.2"/>
    <row r="6970" ht="12.75" hidden="1" x14ac:dyDescent="0.2"/>
    <row r="6971" ht="12.75" hidden="1" x14ac:dyDescent="0.2"/>
    <row r="6972" ht="12.75" hidden="1" x14ac:dyDescent="0.2"/>
    <row r="6973" ht="12.75" hidden="1" x14ac:dyDescent="0.2"/>
    <row r="6974" ht="12.75" hidden="1" x14ac:dyDescent="0.2"/>
    <row r="6975" ht="12.75" hidden="1" x14ac:dyDescent="0.2"/>
    <row r="6976" ht="12.75" hidden="1" x14ac:dyDescent="0.2"/>
    <row r="6977" ht="12.75" hidden="1" x14ac:dyDescent="0.2"/>
    <row r="6978" ht="12.75" hidden="1" x14ac:dyDescent="0.2"/>
    <row r="6979" ht="12.75" hidden="1" x14ac:dyDescent="0.2"/>
    <row r="6980" ht="12.75" hidden="1" x14ac:dyDescent="0.2"/>
    <row r="6981" ht="12.75" hidden="1" x14ac:dyDescent="0.2"/>
    <row r="6982" ht="12.75" hidden="1" x14ac:dyDescent="0.2"/>
    <row r="6983" ht="12.75" hidden="1" x14ac:dyDescent="0.2"/>
    <row r="6984" ht="12.75" hidden="1" x14ac:dyDescent="0.2"/>
    <row r="6985" ht="12.75" hidden="1" x14ac:dyDescent="0.2"/>
    <row r="6986" ht="12.75" hidden="1" x14ac:dyDescent="0.2"/>
    <row r="6987" ht="12.75" hidden="1" x14ac:dyDescent="0.2"/>
    <row r="6988" ht="12.75" hidden="1" x14ac:dyDescent="0.2"/>
    <row r="6989" ht="12.75" hidden="1" x14ac:dyDescent="0.2"/>
    <row r="6990" ht="12.75" hidden="1" x14ac:dyDescent="0.2"/>
    <row r="6991" ht="12.75" hidden="1" x14ac:dyDescent="0.2"/>
    <row r="6992" ht="12.75" hidden="1" x14ac:dyDescent="0.2"/>
    <row r="6993" ht="12.75" hidden="1" x14ac:dyDescent="0.2"/>
    <row r="6994" ht="12.75" hidden="1" x14ac:dyDescent="0.2"/>
    <row r="6995" ht="12.75" hidden="1" x14ac:dyDescent="0.2"/>
    <row r="6996" ht="12.75" hidden="1" x14ac:dyDescent="0.2"/>
    <row r="6997" ht="12.75" hidden="1" x14ac:dyDescent="0.2"/>
    <row r="6998" ht="12.75" hidden="1" x14ac:dyDescent="0.2"/>
    <row r="6999" ht="12.75" hidden="1" x14ac:dyDescent="0.2"/>
    <row r="7000" ht="12.75" hidden="1" x14ac:dyDescent="0.2"/>
    <row r="7001" ht="12.75" hidden="1" x14ac:dyDescent="0.2"/>
    <row r="7002" ht="12.75" hidden="1" x14ac:dyDescent="0.2"/>
    <row r="7003" ht="12.75" hidden="1" x14ac:dyDescent="0.2"/>
    <row r="7004" ht="12.75" hidden="1" x14ac:dyDescent="0.2"/>
    <row r="7005" ht="12.75" hidden="1" x14ac:dyDescent="0.2"/>
    <row r="7006" ht="12.75" hidden="1" x14ac:dyDescent="0.2"/>
    <row r="7007" ht="12.75" hidden="1" x14ac:dyDescent="0.2"/>
    <row r="7008" ht="12.75" hidden="1" x14ac:dyDescent="0.2"/>
    <row r="7009" ht="12.75" hidden="1" x14ac:dyDescent="0.2"/>
    <row r="7010" ht="12.75" hidden="1" x14ac:dyDescent="0.2"/>
    <row r="7011" ht="12.75" hidden="1" x14ac:dyDescent="0.2"/>
    <row r="7012" ht="12.75" hidden="1" x14ac:dyDescent="0.2"/>
    <row r="7013" ht="12.75" hidden="1" x14ac:dyDescent="0.2"/>
    <row r="7014" ht="12.75" hidden="1" x14ac:dyDescent="0.2"/>
    <row r="7015" ht="12.75" hidden="1" x14ac:dyDescent="0.2"/>
    <row r="7016" ht="12.75" hidden="1" x14ac:dyDescent="0.2"/>
    <row r="7017" ht="12.75" hidden="1" x14ac:dyDescent="0.2"/>
    <row r="7018" ht="12.75" hidden="1" x14ac:dyDescent="0.2"/>
    <row r="7019" ht="12.75" hidden="1" x14ac:dyDescent="0.2"/>
    <row r="7020" ht="12.75" hidden="1" x14ac:dyDescent="0.2"/>
    <row r="7021" ht="12.75" hidden="1" x14ac:dyDescent="0.2"/>
    <row r="7022" ht="12.75" hidden="1" x14ac:dyDescent="0.2"/>
    <row r="7023" ht="12.75" hidden="1" x14ac:dyDescent="0.2"/>
    <row r="7024" ht="12.75" hidden="1" x14ac:dyDescent="0.2"/>
    <row r="7025" ht="12.75" hidden="1" x14ac:dyDescent="0.2"/>
    <row r="7026" ht="12.75" hidden="1" x14ac:dyDescent="0.2"/>
    <row r="7027" ht="12.75" hidden="1" x14ac:dyDescent="0.2"/>
    <row r="7028" ht="12.75" hidden="1" x14ac:dyDescent="0.2"/>
    <row r="7029" ht="12.75" hidden="1" x14ac:dyDescent="0.2"/>
    <row r="7030" ht="12.75" hidden="1" x14ac:dyDescent="0.2"/>
    <row r="7031" ht="12.75" hidden="1" x14ac:dyDescent="0.2"/>
    <row r="7032" ht="12.75" hidden="1" x14ac:dyDescent="0.2"/>
    <row r="7033" ht="12.75" hidden="1" x14ac:dyDescent="0.2"/>
    <row r="7034" ht="12.75" hidden="1" x14ac:dyDescent="0.2"/>
    <row r="7035" ht="12.75" hidden="1" x14ac:dyDescent="0.2"/>
    <row r="7036" ht="12.75" hidden="1" x14ac:dyDescent="0.2"/>
    <row r="7037" ht="12.75" hidden="1" x14ac:dyDescent="0.2"/>
    <row r="7038" ht="12.75" hidden="1" x14ac:dyDescent="0.2"/>
    <row r="7039" ht="12.75" hidden="1" x14ac:dyDescent="0.2"/>
    <row r="7040" ht="12.75" hidden="1" x14ac:dyDescent="0.2"/>
    <row r="7041" ht="12.75" hidden="1" x14ac:dyDescent="0.2"/>
    <row r="7042" ht="12.75" hidden="1" x14ac:dyDescent="0.2"/>
    <row r="7043" ht="12.75" hidden="1" x14ac:dyDescent="0.2"/>
    <row r="7044" ht="12.75" hidden="1" x14ac:dyDescent="0.2"/>
    <row r="7045" ht="12.75" hidden="1" x14ac:dyDescent="0.2"/>
    <row r="7046" ht="12.75" hidden="1" x14ac:dyDescent="0.2"/>
    <row r="7047" ht="12.75" hidden="1" x14ac:dyDescent="0.2"/>
    <row r="7048" ht="12.75" hidden="1" x14ac:dyDescent="0.2"/>
    <row r="7049" ht="12.75" hidden="1" x14ac:dyDescent="0.2"/>
    <row r="7050" ht="12.75" hidden="1" x14ac:dyDescent="0.2"/>
    <row r="7051" ht="12.75" hidden="1" x14ac:dyDescent="0.2"/>
    <row r="7052" ht="12.75" hidden="1" x14ac:dyDescent="0.2"/>
    <row r="7053" ht="12.75" hidden="1" x14ac:dyDescent="0.2"/>
    <row r="7054" ht="12.75" hidden="1" x14ac:dyDescent="0.2"/>
    <row r="7055" ht="12.75" hidden="1" x14ac:dyDescent="0.2"/>
    <row r="7056" ht="12.75" hidden="1" x14ac:dyDescent="0.2"/>
    <row r="7057" ht="12.75" hidden="1" x14ac:dyDescent="0.2"/>
    <row r="7058" ht="12.75" hidden="1" x14ac:dyDescent="0.2"/>
    <row r="7059" ht="12.75" hidden="1" x14ac:dyDescent="0.2"/>
    <row r="7060" ht="12.75" hidden="1" x14ac:dyDescent="0.2"/>
    <row r="7061" ht="12.75" hidden="1" x14ac:dyDescent="0.2"/>
    <row r="7062" ht="12.75" hidden="1" x14ac:dyDescent="0.2"/>
    <row r="7063" ht="12.75" hidden="1" x14ac:dyDescent="0.2"/>
    <row r="7064" ht="12.75" hidden="1" x14ac:dyDescent="0.2"/>
    <row r="7065" ht="12.75" hidden="1" x14ac:dyDescent="0.2"/>
    <row r="7066" ht="12.75" hidden="1" x14ac:dyDescent="0.2"/>
    <row r="7067" ht="12.75" hidden="1" x14ac:dyDescent="0.2"/>
    <row r="7068" ht="12.75" hidden="1" x14ac:dyDescent="0.2"/>
    <row r="7069" ht="12.75" hidden="1" x14ac:dyDescent="0.2"/>
    <row r="7070" ht="12.75" hidden="1" x14ac:dyDescent="0.2"/>
    <row r="7071" ht="12.75" hidden="1" x14ac:dyDescent="0.2"/>
    <row r="7072" ht="12.75" hidden="1" x14ac:dyDescent="0.2"/>
    <row r="7073" ht="12.75" hidden="1" x14ac:dyDescent="0.2"/>
    <row r="7074" ht="12.75" hidden="1" x14ac:dyDescent="0.2"/>
    <row r="7075" ht="12.75" hidden="1" x14ac:dyDescent="0.2"/>
    <row r="7076" ht="12.75" hidden="1" x14ac:dyDescent="0.2"/>
    <row r="7077" ht="12.75" hidden="1" x14ac:dyDescent="0.2"/>
    <row r="7078" ht="12.75" hidden="1" x14ac:dyDescent="0.2"/>
    <row r="7079" ht="12.75" hidden="1" x14ac:dyDescent="0.2"/>
    <row r="7080" ht="12.75" hidden="1" x14ac:dyDescent="0.2"/>
    <row r="7081" ht="12.75" hidden="1" x14ac:dyDescent="0.2"/>
    <row r="7082" ht="12.75" hidden="1" x14ac:dyDescent="0.2"/>
    <row r="7083" ht="12.75" hidden="1" x14ac:dyDescent="0.2"/>
    <row r="7084" ht="12.75" hidden="1" x14ac:dyDescent="0.2"/>
    <row r="7085" ht="12.75" hidden="1" x14ac:dyDescent="0.2"/>
    <row r="7086" ht="12.75" hidden="1" x14ac:dyDescent="0.2"/>
    <row r="7087" ht="12.75" hidden="1" x14ac:dyDescent="0.2"/>
    <row r="7088" ht="12.75" hidden="1" x14ac:dyDescent="0.2"/>
    <row r="7089" ht="12.75" hidden="1" x14ac:dyDescent="0.2"/>
    <row r="7090" ht="12.75" hidden="1" x14ac:dyDescent="0.2"/>
    <row r="7091" ht="12.75" hidden="1" x14ac:dyDescent="0.2"/>
    <row r="7092" ht="12.75" hidden="1" x14ac:dyDescent="0.2"/>
    <row r="7093" ht="12.75" hidden="1" x14ac:dyDescent="0.2"/>
    <row r="7094" ht="12.75" hidden="1" x14ac:dyDescent="0.2"/>
    <row r="7095" ht="12.75" hidden="1" x14ac:dyDescent="0.2"/>
    <row r="7096" ht="12.75" hidden="1" x14ac:dyDescent="0.2"/>
    <row r="7097" ht="12.75" hidden="1" x14ac:dyDescent="0.2"/>
    <row r="7098" ht="12.75" hidden="1" x14ac:dyDescent="0.2"/>
    <row r="7099" ht="12.75" hidden="1" x14ac:dyDescent="0.2"/>
    <row r="7100" ht="12.75" hidden="1" x14ac:dyDescent="0.2"/>
    <row r="7101" ht="12.75" hidden="1" x14ac:dyDescent="0.2"/>
    <row r="7102" ht="12.75" hidden="1" x14ac:dyDescent="0.2"/>
    <row r="7103" ht="12.75" hidden="1" x14ac:dyDescent="0.2"/>
    <row r="7104" ht="12.75" hidden="1" x14ac:dyDescent="0.2"/>
    <row r="7105" ht="12.75" hidden="1" x14ac:dyDescent="0.2"/>
    <row r="7106" ht="12.75" hidden="1" x14ac:dyDescent="0.2"/>
    <row r="7107" ht="12.75" hidden="1" x14ac:dyDescent="0.2"/>
    <row r="7108" ht="12.75" hidden="1" x14ac:dyDescent="0.2"/>
    <row r="7109" ht="12.75" hidden="1" x14ac:dyDescent="0.2"/>
    <row r="7110" ht="12.75" hidden="1" x14ac:dyDescent="0.2"/>
    <row r="7111" ht="12.75" hidden="1" x14ac:dyDescent="0.2"/>
    <row r="7112" ht="12.75" hidden="1" x14ac:dyDescent="0.2"/>
    <row r="7113" ht="12.75" hidden="1" x14ac:dyDescent="0.2"/>
    <row r="7114" ht="12.75" hidden="1" x14ac:dyDescent="0.2"/>
    <row r="7115" ht="12.75" hidden="1" x14ac:dyDescent="0.2"/>
    <row r="7116" ht="12.75" hidden="1" x14ac:dyDescent="0.2"/>
    <row r="7117" ht="12.75" hidden="1" x14ac:dyDescent="0.2"/>
    <row r="7118" ht="12.75" hidden="1" x14ac:dyDescent="0.2"/>
    <row r="7119" ht="12.75" hidden="1" x14ac:dyDescent="0.2"/>
    <row r="7120" ht="12.75" hidden="1" x14ac:dyDescent="0.2"/>
    <row r="7121" ht="12.75" hidden="1" x14ac:dyDescent="0.2"/>
    <row r="7122" ht="12.75" hidden="1" x14ac:dyDescent="0.2"/>
    <row r="7123" ht="12.75" hidden="1" x14ac:dyDescent="0.2"/>
    <row r="7124" ht="12.75" hidden="1" x14ac:dyDescent="0.2"/>
    <row r="7125" ht="12.75" hidden="1" x14ac:dyDescent="0.2"/>
    <row r="7126" ht="12.75" hidden="1" x14ac:dyDescent="0.2"/>
    <row r="7127" ht="12.75" hidden="1" x14ac:dyDescent="0.2"/>
    <row r="7128" ht="12.75" hidden="1" x14ac:dyDescent="0.2"/>
    <row r="7129" ht="12.75" hidden="1" x14ac:dyDescent="0.2"/>
    <row r="7130" ht="12.75" hidden="1" x14ac:dyDescent="0.2"/>
    <row r="7131" ht="12.75" hidden="1" x14ac:dyDescent="0.2"/>
    <row r="7132" ht="12.75" hidden="1" x14ac:dyDescent="0.2"/>
    <row r="7133" ht="12.75" hidden="1" x14ac:dyDescent="0.2"/>
    <row r="7134" ht="12.75" hidden="1" x14ac:dyDescent="0.2"/>
    <row r="7135" ht="12.75" hidden="1" x14ac:dyDescent="0.2"/>
    <row r="7136" ht="12.75" hidden="1" x14ac:dyDescent="0.2"/>
    <row r="7137" ht="12.75" hidden="1" x14ac:dyDescent="0.2"/>
    <row r="7138" ht="12.75" hidden="1" x14ac:dyDescent="0.2"/>
    <row r="7139" ht="12.75" hidden="1" x14ac:dyDescent="0.2"/>
    <row r="7140" ht="12.75" hidden="1" x14ac:dyDescent="0.2"/>
    <row r="7141" ht="12.75" hidden="1" x14ac:dyDescent="0.2"/>
    <row r="7142" ht="12.75" hidden="1" x14ac:dyDescent="0.2"/>
    <row r="7143" ht="12.75" hidden="1" x14ac:dyDescent="0.2"/>
    <row r="7144" ht="12.75" hidden="1" x14ac:dyDescent="0.2"/>
    <row r="7145" ht="12.75" hidden="1" x14ac:dyDescent="0.2"/>
    <row r="7146" ht="12.75" hidden="1" x14ac:dyDescent="0.2"/>
    <row r="7147" ht="12.75" hidden="1" x14ac:dyDescent="0.2"/>
    <row r="7148" ht="12.75" hidden="1" x14ac:dyDescent="0.2"/>
    <row r="7149" ht="12.75" hidden="1" x14ac:dyDescent="0.2"/>
    <row r="7150" ht="12.75" hidden="1" x14ac:dyDescent="0.2"/>
    <row r="7151" ht="12.75" hidden="1" x14ac:dyDescent="0.2"/>
    <row r="7152" ht="12.75" hidden="1" x14ac:dyDescent="0.2"/>
    <row r="7153" ht="12.75" hidden="1" x14ac:dyDescent="0.2"/>
    <row r="7154" ht="12.75" hidden="1" x14ac:dyDescent="0.2"/>
    <row r="7155" ht="12.75" hidden="1" x14ac:dyDescent="0.2"/>
    <row r="7156" ht="12.75" hidden="1" x14ac:dyDescent="0.2"/>
    <row r="7157" ht="12.75" hidden="1" x14ac:dyDescent="0.2"/>
    <row r="7158" ht="12.75" hidden="1" x14ac:dyDescent="0.2"/>
    <row r="7159" ht="12.75" hidden="1" x14ac:dyDescent="0.2"/>
    <row r="7160" ht="12.75" hidden="1" x14ac:dyDescent="0.2"/>
    <row r="7161" ht="12.75" hidden="1" x14ac:dyDescent="0.2"/>
    <row r="7162" ht="12.75" hidden="1" x14ac:dyDescent="0.2"/>
    <row r="7163" ht="12.75" hidden="1" x14ac:dyDescent="0.2"/>
    <row r="7164" ht="12.75" hidden="1" x14ac:dyDescent="0.2"/>
    <row r="7165" ht="12.75" hidden="1" x14ac:dyDescent="0.2"/>
    <row r="7166" ht="12.75" hidden="1" x14ac:dyDescent="0.2"/>
    <row r="7167" ht="12.75" hidden="1" x14ac:dyDescent="0.2"/>
    <row r="7168" ht="12.75" hidden="1" x14ac:dyDescent="0.2"/>
    <row r="7169" ht="12.75" hidden="1" x14ac:dyDescent="0.2"/>
    <row r="7170" ht="12.75" hidden="1" x14ac:dyDescent="0.2"/>
    <row r="7171" ht="12.75" hidden="1" x14ac:dyDescent="0.2"/>
    <row r="7172" ht="12.75" hidden="1" x14ac:dyDescent="0.2"/>
    <row r="7173" ht="12.75" hidden="1" x14ac:dyDescent="0.2"/>
    <row r="7174" ht="12.75" hidden="1" x14ac:dyDescent="0.2"/>
    <row r="7175" ht="12.75" hidden="1" x14ac:dyDescent="0.2"/>
    <row r="7176" ht="12.75" hidden="1" x14ac:dyDescent="0.2"/>
    <row r="7177" ht="12.75" hidden="1" x14ac:dyDescent="0.2"/>
    <row r="7178" ht="12.75" hidden="1" x14ac:dyDescent="0.2"/>
    <row r="7179" ht="12.75" hidden="1" x14ac:dyDescent="0.2"/>
    <row r="7180" ht="12.75" hidden="1" x14ac:dyDescent="0.2"/>
    <row r="7181" ht="12.75" hidden="1" x14ac:dyDescent="0.2"/>
    <row r="7182" ht="12.75" hidden="1" x14ac:dyDescent="0.2"/>
    <row r="7183" ht="12.75" hidden="1" x14ac:dyDescent="0.2"/>
    <row r="7184" ht="12.75" hidden="1" x14ac:dyDescent="0.2"/>
    <row r="7185" ht="12.75" hidden="1" x14ac:dyDescent="0.2"/>
    <row r="7186" ht="12.75" hidden="1" x14ac:dyDescent="0.2"/>
    <row r="7187" ht="12.75" hidden="1" x14ac:dyDescent="0.2"/>
    <row r="7188" ht="12.75" hidden="1" x14ac:dyDescent="0.2"/>
    <row r="7189" ht="12.75" hidden="1" x14ac:dyDescent="0.2"/>
    <row r="7190" ht="12.75" hidden="1" x14ac:dyDescent="0.2"/>
    <row r="7191" ht="12.75" hidden="1" x14ac:dyDescent="0.2"/>
    <row r="7192" ht="12.75" hidden="1" x14ac:dyDescent="0.2"/>
    <row r="7193" ht="12.75" hidden="1" x14ac:dyDescent="0.2"/>
    <row r="7194" ht="12.75" hidden="1" x14ac:dyDescent="0.2"/>
    <row r="7195" ht="12.75" hidden="1" x14ac:dyDescent="0.2"/>
    <row r="7196" ht="12.75" hidden="1" x14ac:dyDescent="0.2"/>
    <row r="7197" ht="12.75" hidden="1" x14ac:dyDescent="0.2"/>
    <row r="7198" ht="12.75" hidden="1" x14ac:dyDescent="0.2"/>
    <row r="7199" ht="12.75" hidden="1" x14ac:dyDescent="0.2"/>
    <row r="7200" ht="12.75" hidden="1" x14ac:dyDescent="0.2"/>
    <row r="7201" ht="12.75" hidden="1" x14ac:dyDescent="0.2"/>
    <row r="7202" ht="12.75" hidden="1" x14ac:dyDescent="0.2"/>
    <row r="7203" ht="12.75" hidden="1" x14ac:dyDescent="0.2"/>
    <row r="7204" ht="12.75" hidden="1" x14ac:dyDescent="0.2"/>
    <row r="7205" ht="12.75" hidden="1" x14ac:dyDescent="0.2"/>
    <row r="7206" ht="12.75" hidden="1" x14ac:dyDescent="0.2"/>
    <row r="7207" ht="12.75" hidden="1" x14ac:dyDescent="0.2"/>
    <row r="7208" ht="12.75" hidden="1" x14ac:dyDescent="0.2"/>
    <row r="7209" ht="12.75" hidden="1" x14ac:dyDescent="0.2"/>
    <row r="7210" ht="12.75" hidden="1" x14ac:dyDescent="0.2"/>
    <row r="7211" ht="12.75" hidden="1" x14ac:dyDescent="0.2"/>
    <row r="7212" ht="12.75" hidden="1" x14ac:dyDescent="0.2"/>
    <row r="7213" ht="12.75" hidden="1" x14ac:dyDescent="0.2"/>
    <row r="7214" ht="12.75" hidden="1" x14ac:dyDescent="0.2"/>
    <row r="7215" ht="12.75" hidden="1" x14ac:dyDescent="0.2"/>
    <row r="7216" ht="12.75" hidden="1" x14ac:dyDescent="0.2"/>
    <row r="7217" ht="12.75" hidden="1" x14ac:dyDescent="0.2"/>
    <row r="7218" ht="12.75" hidden="1" x14ac:dyDescent="0.2"/>
    <row r="7219" ht="12.75" hidden="1" x14ac:dyDescent="0.2"/>
    <row r="7220" ht="12.75" hidden="1" x14ac:dyDescent="0.2"/>
    <row r="7221" ht="12.75" hidden="1" x14ac:dyDescent="0.2"/>
    <row r="7222" ht="12.75" hidden="1" x14ac:dyDescent="0.2"/>
    <row r="7223" ht="12.75" hidden="1" x14ac:dyDescent="0.2"/>
    <row r="7224" ht="12.75" hidden="1" x14ac:dyDescent="0.2"/>
    <row r="7225" ht="12.75" hidden="1" x14ac:dyDescent="0.2"/>
    <row r="7226" ht="12.75" hidden="1" x14ac:dyDescent="0.2"/>
    <row r="7227" ht="12.75" hidden="1" x14ac:dyDescent="0.2"/>
    <row r="7228" ht="12.75" hidden="1" x14ac:dyDescent="0.2"/>
    <row r="7229" ht="12.75" hidden="1" x14ac:dyDescent="0.2"/>
    <row r="7230" ht="12.75" hidden="1" x14ac:dyDescent="0.2"/>
    <row r="7231" ht="12.75" hidden="1" x14ac:dyDescent="0.2"/>
    <row r="7232" ht="12.75" hidden="1" x14ac:dyDescent="0.2"/>
    <row r="7233" ht="12.75" hidden="1" x14ac:dyDescent="0.2"/>
    <row r="7234" ht="12.75" hidden="1" x14ac:dyDescent="0.2"/>
    <row r="7235" ht="12.75" hidden="1" x14ac:dyDescent="0.2"/>
    <row r="7236" ht="12.75" hidden="1" x14ac:dyDescent="0.2"/>
    <row r="7237" ht="12.75" hidden="1" x14ac:dyDescent="0.2"/>
    <row r="7238" ht="12.75" hidden="1" x14ac:dyDescent="0.2"/>
    <row r="7239" ht="12.75" hidden="1" x14ac:dyDescent="0.2"/>
    <row r="7240" ht="12.75" hidden="1" x14ac:dyDescent="0.2"/>
    <row r="7241" ht="12.75" hidden="1" x14ac:dyDescent="0.2"/>
    <row r="7242" ht="12.75" hidden="1" x14ac:dyDescent="0.2"/>
    <row r="7243" ht="12.75" hidden="1" x14ac:dyDescent="0.2"/>
    <row r="7244" ht="12.75" hidden="1" x14ac:dyDescent="0.2"/>
    <row r="7245" ht="12.75" hidden="1" x14ac:dyDescent="0.2"/>
    <row r="7246" ht="12.75" hidden="1" x14ac:dyDescent="0.2"/>
    <row r="7247" ht="12.75" hidden="1" x14ac:dyDescent="0.2"/>
    <row r="7248" ht="12.75" hidden="1" x14ac:dyDescent="0.2"/>
    <row r="7249" ht="12.75" hidden="1" x14ac:dyDescent="0.2"/>
    <row r="7250" ht="12.75" hidden="1" x14ac:dyDescent="0.2"/>
    <row r="7251" ht="12.75" hidden="1" x14ac:dyDescent="0.2"/>
    <row r="7252" ht="12.75" hidden="1" x14ac:dyDescent="0.2"/>
    <row r="7253" ht="12.75" hidden="1" x14ac:dyDescent="0.2"/>
    <row r="7254" ht="12.75" hidden="1" x14ac:dyDescent="0.2"/>
    <row r="7255" ht="12.75" hidden="1" x14ac:dyDescent="0.2"/>
    <row r="7256" ht="12.75" hidden="1" x14ac:dyDescent="0.2"/>
    <row r="7257" ht="12.75" hidden="1" x14ac:dyDescent="0.2"/>
    <row r="7258" ht="12.75" hidden="1" x14ac:dyDescent="0.2"/>
    <row r="7259" ht="12.75" hidden="1" x14ac:dyDescent="0.2"/>
    <row r="7260" ht="12.75" hidden="1" x14ac:dyDescent="0.2"/>
    <row r="7261" ht="12.75" hidden="1" x14ac:dyDescent="0.2"/>
    <row r="7262" ht="12.75" hidden="1" x14ac:dyDescent="0.2"/>
    <row r="7263" ht="12.75" hidden="1" x14ac:dyDescent="0.2"/>
    <row r="7264" ht="12.75" hidden="1" x14ac:dyDescent="0.2"/>
    <row r="7265" ht="12.75" hidden="1" x14ac:dyDescent="0.2"/>
    <row r="7266" ht="12.75" hidden="1" x14ac:dyDescent="0.2"/>
    <row r="7267" ht="12.75" hidden="1" x14ac:dyDescent="0.2"/>
    <row r="7268" ht="12.75" hidden="1" x14ac:dyDescent="0.2"/>
    <row r="7269" ht="12.75" hidden="1" x14ac:dyDescent="0.2"/>
    <row r="7270" ht="12.75" hidden="1" x14ac:dyDescent="0.2"/>
    <row r="7271" ht="12.75" hidden="1" x14ac:dyDescent="0.2"/>
    <row r="7272" ht="12.75" hidden="1" x14ac:dyDescent="0.2"/>
    <row r="7273" ht="12.75" hidden="1" x14ac:dyDescent="0.2"/>
    <row r="7274" ht="12.75" hidden="1" x14ac:dyDescent="0.2"/>
    <row r="7275" ht="12.75" hidden="1" x14ac:dyDescent="0.2"/>
    <row r="7276" ht="12.75" hidden="1" x14ac:dyDescent="0.2"/>
    <row r="7277" ht="12.75" hidden="1" x14ac:dyDescent="0.2"/>
    <row r="7278" ht="12.75" hidden="1" x14ac:dyDescent="0.2"/>
    <row r="7279" ht="12.75" hidden="1" x14ac:dyDescent="0.2"/>
    <row r="7280" ht="12.75" hidden="1" x14ac:dyDescent="0.2"/>
    <row r="7281" ht="12.75" hidden="1" x14ac:dyDescent="0.2"/>
    <row r="7282" ht="12.75" hidden="1" x14ac:dyDescent="0.2"/>
    <row r="7283" ht="12.75" hidden="1" x14ac:dyDescent="0.2"/>
    <row r="7284" ht="12.75" hidden="1" x14ac:dyDescent="0.2"/>
    <row r="7285" ht="12.75" hidden="1" x14ac:dyDescent="0.2"/>
    <row r="7286" ht="12.75" hidden="1" x14ac:dyDescent="0.2"/>
    <row r="7287" ht="12.75" hidden="1" x14ac:dyDescent="0.2"/>
    <row r="7288" ht="12.75" hidden="1" x14ac:dyDescent="0.2"/>
    <row r="7289" ht="12.75" hidden="1" x14ac:dyDescent="0.2"/>
    <row r="7290" ht="12.75" hidden="1" x14ac:dyDescent="0.2"/>
    <row r="7291" ht="12.75" hidden="1" x14ac:dyDescent="0.2"/>
    <row r="7292" ht="12.75" hidden="1" x14ac:dyDescent="0.2"/>
    <row r="7293" ht="12.75" hidden="1" x14ac:dyDescent="0.2"/>
    <row r="7294" ht="12.75" hidden="1" x14ac:dyDescent="0.2"/>
    <row r="7295" ht="12.75" hidden="1" x14ac:dyDescent="0.2"/>
    <row r="7296" ht="12.75" hidden="1" x14ac:dyDescent="0.2"/>
    <row r="7297" ht="12.75" hidden="1" x14ac:dyDescent="0.2"/>
    <row r="7298" ht="12.75" hidden="1" x14ac:dyDescent="0.2"/>
    <row r="7299" ht="12.75" hidden="1" x14ac:dyDescent="0.2"/>
    <row r="7300" ht="12.75" hidden="1" x14ac:dyDescent="0.2"/>
    <row r="7301" ht="12.75" hidden="1" x14ac:dyDescent="0.2"/>
    <row r="7302" ht="12.75" hidden="1" x14ac:dyDescent="0.2"/>
    <row r="7303" ht="12.75" hidden="1" x14ac:dyDescent="0.2"/>
    <row r="7304" ht="12.75" hidden="1" x14ac:dyDescent="0.2"/>
    <row r="7305" ht="12.75" hidden="1" x14ac:dyDescent="0.2"/>
    <row r="7306" ht="12.75" hidden="1" x14ac:dyDescent="0.2"/>
    <row r="7307" ht="12.75" hidden="1" x14ac:dyDescent="0.2"/>
    <row r="7308" ht="12.75" hidden="1" x14ac:dyDescent="0.2"/>
    <row r="7309" ht="12.75" hidden="1" x14ac:dyDescent="0.2"/>
    <row r="7310" ht="12.75" hidden="1" x14ac:dyDescent="0.2"/>
    <row r="7311" ht="12.75" hidden="1" x14ac:dyDescent="0.2"/>
    <row r="7312" ht="12.75" hidden="1" x14ac:dyDescent="0.2"/>
    <row r="7313" ht="12.75" hidden="1" x14ac:dyDescent="0.2"/>
    <row r="7314" ht="12.75" hidden="1" x14ac:dyDescent="0.2"/>
    <row r="7315" ht="12.75" hidden="1" x14ac:dyDescent="0.2"/>
    <row r="7316" ht="12.75" hidden="1" x14ac:dyDescent="0.2"/>
    <row r="7317" ht="12.75" hidden="1" x14ac:dyDescent="0.2"/>
    <row r="7318" ht="12.75" hidden="1" x14ac:dyDescent="0.2"/>
    <row r="7319" ht="12.75" hidden="1" x14ac:dyDescent="0.2"/>
    <row r="7320" ht="12.75" hidden="1" x14ac:dyDescent="0.2"/>
    <row r="7321" ht="12.75" hidden="1" x14ac:dyDescent="0.2"/>
    <row r="7322" ht="12.75" hidden="1" x14ac:dyDescent="0.2"/>
    <row r="7323" ht="12.75" hidden="1" x14ac:dyDescent="0.2"/>
    <row r="7324" ht="12.75" hidden="1" x14ac:dyDescent="0.2"/>
    <row r="7325" ht="12.75" hidden="1" x14ac:dyDescent="0.2"/>
    <row r="7326" ht="12.75" hidden="1" x14ac:dyDescent="0.2"/>
    <row r="7327" ht="12.75" hidden="1" x14ac:dyDescent="0.2"/>
    <row r="7328" ht="12.75" hidden="1" x14ac:dyDescent="0.2"/>
    <row r="7329" ht="12.75" hidden="1" x14ac:dyDescent="0.2"/>
    <row r="7330" ht="12.75" hidden="1" x14ac:dyDescent="0.2"/>
    <row r="7331" ht="12.75" hidden="1" x14ac:dyDescent="0.2"/>
    <row r="7332" ht="12.75" hidden="1" x14ac:dyDescent="0.2"/>
    <row r="7333" ht="12.75" hidden="1" x14ac:dyDescent="0.2"/>
    <row r="7334" ht="12.75" hidden="1" x14ac:dyDescent="0.2"/>
    <row r="7335" ht="12.75" hidden="1" x14ac:dyDescent="0.2"/>
    <row r="7336" ht="12.75" hidden="1" x14ac:dyDescent="0.2"/>
    <row r="7337" ht="12.75" hidden="1" x14ac:dyDescent="0.2"/>
    <row r="7338" ht="12.75" hidden="1" x14ac:dyDescent="0.2"/>
    <row r="7339" ht="12.75" hidden="1" x14ac:dyDescent="0.2"/>
    <row r="7340" ht="12.75" hidden="1" x14ac:dyDescent="0.2"/>
    <row r="7341" ht="12.75" hidden="1" x14ac:dyDescent="0.2"/>
    <row r="7342" ht="12.75" hidden="1" x14ac:dyDescent="0.2"/>
    <row r="7343" ht="12.75" hidden="1" x14ac:dyDescent="0.2"/>
    <row r="7344" ht="12.75" hidden="1" x14ac:dyDescent="0.2"/>
    <row r="7345" ht="12.75" hidden="1" x14ac:dyDescent="0.2"/>
    <row r="7346" ht="12.75" hidden="1" x14ac:dyDescent="0.2"/>
    <row r="7347" ht="12.75" hidden="1" x14ac:dyDescent="0.2"/>
    <row r="7348" ht="12.75" hidden="1" x14ac:dyDescent="0.2"/>
    <row r="7349" ht="12.75" hidden="1" x14ac:dyDescent="0.2"/>
    <row r="7350" ht="12.75" hidden="1" x14ac:dyDescent="0.2"/>
    <row r="7351" ht="12.75" hidden="1" x14ac:dyDescent="0.2"/>
    <row r="7352" ht="12.75" hidden="1" x14ac:dyDescent="0.2"/>
    <row r="7353" ht="12.75" hidden="1" x14ac:dyDescent="0.2"/>
    <row r="7354" ht="12.75" hidden="1" x14ac:dyDescent="0.2"/>
    <row r="7355" ht="12.75" hidden="1" x14ac:dyDescent="0.2"/>
    <row r="7356" ht="12.75" hidden="1" x14ac:dyDescent="0.2"/>
    <row r="7357" ht="12.75" hidden="1" x14ac:dyDescent="0.2"/>
    <row r="7358" ht="12.75" hidden="1" x14ac:dyDescent="0.2"/>
    <row r="7359" ht="12.75" hidden="1" x14ac:dyDescent="0.2"/>
    <row r="7360" ht="12.75" hidden="1" x14ac:dyDescent="0.2"/>
    <row r="7361" ht="12.75" hidden="1" x14ac:dyDescent="0.2"/>
    <row r="7362" ht="12.75" hidden="1" x14ac:dyDescent="0.2"/>
    <row r="7363" ht="12.75" hidden="1" x14ac:dyDescent="0.2"/>
    <row r="7364" ht="12.75" hidden="1" x14ac:dyDescent="0.2"/>
    <row r="7365" ht="12.75" hidden="1" x14ac:dyDescent="0.2"/>
    <row r="7366" ht="12.75" hidden="1" x14ac:dyDescent="0.2"/>
    <row r="7367" ht="12.75" hidden="1" x14ac:dyDescent="0.2"/>
    <row r="7368" ht="12.75" hidden="1" x14ac:dyDescent="0.2"/>
    <row r="7369" ht="12.75" hidden="1" x14ac:dyDescent="0.2"/>
    <row r="7370" ht="12.75" hidden="1" x14ac:dyDescent="0.2"/>
    <row r="7371" ht="12.75" hidden="1" x14ac:dyDescent="0.2"/>
    <row r="7372" ht="12.75" hidden="1" x14ac:dyDescent="0.2"/>
    <row r="7373" ht="12.75" hidden="1" x14ac:dyDescent="0.2"/>
    <row r="7374" ht="12.75" hidden="1" x14ac:dyDescent="0.2"/>
    <row r="7375" ht="12.75" hidden="1" x14ac:dyDescent="0.2"/>
    <row r="7376" ht="12.75" hidden="1" x14ac:dyDescent="0.2"/>
    <row r="7377" ht="12.75" hidden="1" x14ac:dyDescent="0.2"/>
    <row r="7378" ht="12.75" hidden="1" x14ac:dyDescent="0.2"/>
    <row r="7379" ht="12.75" hidden="1" x14ac:dyDescent="0.2"/>
    <row r="7380" ht="12.75" hidden="1" x14ac:dyDescent="0.2"/>
    <row r="7381" ht="12.75" hidden="1" x14ac:dyDescent="0.2"/>
    <row r="7382" ht="12.75" hidden="1" x14ac:dyDescent="0.2"/>
    <row r="7383" ht="12.75" hidden="1" x14ac:dyDescent="0.2"/>
    <row r="7384" ht="12.75" hidden="1" x14ac:dyDescent="0.2"/>
    <row r="7385" ht="12.75" hidden="1" x14ac:dyDescent="0.2"/>
    <row r="7386" ht="12.75" hidden="1" x14ac:dyDescent="0.2"/>
    <row r="7387" ht="12.75" hidden="1" x14ac:dyDescent="0.2"/>
    <row r="7388" ht="12.75" hidden="1" x14ac:dyDescent="0.2"/>
    <row r="7389" ht="12.75" hidden="1" x14ac:dyDescent="0.2"/>
    <row r="7390" ht="12.75" hidden="1" x14ac:dyDescent="0.2"/>
    <row r="7391" ht="12.75" hidden="1" x14ac:dyDescent="0.2"/>
    <row r="7392" ht="12.75" hidden="1" x14ac:dyDescent="0.2"/>
    <row r="7393" ht="12.75" hidden="1" x14ac:dyDescent="0.2"/>
    <row r="7394" ht="12.75" hidden="1" x14ac:dyDescent="0.2"/>
    <row r="7395" ht="12.75" hidden="1" x14ac:dyDescent="0.2"/>
    <row r="7396" ht="12.75" hidden="1" x14ac:dyDescent="0.2"/>
    <row r="7397" ht="12.75" hidden="1" x14ac:dyDescent="0.2"/>
    <row r="7398" ht="12.75" hidden="1" x14ac:dyDescent="0.2"/>
    <row r="7399" ht="12.75" hidden="1" x14ac:dyDescent="0.2"/>
    <row r="7400" ht="12.75" hidden="1" x14ac:dyDescent="0.2"/>
    <row r="7401" ht="12.75" hidden="1" x14ac:dyDescent="0.2"/>
    <row r="7402" ht="12.75" hidden="1" x14ac:dyDescent="0.2"/>
    <row r="7403" ht="12.75" hidden="1" x14ac:dyDescent="0.2"/>
    <row r="7404" ht="12.75" hidden="1" x14ac:dyDescent="0.2"/>
    <row r="7405" ht="12.75" hidden="1" x14ac:dyDescent="0.2"/>
    <row r="7406" ht="12.75" hidden="1" x14ac:dyDescent="0.2"/>
    <row r="7407" ht="12.75" hidden="1" x14ac:dyDescent="0.2"/>
    <row r="7408" ht="12.75" hidden="1" x14ac:dyDescent="0.2"/>
    <row r="7409" ht="12.75" hidden="1" x14ac:dyDescent="0.2"/>
    <row r="7410" ht="12.75" hidden="1" x14ac:dyDescent="0.2"/>
    <row r="7411" ht="12.75" hidden="1" x14ac:dyDescent="0.2"/>
    <row r="7412" ht="12.75" hidden="1" x14ac:dyDescent="0.2"/>
    <row r="7413" ht="12.75" hidden="1" x14ac:dyDescent="0.2"/>
    <row r="7414" ht="12.75" hidden="1" x14ac:dyDescent="0.2"/>
    <row r="7415" ht="12.75" hidden="1" x14ac:dyDescent="0.2"/>
    <row r="7416" ht="12.75" hidden="1" x14ac:dyDescent="0.2"/>
    <row r="7417" ht="12.75" hidden="1" x14ac:dyDescent="0.2"/>
    <row r="7418" ht="12.75" hidden="1" x14ac:dyDescent="0.2"/>
    <row r="7419" ht="12.75" hidden="1" x14ac:dyDescent="0.2"/>
    <row r="7420" ht="12.75" hidden="1" x14ac:dyDescent="0.2"/>
    <row r="7421" ht="12.75" hidden="1" x14ac:dyDescent="0.2"/>
    <row r="7422" ht="12.75" hidden="1" x14ac:dyDescent="0.2"/>
    <row r="7423" ht="12.75" hidden="1" x14ac:dyDescent="0.2"/>
    <row r="7424" ht="12.75" hidden="1" x14ac:dyDescent="0.2"/>
    <row r="7425" ht="12.75" hidden="1" x14ac:dyDescent="0.2"/>
    <row r="7426" ht="12.75" hidden="1" x14ac:dyDescent="0.2"/>
    <row r="7427" ht="12.75" hidden="1" x14ac:dyDescent="0.2"/>
    <row r="7428" ht="12.75" hidden="1" x14ac:dyDescent="0.2"/>
    <row r="7429" ht="12.75" hidden="1" x14ac:dyDescent="0.2"/>
    <row r="7430" ht="12.75" hidden="1" x14ac:dyDescent="0.2"/>
    <row r="7431" ht="12.75" hidden="1" x14ac:dyDescent="0.2"/>
    <row r="7432" ht="12.75" hidden="1" x14ac:dyDescent="0.2"/>
    <row r="7433" ht="12.75" hidden="1" x14ac:dyDescent="0.2"/>
    <row r="7434" ht="12.75" hidden="1" x14ac:dyDescent="0.2"/>
    <row r="7435" ht="12.75" hidden="1" x14ac:dyDescent="0.2"/>
    <row r="7436" ht="12.75" hidden="1" x14ac:dyDescent="0.2"/>
    <row r="7437" ht="12.75" hidden="1" x14ac:dyDescent="0.2"/>
    <row r="7438" ht="12.75" hidden="1" x14ac:dyDescent="0.2"/>
    <row r="7439" ht="12.75" hidden="1" x14ac:dyDescent="0.2"/>
    <row r="7440" ht="12.75" hidden="1" x14ac:dyDescent="0.2"/>
    <row r="7441" ht="12.75" hidden="1" x14ac:dyDescent="0.2"/>
    <row r="7442" ht="12.75" hidden="1" x14ac:dyDescent="0.2"/>
    <row r="7443" ht="12.75" hidden="1" x14ac:dyDescent="0.2"/>
    <row r="7444" ht="12.75" hidden="1" x14ac:dyDescent="0.2"/>
    <row r="7445" ht="12.75" hidden="1" x14ac:dyDescent="0.2"/>
    <row r="7446" ht="12.75" hidden="1" x14ac:dyDescent="0.2"/>
    <row r="7447" ht="12.75" hidden="1" x14ac:dyDescent="0.2"/>
    <row r="7448" ht="12.75" hidden="1" x14ac:dyDescent="0.2"/>
    <row r="7449" ht="12.75" hidden="1" x14ac:dyDescent="0.2"/>
    <row r="7450" ht="12.75" hidden="1" x14ac:dyDescent="0.2"/>
    <row r="7451" ht="12.75" hidden="1" x14ac:dyDescent="0.2"/>
    <row r="7452" ht="12.75" hidden="1" x14ac:dyDescent="0.2"/>
    <row r="7453" ht="12.75" hidden="1" x14ac:dyDescent="0.2"/>
    <row r="7454" ht="12.75" hidden="1" x14ac:dyDescent="0.2"/>
    <row r="7455" ht="12.75" hidden="1" x14ac:dyDescent="0.2"/>
    <row r="7456" ht="12.75" hidden="1" x14ac:dyDescent="0.2"/>
    <row r="7457" ht="12.75" hidden="1" x14ac:dyDescent="0.2"/>
    <row r="7458" ht="12.75" hidden="1" x14ac:dyDescent="0.2"/>
    <row r="7459" ht="12.75" hidden="1" x14ac:dyDescent="0.2"/>
    <row r="7460" ht="12.75" hidden="1" x14ac:dyDescent="0.2"/>
    <row r="7461" ht="12.75" hidden="1" x14ac:dyDescent="0.2"/>
    <row r="7462" ht="12.75" hidden="1" x14ac:dyDescent="0.2"/>
    <row r="7463" ht="12.75" hidden="1" x14ac:dyDescent="0.2"/>
    <row r="7464" ht="12.75" hidden="1" x14ac:dyDescent="0.2"/>
    <row r="7465" ht="12.75" hidden="1" x14ac:dyDescent="0.2"/>
    <row r="7466" ht="12.75" hidden="1" x14ac:dyDescent="0.2"/>
    <row r="7467" ht="12.75" hidden="1" x14ac:dyDescent="0.2"/>
    <row r="7468" ht="12.75" hidden="1" x14ac:dyDescent="0.2"/>
    <row r="7469" ht="12.75" hidden="1" x14ac:dyDescent="0.2"/>
    <row r="7470" ht="12.75" hidden="1" x14ac:dyDescent="0.2"/>
    <row r="7471" ht="12.75" hidden="1" x14ac:dyDescent="0.2"/>
    <row r="7472" ht="12.75" hidden="1" x14ac:dyDescent="0.2"/>
    <row r="7473" ht="12.75" hidden="1" x14ac:dyDescent="0.2"/>
    <row r="7474" ht="12.75" hidden="1" x14ac:dyDescent="0.2"/>
    <row r="7475" ht="12.75" hidden="1" x14ac:dyDescent="0.2"/>
    <row r="7476" ht="12.75" hidden="1" x14ac:dyDescent="0.2"/>
    <row r="7477" ht="12.75" hidden="1" x14ac:dyDescent="0.2"/>
    <row r="7478" ht="12.75" hidden="1" x14ac:dyDescent="0.2"/>
    <row r="7479" ht="12.75" hidden="1" x14ac:dyDescent="0.2"/>
    <row r="7480" ht="12.75" hidden="1" x14ac:dyDescent="0.2"/>
    <row r="7481" ht="12.75" hidden="1" x14ac:dyDescent="0.2"/>
    <row r="7482" ht="12.75" hidden="1" x14ac:dyDescent="0.2"/>
    <row r="7483" ht="12.75" hidden="1" x14ac:dyDescent="0.2"/>
    <row r="7484" ht="12.75" hidden="1" x14ac:dyDescent="0.2"/>
    <row r="7485" ht="12.75" hidden="1" x14ac:dyDescent="0.2"/>
    <row r="7486" ht="12.75" hidden="1" x14ac:dyDescent="0.2"/>
    <row r="7487" ht="12.75" hidden="1" x14ac:dyDescent="0.2"/>
    <row r="7488" ht="12.75" hidden="1" x14ac:dyDescent="0.2"/>
    <row r="7489" ht="12.75" hidden="1" x14ac:dyDescent="0.2"/>
    <row r="7490" ht="12.75" hidden="1" x14ac:dyDescent="0.2"/>
    <row r="7491" ht="12.75" hidden="1" x14ac:dyDescent="0.2"/>
    <row r="7492" ht="12.75" hidden="1" x14ac:dyDescent="0.2"/>
    <row r="7493" ht="12.75" hidden="1" x14ac:dyDescent="0.2"/>
    <row r="7494" ht="12.75" hidden="1" x14ac:dyDescent="0.2"/>
    <row r="7495" ht="12.75" hidden="1" x14ac:dyDescent="0.2"/>
    <row r="7496" ht="12.75" hidden="1" x14ac:dyDescent="0.2"/>
    <row r="7497" ht="12.75" hidden="1" x14ac:dyDescent="0.2"/>
    <row r="7498" ht="12.75" hidden="1" x14ac:dyDescent="0.2"/>
    <row r="7499" ht="12.75" hidden="1" x14ac:dyDescent="0.2"/>
    <row r="7500" ht="12.75" hidden="1" x14ac:dyDescent="0.2"/>
    <row r="7501" ht="12.75" hidden="1" x14ac:dyDescent="0.2"/>
    <row r="7502" ht="12.75" hidden="1" x14ac:dyDescent="0.2"/>
    <row r="7503" ht="12.75" hidden="1" x14ac:dyDescent="0.2"/>
    <row r="7504" ht="12.75" hidden="1" x14ac:dyDescent="0.2"/>
    <row r="7505" ht="12.75" hidden="1" x14ac:dyDescent="0.2"/>
    <row r="7506" ht="12.75" hidden="1" x14ac:dyDescent="0.2"/>
    <row r="7507" ht="12.75" hidden="1" x14ac:dyDescent="0.2"/>
    <row r="7508" ht="12.75" hidden="1" x14ac:dyDescent="0.2"/>
    <row r="7509" ht="12.75" hidden="1" x14ac:dyDescent="0.2"/>
    <row r="7510" ht="12.75" hidden="1" x14ac:dyDescent="0.2"/>
    <row r="7511" ht="12.75" hidden="1" x14ac:dyDescent="0.2"/>
    <row r="7512" ht="12.75" hidden="1" x14ac:dyDescent="0.2"/>
    <row r="7513" ht="12.75" hidden="1" x14ac:dyDescent="0.2"/>
    <row r="7514" ht="12.75" hidden="1" x14ac:dyDescent="0.2"/>
    <row r="7515" ht="12.75" hidden="1" x14ac:dyDescent="0.2"/>
    <row r="7516" ht="12.75" hidden="1" x14ac:dyDescent="0.2"/>
    <row r="7517" ht="12.75" hidden="1" x14ac:dyDescent="0.2"/>
    <row r="7518" ht="12.75" hidden="1" x14ac:dyDescent="0.2"/>
    <row r="7519" ht="12.75" hidden="1" x14ac:dyDescent="0.2"/>
    <row r="7520" ht="12.75" hidden="1" x14ac:dyDescent="0.2"/>
    <row r="7521" ht="12.75" hidden="1" x14ac:dyDescent="0.2"/>
    <row r="7522" ht="12.75" hidden="1" x14ac:dyDescent="0.2"/>
    <row r="7523" ht="12.75" hidden="1" x14ac:dyDescent="0.2"/>
    <row r="7524" ht="12.75" hidden="1" x14ac:dyDescent="0.2"/>
    <row r="7525" ht="12.75" hidden="1" x14ac:dyDescent="0.2"/>
    <row r="7526" ht="12.75" hidden="1" x14ac:dyDescent="0.2"/>
    <row r="7527" ht="12.75" hidden="1" x14ac:dyDescent="0.2"/>
    <row r="7528" ht="12.75" hidden="1" x14ac:dyDescent="0.2"/>
    <row r="7529" ht="12.75" hidden="1" x14ac:dyDescent="0.2"/>
    <row r="7530" ht="12.75" hidden="1" x14ac:dyDescent="0.2"/>
    <row r="7531" ht="12.75" hidden="1" x14ac:dyDescent="0.2"/>
    <row r="7532" ht="12.75" hidden="1" x14ac:dyDescent="0.2"/>
    <row r="7533" ht="12.75" hidden="1" x14ac:dyDescent="0.2"/>
    <row r="7534" ht="12.75" hidden="1" x14ac:dyDescent="0.2"/>
    <row r="7535" ht="12.75" hidden="1" x14ac:dyDescent="0.2"/>
    <row r="7536" ht="12.75" hidden="1" x14ac:dyDescent="0.2"/>
    <row r="7537" ht="12.75" hidden="1" x14ac:dyDescent="0.2"/>
    <row r="7538" ht="12.75" hidden="1" x14ac:dyDescent="0.2"/>
    <row r="7539" ht="12.75" hidden="1" x14ac:dyDescent="0.2"/>
    <row r="7540" ht="12.75" hidden="1" x14ac:dyDescent="0.2"/>
    <row r="7541" ht="12.75" hidden="1" x14ac:dyDescent="0.2"/>
    <row r="7542" ht="12.75" hidden="1" x14ac:dyDescent="0.2"/>
    <row r="7543" ht="12.75" hidden="1" x14ac:dyDescent="0.2"/>
    <row r="7544" ht="12.75" hidden="1" x14ac:dyDescent="0.2"/>
    <row r="7545" ht="12.75" hidden="1" x14ac:dyDescent="0.2"/>
    <row r="7546" ht="12.75" hidden="1" x14ac:dyDescent="0.2"/>
    <row r="7547" ht="12.75" hidden="1" x14ac:dyDescent="0.2"/>
    <row r="7548" ht="12.75" hidden="1" x14ac:dyDescent="0.2"/>
    <row r="7549" ht="12.75" hidden="1" x14ac:dyDescent="0.2"/>
    <row r="7550" ht="12.75" hidden="1" x14ac:dyDescent="0.2"/>
    <row r="7551" ht="12.75" hidden="1" x14ac:dyDescent="0.2"/>
    <row r="7552" ht="12.75" hidden="1" x14ac:dyDescent="0.2"/>
    <row r="7553" ht="12.75" hidden="1" x14ac:dyDescent="0.2"/>
    <row r="7554" ht="12.75" hidden="1" x14ac:dyDescent="0.2"/>
    <row r="7555" ht="12.75" hidden="1" x14ac:dyDescent="0.2"/>
    <row r="7556" ht="12.75" hidden="1" x14ac:dyDescent="0.2"/>
    <row r="7557" ht="12.75" hidden="1" x14ac:dyDescent="0.2"/>
    <row r="7558" ht="12.75" hidden="1" x14ac:dyDescent="0.2"/>
    <row r="7559" ht="12.75" hidden="1" x14ac:dyDescent="0.2"/>
    <row r="7560" ht="12.75" hidden="1" x14ac:dyDescent="0.2"/>
    <row r="7561" ht="12.75" hidden="1" x14ac:dyDescent="0.2"/>
    <row r="7562" ht="12.75" hidden="1" x14ac:dyDescent="0.2"/>
    <row r="7563" ht="12.75" hidden="1" x14ac:dyDescent="0.2"/>
    <row r="7564" ht="12.75" hidden="1" x14ac:dyDescent="0.2"/>
    <row r="7565" ht="12.75" hidden="1" x14ac:dyDescent="0.2"/>
    <row r="7566" ht="12.75" hidden="1" x14ac:dyDescent="0.2"/>
    <row r="7567" ht="12.75" hidden="1" x14ac:dyDescent="0.2"/>
    <row r="7568" ht="12.75" hidden="1" x14ac:dyDescent="0.2"/>
    <row r="7569" ht="12.75" hidden="1" x14ac:dyDescent="0.2"/>
    <row r="7570" ht="12.75" hidden="1" x14ac:dyDescent="0.2"/>
    <row r="7571" ht="12.75" hidden="1" x14ac:dyDescent="0.2"/>
    <row r="7572" ht="12.75" hidden="1" x14ac:dyDescent="0.2"/>
    <row r="7573" ht="12.75" hidden="1" x14ac:dyDescent="0.2"/>
    <row r="7574" ht="12.75" hidden="1" x14ac:dyDescent="0.2"/>
    <row r="7575" ht="12.75" hidden="1" x14ac:dyDescent="0.2"/>
    <row r="7576" ht="12.75" hidden="1" x14ac:dyDescent="0.2"/>
    <row r="7577" ht="12.75" hidden="1" x14ac:dyDescent="0.2"/>
    <row r="7578" ht="12.75" hidden="1" x14ac:dyDescent="0.2"/>
    <row r="7579" ht="12.75" hidden="1" x14ac:dyDescent="0.2"/>
    <row r="7580" ht="12.75" hidden="1" x14ac:dyDescent="0.2"/>
    <row r="7581" ht="12.75" hidden="1" x14ac:dyDescent="0.2"/>
    <row r="7582" ht="12.75" hidden="1" x14ac:dyDescent="0.2"/>
    <row r="7583" ht="12.75" hidden="1" x14ac:dyDescent="0.2"/>
    <row r="7584" ht="12.75" hidden="1" x14ac:dyDescent="0.2"/>
    <row r="7585" ht="12.75" hidden="1" x14ac:dyDescent="0.2"/>
    <row r="7586" ht="12.75" hidden="1" x14ac:dyDescent="0.2"/>
    <row r="7587" ht="12.75" hidden="1" x14ac:dyDescent="0.2"/>
    <row r="7588" ht="12.75" hidden="1" x14ac:dyDescent="0.2"/>
    <row r="7589" ht="12.75" hidden="1" x14ac:dyDescent="0.2"/>
    <row r="7590" ht="12.75" hidden="1" x14ac:dyDescent="0.2"/>
    <row r="7591" ht="12.75" hidden="1" x14ac:dyDescent="0.2"/>
    <row r="7592" ht="12.75" hidden="1" x14ac:dyDescent="0.2"/>
    <row r="7593" ht="12.75" hidden="1" x14ac:dyDescent="0.2"/>
    <row r="7594" ht="12.75" hidden="1" x14ac:dyDescent="0.2"/>
    <row r="7595" ht="12.75" hidden="1" x14ac:dyDescent="0.2"/>
    <row r="7596" ht="12.75" hidden="1" x14ac:dyDescent="0.2"/>
    <row r="7597" ht="12.75" hidden="1" x14ac:dyDescent="0.2"/>
    <row r="7598" ht="12.75" hidden="1" x14ac:dyDescent="0.2"/>
    <row r="7599" ht="12.75" hidden="1" x14ac:dyDescent="0.2"/>
    <row r="7600" ht="12.75" hidden="1" x14ac:dyDescent="0.2"/>
    <row r="7601" ht="12.75" hidden="1" x14ac:dyDescent="0.2"/>
    <row r="7602" ht="12.75" hidden="1" x14ac:dyDescent="0.2"/>
    <row r="7603" ht="12.75" hidden="1" x14ac:dyDescent="0.2"/>
    <row r="7604" ht="12.75" hidden="1" x14ac:dyDescent="0.2"/>
    <row r="7605" ht="12.75" hidden="1" x14ac:dyDescent="0.2"/>
    <row r="7606" ht="12.75" hidden="1" x14ac:dyDescent="0.2"/>
    <row r="7607" ht="12.75" hidden="1" x14ac:dyDescent="0.2"/>
    <row r="7608" ht="12.75" hidden="1" x14ac:dyDescent="0.2"/>
    <row r="7609" ht="12.75" hidden="1" x14ac:dyDescent="0.2"/>
    <row r="7610" ht="12.75" hidden="1" x14ac:dyDescent="0.2"/>
    <row r="7611" ht="12.75" hidden="1" x14ac:dyDescent="0.2"/>
    <row r="7612" ht="12.75" hidden="1" x14ac:dyDescent="0.2"/>
    <row r="7613" ht="12.75" hidden="1" x14ac:dyDescent="0.2"/>
    <row r="7614" ht="12.75" hidden="1" x14ac:dyDescent="0.2"/>
    <row r="7615" ht="12.75" hidden="1" x14ac:dyDescent="0.2"/>
    <row r="7616" ht="12.75" hidden="1" x14ac:dyDescent="0.2"/>
    <row r="7617" ht="12.75" hidden="1" x14ac:dyDescent="0.2"/>
    <row r="7618" ht="12.75" hidden="1" x14ac:dyDescent="0.2"/>
    <row r="7619" ht="12.75" hidden="1" x14ac:dyDescent="0.2"/>
    <row r="7620" ht="12.75" hidden="1" x14ac:dyDescent="0.2"/>
    <row r="7621" ht="12.75" hidden="1" x14ac:dyDescent="0.2"/>
    <row r="7622" ht="12.75" hidden="1" x14ac:dyDescent="0.2"/>
    <row r="7623" ht="12.75" hidden="1" x14ac:dyDescent="0.2"/>
    <row r="7624" ht="12.75" hidden="1" x14ac:dyDescent="0.2"/>
    <row r="7625" ht="12.75" hidden="1" x14ac:dyDescent="0.2"/>
    <row r="7626" ht="12.75" hidden="1" x14ac:dyDescent="0.2"/>
    <row r="7627" ht="12.75" hidden="1" x14ac:dyDescent="0.2"/>
    <row r="7628" ht="12.75" hidden="1" x14ac:dyDescent="0.2"/>
    <row r="7629" ht="12.75" hidden="1" x14ac:dyDescent="0.2"/>
    <row r="7630" ht="12.75" hidden="1" x14ac:dyDescent="0.2"/>
    <row r="7631" ht="12.75" hidden="1" x14ac:dyDescent="0.2"/>
    <row r="7632" ht="12.75" hidden="1" x14ac:dyDescent="0.2"/>
    <row r="7633" ht="12.75" hidden="1" x14ac:dyDescent="0.2"/>
    <row r="7634" ht="12.75" hidden="1" x14ac:dyDescent="0.2"/>
    <row r="7635" ht="12.75" hidden="1" x14ac:dyDescent="0.2"/>
    <row r="7636" ht="12.75" hidden="1" x14ac:dyDescent="0.2"/>
    <row r="7637" ht="12.75" hidden="1" x14ac:dyDescent="0.2"/>
    <row r="7638" ht="12.75" hidden="1" x14ac:dyDescent="0.2"/>
    <row r="7639" ht="12.75" hidden="1" x14ac:dyDescent="0.2"/>
    <row r="7640" ht="12.75" hidden="1" x14ac:dyDescent="0.2"/>
    <row r="7641" ht="12.75" hidden="1" x14ac:dyDescent="0.2"/>
    <row r="7642" ht="12.75" hidden="1" x14ac:dyDescent="0.2"/>
    <row r="7643" ht="12.75" hidden="1" x14ac:dyDescent="0.2"/>
    <row r="7644" ht="12.75" hidden="1" x14ac:dyDescent="0.2"/>
    <row r="7645" ht="12.75" hidden="1" x14ac:dyDescent="0.2"/>
    <row r="7646" ht="12.75" hidden="1" x14ac:dyDescent="0.2"/>
    <row r="7647" ht="12.75" hidden="1" x14ac:dyDescent="0.2"/>
    <row r="7648" ht="12.75" hidden="1" x14ac:dyDescent="0.2"/>
    <row r="7649" ht="12.75" hidden="1" x14ac:dyDescent="0.2"/>
    <row r="7650" ht="12.75" hidden="1" x14ac:dyDescent="0.2"/>
    <row r="7651" ht="12.75" hidden="1" x14ac:dyDescent="0.2"/>
    <row r="7652" ht="12.75" hidden="1" x14ac:dyDescent="0.2"/>
    <row r="7653" ht="12.75" hidden="1" x14ac:dyDescent="0.2"/>
    <row r="7654" ht="12.75" hidden="1" x14ac:dyDescent="0.2"/>
    <row r="7655" ht="12.75" hidden="1" x14ac:dyDescent="0.2"/>
    <row r="7656" ht="12.75" hidden="1" x14ac:dyDescent="0.2"/>
    <row r="7657" ht="12.75" hidden="1" x14ac:dyDescent="0.2"/>
    <row r="7658" ht="12.75" hidden="1" x14ac:dyDescent="0.2"/>
    <row r="7659" ht="12.75" hidden="1" x14ac:dyDescent="0.2"/>
    <row r="7660" ht="12.75" hidden="1" x14ac:dyDescent="0.2"/>
    <row r="7661" ht="12.75" hidden="1" x14ac:dyDescent="0.2"/>
    <row r="7662" ht="12.75" hidden="1" x14ac:dyDescent="0.2"/>
    <row r="7663" ht="12.75" hidden="1" x14ac:dyDescent="0.2"/>
    <row r="7664" ht="12.75" hidden="1" x14ac:dyDescent="0.2"/>
    <row r="7665" ht="12.75" hidden="1" x14ac:dyDescent="0.2"/>
    <row r="7666" ht="12.75" hidden="1" x14ac:dyDescent="0.2"/>
    <row r="7667" ht="12.75" hidden="1" x14ac:dyDescent="0.2"/>
    <row r="7668" ht="12.75" hidden="1" x14ac:dyDescent="0.2"/>
    <row r="7669" ht="12.75" hidden="1" x14ac:dyDescent="0.2"/>
    <row r="7670" ht="12.75" hidden="1" x14ac:dyDescent="0.2"/>
    <row r="7671" ht="12.75" hidden="1" x14ac:dyDescent="0.2"/>
    <row r="7672" ht="12.75" hidden="1" x14ac:dyDescent="0.2"/>
    <row r="7673" ht="12.75" hidden="1" x14ac:dyDescent="0.2"/>
    <row r="7674" ht="12.75" hidden="1" x14ac:dyDescent="0.2"/>
    <row r="7675" ht="12.75" hidden="1" x14ac:dyDescent="0.2"/>
    <row r="7676" ht="12.75" hidden="1" x14ac:dyDescent="0.2"/>
    <row r="7677" ht="12.75" hidden="1" x14ac:dyDescent="0.2"/>
    <row r="7678" ht="12.75" hidden="1" x14ac:dyDescent="0.2"/>
    <row r="7679" ht="12.75" hidden="1" x14ac:dyDescent="0.2"/>
    <row r="7680" ht="12.75" hidden="1" x14ac:dyDescent="0.2"/>
    <row r="7681" ht="12.75" hidden="1" x14ac:dyDescent="0.2"/>
    <row r="7682" ht="12.75" hidden="1" x14ac:dyDescent="0.2"/>
    <row r="7683" ht="12.75" hidden="1" x14ac:dyDescent="0.2"/>
    <row r="7684" ht="12.75" hidden="1" x14ac:dyDescent="0.2"/>
    <row r="7685" ht="12.75" hidden="1" x14ac:dyDescent="0.2"/>
    <row r="7686" ht="12.75" hidden="1" x14ac:dyDescent="0.2"/>
    <row r="7687" ht="12.75" hidden="1" x14ac:dyDescent="0.2"/>
    <row r="7688" ht="12.75" hidden="1" x14ac:dyDescent="0.2"/>
    <row r="7689" ht="12.75" hidden="1" x14ac:dyDescent="0.2"/>
    <row r="7690" ht="12.75" hidden="1" x14ac:dyDescent="0.2"/>
    <row r="7691" ht="12.75" hidden="1" x14ac:dyDescent="0.2"/>
    <row r="7692" ht="12.75" hidden="1" x14ac:dyDescent="0.2"/>
    <row r="7693" ht="12.75" hidden="1" x14ac:dyDescent="0.2"/>
    <row r="7694" ht="12.75" hidden="1" x14ac:dyDescent="0.2"/>
    <row r="7695" ht="12.75" hidden="1" x14ac:dyDescent="0.2"/>
    <row r="7696" ht="12.75" hidden="1" x14ac:dyDescent="0.2"/>
    <row r="7697" ht="12.75" hidden="1" x14ac:dyDescent="0.2"/>
    <row r="7698" ht="12.75" hidden="1" x14ac:dyDescent="0.2"/>
    <row r="7699" ht="12.75" hidden="1" x14ac:dyDescent="0.2"/>
    <row r="7700" ht="12.75" hidden="1" x14ac:dyDescent="0.2"/>
    <row r="7701" ht="12.75" hidden="1" x14ac:dyDescent="0.2"/>
    <row r="7702" ht="12.75" hidden="1" x14ac:dyDescent="0.2"/>
    <row r="7703" ht="12.75" hidden="1" x14ac:dyDescent="0.2"/>
    <row r="7704" ht="12.75" hidden="1" x14ac:dyDescent="0.2"/>
    <row r="7705" ht="12.75" hidden="1" x14ac:dyDescent="0.2"/>
    <row r="7706" ht="12.75" hidden="1" x14ac:dyDescent="0.2"/>
    <row r="7707" ht="12.75" hidden="1" x14ac:dyDescent="0.2"/>
    <row r="7708" ht="12.75" hidden="1" x14ac:dyDescent="0.2"/>
    <row r="7709" ht="12.75" hidden="1" x14ac:dyDescent="0.2"/>
    <row r="7710" ht="12.75" hidden="1" x14ac:dyDescent="0.2"/>
    <row r="7711" ht="12.75" hidden="1" x14ac:dyDescent="0.2"/>
    <row r="7712" ht="12.75" hidden="1" x14ac:dyDescent="0.2"/>
    <row r="7713" ht="12.75" hidden="1" x14ac:dyDescent="0.2"/>
    <row r="7714" ht="12.75" hidden="1" x14ac:dyDescent="0.2"/>
    <row r="7715" ht="12.75" hidden="1" x14ac:dyDescent="0.2"/>
    <row r="7716" ht="12.75" hidden="1" x14ac:dyDescent="0.2"/>
    <row r="7717" ht="12.75" hidden="1" x14ac:dyDescent="0.2"/>
    <row r="7718" ht="12.75" hidden="1" x14ac:dyDescent="0.2"/>
    <row r="7719" ht="12.75" hidden="1" x14ac:dyDescent="0.2"/>
    <row r="7720" ht="12.75" hidden="1" x14ac:dyDescent="0.2"/>
    <row r="7721" ht="12.75" hidden="1" x14ac:dyDescent="0.2"/>
    <row r="7722" ht="12.75" hidden="1" x14ac:dyDescent="0.2"/>
    <row r="7723" ht="12.75" hidden="1" x14ac:dyDescent="0.2"/>
    <row r="7724" ht="12.75" hidden="1" x14ac:dyDescent="0.2"/>
    <row r="7725" ht="12.75" hidden="1" x14ac:dyDescent="0.2"/>
    <row r="7726" ht="12.75" hidden="1" x14ac:dyDescent="0.2"/>
    <row r="7727" ht="12.75" hidden="1" x14ac:dyDescent="0.2"/>
    <row r="7728" ht="12.75" hidden="1" x14ac:dyDescent="0.2"/>
    <row r="7729" ht="12.75" hidden="1" x14ac:dyDescent="0.2"/>
    <row r="7730" ht="12.75" hidden="1" x14ac:dyDescent="0.2"/>
    <row r="7731" ht="12.75" hidden="1" x14ac:dyDescent="0.2"/>
    <row r="7732" ht="12.75" hidden="1" x14ac:dyDescent="0.2"/>
    <row r="7733" ht="12.75" hidden="1" x14ac:dyDescent="0.2"/>
    <row r="7734" ht="12.75" hidden="1" x14ac:dyDescent="0.2"/>
    <row r="7735" ht="12.75" hidden="1" x14ac:dyDescent="0.2"/>
    <row r="7736" ht="12.75" hidden="1" x14ac:dyDescent="0.2"/>
    <row r="7737" ht="12.75" hidden="1" x14ac:dyDescent="0.2"/>
    <row r="7738" ht="12.75" hidden="1" x14ac:dyDescent="0.2"/>
    <row r="7739" ht="12.75" hidden="1" x14ac:dyDescent="0.2"/>
    <row r="7740" ht="12.75" hidden="1" x14ac:dyDescent="0.2"/>
    <row r="7741" ht="12.75" hidden="1" x14ac:dyDescent="0.2"/>
    <row r="7742" ht="12.75" hidden="1" x14ac:dyDescent="0.2"/>
    <row r="7743" ht="12.75" hidden="1" x14ac:dyDescent="0.2"/>
    <row r="7744" ht="12.75" hidden="1" x14ac:dyDescent="0.2"/>
    <row r="7745" ht="12.75" hidden="1" x14ac:dyDescent="0.2"/>
    <row r="7746" ht="12.75" hidden="1" x14ac:dyDescent="0.2"/>
    <row r="7747" ht="12.75" hidden="1" x14ac:dyDescent="0.2"/>
    <row r="7748" ht="12.75" hidden="1" x14ac:dyDescent="0.2"/>
    <row r="7749" ht="12.75" hidden="1" x14ac:dyDescent="0.2"/>
    <row r="7750" ht="12.75" hidden="1" x14ac:dyDescent="0.2"/>
    <row r="7751" ht="12.75" hidden="1" x14ac:dyDescent="0.2"/>
    <row r="7752" ht="12.75" hidden="1" x14ac:dyDescent="0.2"/>
    <row r="7753" ht="12.75" hidden="1" x14ac:dyDescent="0.2"/>
    <row r="7754" ht="12.75" hidden="1" x14ac:dyDescent="0.2"/>
    <row r="7755" ht="12.75" hidden="1" x14ac:dyDescent="0.2"/>
    <row r="7756" ht="12.75" hidden="1" x14ac:dyDescent="0.2"/>
    <row r="7757" ht="12.75" hidden="1" x14ac:dyDescent="0.2"/>
    <row r="7758" ht="12.75" hidden="1" x14ac:dyDescent="0.2"/>
    <row r="7759" ht="12.75" hidden="1" x14ac:dyDescent="0.2"/>
    <row r="7760" ht="12.75" hidden="1" x14ac:dyDescent="0.2"/>
    <row r="7761" ht="12.75" hidden="1" x14ac:dyDescent="0.2"/>
    <row r="7762" ht="12.75" hidden="1" x14ac:dyDescent="0.2"/>
    <row r="7763" ht="12.75" hidden="1" x14ac:dyDescent="0.2"/>
    <row r="7764" ht="12.75" hidden="1" x14ac:dyDescent="0.2"/>
    <row r="7765" ht="12.75" hidden="1" x14ac:dyDescent="0.2"/>
    <row r="7766" ht="12.75" hidden="1" x14ac:dyDescent="0.2"/>
    <row r="7767" ht="12.75" hidden="1" x14ac:dyDescent="0.2"/>
    <row r="7768" ht="12.75" hidden="1" x14ac:dyDescent="0.2"/>
    <row r="7769" ht="12.75" hidden="1" x14ac:dyDescent="0.2"/>
    <row r="7770" ht="12.75" hidden="1" x14ac:dyDescent="0.2"/>
    <row r="7771" ht="12.75" hidden="1" x14ac:dyDescent="0.2"/>
    <row r="7772" ht="12.75" hidden="1" x14ac:dyDescent="0.2"/>
    <row r="7773" ht="12.75" hidden="1" x14ac:dyDescent="0.2"/>
    <row r="7774" ht="12.75" hidden="1" x14ac:dyDescent="0.2"/>
    <row r="7775" ht="12.75" hidden="1" x14ac:dyDescent="0.2"/>
    <row r="7776" ht="12.75" hidden="1" x14ac:dyDescent="0.2"/>
    <row r="7777" ht="12.75" hidden="1" x14ac:dyDescent="0.2"/>
    <row r="7778" ht="12.75" hidden="1" x14ac:dyDescent="0.2"/>
    <row r="7779" ht="12.75" hidden="1" x14ac:dyDescent="0.2"/>
    <row r="7780" ht="12.75" hidden="1" x14ac:dyDescent="0.2"/>
    <row r="7781" ht="12.75" hidden="1" x14ac:dyDescent="0.2"/>
    <row r="7782" ht="12.75" hidden="1" x14ac:dyDescent="0.2"/>
    <row r="7783" ht="12.75" hidden="1" x14ac:dyDescent="0.2"/>
    <row r="7784" ht="12.75" hidden="1" x14ac:dyDescent="0.2"/>
    <row r="7785" ht="12.75" hidden="1" x14ac:dyDescent="0.2"/>
    <row r="7786" ht="12.75" hidden="1" x14ac:dyDescent="0.2"/>
    <row r="7787" ht="12.75" hidden="1" x14ac:dyDescent="0.2"/>
    <row r="7788" ht="12.75" hidden="1" x14ac:dyDescent="0.2"/>
    <row r="7789" ht="12.75" hidden="1" x14ac:dyDescent="0.2"/>
    <row r="7790" ht="12.75" hidden="1" x14ac:dyDescent="0.2"/>
    <row r="7791" ht="12.75" hidden="1" x14ac:dyDescent="0.2"/>
    <row r="7792" ht="12.75" hidden="1" x14ac:dyDescent="0.2"/>
    <row r="7793" ht="12.75" hidden="1" x14ac:dyDescent="0.2"/>
    <row r="7794" ht="12.75" hidden="1" x14ac:dyDescent="0.2"/>
    <row r="7795" ht="12.75" hidden="1" x14ac:dyDescent="0.2"/>
    <row r="7796" ht="12.75" hidden="1" x14ac:dyDescent="0.2"/>
    <row r="7797" ht="12.75" hidden="1" x14ac:dyDescent="0.2"/>
    <row r="7798" ht="12.75" hidden="1" x14ac:dyDescent="0.2"/>
    <row r="7799" ht="12.75" hidden="1" x14ac:dyDescent="0.2"/>
    <row r="7800" ht="12.75" hidden="1" x14ac:dyDescent="0.2"/>
    <row r="7801" ht="12.75" hidden="1" x14ac:dyDescent="0.2"/>
    <row r="7802" ht="12.75" hidden="1" x14ac:dyDescent="0.2"/>
    <row r="7803" ht="12.75" hidden="1" x14ac:dyDescent="0.2"/>
    <row r="7804" ht="12.75" hidden="1" x14ac:dyDescent="0.2"/>
    <row r="7805" ht="12.75" hidden="1" x14ac:dyDescent="0.2"/>
    <row r="7806" ht="12.75" hidden="1" x14ac:dyDescent="0.2"/>
    <row r="7807" ht="12.75" hidden="1" x14ac:dyDescent="0.2"/>
    <row r="7808" ht="12.75" hidden="1" x14ac:dyDescent="0.2"/>
    <row r="7809" ht="12.75" hidden="1" x14ac:dyDescent="0.2"/>
    <row r="7810" ht="12.75" hidden="1" x14ac:dyDescent="0.2"/>
    <row r="7811" ht="12.75" hidden="1" x14ac:dyDescent="0.2"/>
    <row r="7812" ht="12.75" hidden="1" x14ac:dyDescent="0.2"/>
    <row r="7813" ht="12.75" hidden="1" x14ac:dyDescent="0.2"/>
    <row r="7814" ht="12.75" hidden="1" x14ac:dyDescent="0.2"/>
    <row r="7815" ht="12.75" hidden="1" x14ac:dyDescent="0.2"/>
    <row r="7816" ht="12.75" hidden="1" x14ac:dyDescent="0.2"/>
    <row r="7817" ht="12.75" hidden="1" x14ac:dyDescent="0.2"/>
    <row r="7818" ht="12.75" hidden="1" x14ac:dyDescent="0.2"/>
    <row r="7819" ht="12.75" hidden="1" x14ac:dyDescent="0.2"/>
    <row r="7820" ht="12.75" hidden="1" x14ac:dyDescent="0.2"/>
    <row r="7821" ht="12.75" hidden="1" x14ac:dyDescent="0.2"/>
    <row r="7822" ht="12.75" hidden="1" x14ac:dyDescent="0.2"/>
    <row r="7823" ht="12.75" hidden="1" x14ac:dyDescent="0.2"/>
    <row r="7824" ht="12.75" hidden="1" x14ac:dyDescent="0.2"/>
    <row r="7825" ht="12.75" hidden="1" x14ac:dyDescent="0.2"/>
    <row r="7826" ht="12.75" hidden="1" x14ac:dyDescent="0.2"/>
    <row r="7827" ht="12.75" hidden="1" x14ac:dyDescent="0.2"/>
    <row r="7828" ht="12.75" hidden="1" x14ac:dyDescent="0.2"/>
    <row r="7829" ht="12.75" hidden="1" x14ac:dyDescent="0.2"/>
    <row r="7830" ht="12.75" hidden="1" x14ac:dyDescent="0.2"/>
    <row r="7831" ht="12.75" hidden="1" x14ac:dyDescent="0.2"/>
    <row r="7832" ht="12.75" hidden="1" x14ac:dyDescent="0.2"/>
    <row r="7833" ht="12.75" hidden="1" x14ac:dyDescent="0.2"/>
    <row r="7834" ht="12.75" hidden="1" x14ac:dyDescent="0.2"/>
    <row r="7835" ht="12.75" hidden="1" x14ac:dyDescent="0.2"/>
    <row r="7836" ht="12.75" hidden="1" x14ac:dyDescent="0.2"/>
    <row r="7837" ht="12.75" hidden="1" x14ac:dyDescent="0.2"/>
    <row r="7838" ht="12.75" hidden="1" x14ac:dyDescent="0.2"/>
    <row r="7839" ht="12.75" hidden="1" x14ac:dyDescent="0.2"/>
    <row r="7840" ht="12.75" hidden="1" x14ac:dyDescent="0.2"/>
    <row r="7841" ht="12.75" hidden="1" x14ac:dyDescent="0.2"/>
    <row r="7842" ht="12.75" hidden="1" x14ac:dyDescent="0.2"/>
    <row r="7843" ht="12.75" hidden="1" x14ac:dyDescent="0.2"/>
    <row r="7844" ht="12.75" hidden="1" x14ac:dyDescent="0.2"/>
    <row r="7845" ht="12.75" hidden="1" x14ac:dyDescent="0.2"/>
    <row r="7846" ht="12.75" hidden="1" x14ac:dyDescent="0.2"/>
    <row r="7847" ht="12.75" hidden="1" x14ac:dyDescent="0.2"/>
    <row r="7848" ht="12.75" hidden="1" x14ac:dyDescent="0.2"/>
    <row r="7849" ht="12.75" hidden="1" x14ac:dyDescent="0.2"/>
    <row r="7850" ht="12.75" hidden="1" x14ac:dyDescent="0.2"/>
    <row r="7851" ht="12.75" hidden="1" x14ac:dyDescent="0.2"/>
    <row r="7852" ht="12.75" hidden="1" x14ac:dyDescent="0.2"/>
    <row r="7853" ht="12.75" hidden="1" x14ac:dyDescent="0.2"/>
    <row r="7854" ht="12.75" hidden="1" x14ac:dyDescent="0.2"/>
    <row r="7855" ht="12.75" hidden="1" x14ac:dyDescent="0.2"/>
    <row r="7856" ht="12.75" hidden="1" x14ac:dyDescent="0.2"/>
    <row r="7857" ht="12.75" hidden="1" x14ac:dyDescent="0.2"/>
    <row r="7858" ht="12.75" hidden="1" x14ac:dyDescent="0.2"/>
    <row r="7859" ht="12.75" hidden="1" x14ac:dyDescent="0.2"/>
    <row r="7860" ht="12.75" hidden="1" x14ac:dyDescent="0.2"/>
    <row r="7861" ht="12.75" hidden="1" x14ac:dyDescent="0.2"/>
    <row r="7862" ht="12.75" hidden="1" x14ac:dyDescent="0.2"/>
    <row r="7863" ht="12.75" hidden="1" x14ac:dyDescent="0.2"/>
    <row r="7864" ht="12.75" hidden="1" x14ac:dyDescent="0.2"/>
    <row r="7865" ht="12.75" hidden="1" x14ac:dyDescent="0.2"/>
    <row r="7866" ht="12.75" hidden="1" x14ac:dyDescent="0.2"/>
    <row r="7867" ht="12.75" hidden="1" x14ac:dyDescent="0.2"/>
    <row r="7868" ht="12.75" hidden="1" x14ac:dyDescent="0.2"/>
    <row r="7869" ht="12.75" hidden="1" x14ac:dyDescent="0.2"/>
    <row r="7870" ht="12.75" hidden="1" x14ac:dyDescent="0.2"/>
    <row r="7871" ht="12.75" hidden="1" x14ac:dyDescent="0.2"/>
    <row r="7872" ht="12.75" hidden="1" x14ac:dyDescent="0.2"/>
    <row r="7873" ht="12.75" hidden="1" x14ac:dyDescent="0.2"/>
    <row r="7874" ht="12.75" hidden="1" x14ac:dyDescent="0.2"/>
    <row r="7875" ht="12.75" hidden="1" x14ac:dyDescent="0.2"/>
    <row r="7876" ht="12.75" hidden="1" x14ac:dyDescent="0.2"/>
    <row r="7877" ht="12.75" hidden="1" x14ac:dyDescent="0.2"/>
    <row r="7878" ht="12.75" hidden="1" x14ac:dyDescent="0.2"/>
    <row r="7879" ht="12.75" hidden="1" x14ac:dyDescent="0.2"/>
    <row r="7880" ht="12.75" hidden="1" x14ac:dyDescent="0.2"/>
    <row r="7881" ht="12.75" hidden="1" x14ac:dyDescent="0.2"/>
    <row r="7882" ht="12.75" hidden="1" x14ac:dyDescent="0.2"/>
    <row r="7883" ht="12.75" hidden="1" x14ac:dyDescent="0.2"/>
    <row r="7884" ht="12.75" hidden="1" x14ac:dyDescent="0.2"/>
    <row r="7885" ht="12.75" hidden="1" x14ac:dyDescent="0.2"/>
    <row r="7886" ht="12.75" hidden="1" x14ac:dyDescent="0.2"/>
    <row r="7887" ht="12.75" hidden="1" x14ac:dyDescent="0.2"/>
    <row r="7888" ht="12.75" hidden="1" x14ac:dyDescent="0.2"/>
    <row r="7889" ht="12.75" hidden="1" x14ac:dyDescent="0.2"/>
    <row r="7890" ht="12.75" hidden="1" x14ac:dyDescent="0.2"/>
    <row r="7891" ht="12.75" hidden="1" x14ac:dyDescent="0.2"/>
    <row r="7892" ht="12.75" hidden="1" x14ac:dyDescent="0.2"/>
    <row r="7893" ht="12.75" hidden="1" x14ac:dyDescent="0.2"/>
    <row r="7894" ht="12.75" hidden="1" x14ac:dyDescent="0.2"/>
    <row r="7895" ht="12.75" hidden="1" x14ac:dyDescent="0.2"/>
    <row r="7896" ht="12.75" hidden="1" x14ac:dyDescent="0.2"/>
    <row r="7897" ht="12.75" hidden="1" x14ac:dyDescent="0.2"/>
    <row r="7898" ht="12.75" hidden="1" x14ac:dyDescent="0.2"/>
    <row r="7899" ht="12.75" hidden="1" x14ac:dyDescent="0.2"/>
    <row r="7900" ht="12.75" hidden="1" x14ac:dyDescent="0.2"/>
    <row r="7901" ht="12.75" hidden="1" x14ac:dyDescent="0.2"/>
    <row r="7902" ht="12.75" hidden="1" x14ac:dyDescent="0.2"/>
    <row r="7903" ht="12.75" hidden="1" x14ac:dyDescent="0.2"/>
    <row r="7904" ht="12.75" hidden="1" x14ac:dyDescent="0.2"/>
    <row r="7905" ht="12.75" hidden="1" x14ac:dyDescent="0.2"/>
    <row r="7906" ht="12.75" hidden="1" x14ac:dyDescent="0.2"/>
    <row r="7907" ht="12.75" hidden="1" x14ac:dyDescent="0.2"/>
    <row r="7908" ht="12.75" hidden="1" x14ac:dyDescent="0.2"/>
    <row r="7909" ht="12.75" hidden="1" x14ac:dyDescent="0.2"/>
    <row r="7910" ht="12.75" hidden="1" x14ac:dyDescent="0.2"/>
    <row r="7911" ht="12.75" hidden="1" x14ac:dyDescent="0.2"/>
    <row r="7912" ht="12.75" hidden="1" x14ac:dyDescent="0.2"/>
    <row r="7913" ht="12.75" hidden="1" x14ac:dyDescent="0.2"/>
    <row r="7914" ht="12.75" hidden="1" x14ac:dyDescent="0.2"/>
    <row r="7915" ht="12.75" hidden="1" x14ac:dyDescent="0.2"/>
    <row r="7916" ht="12.75" hidden="1" x14ac:dyDescent="0.2"/>
    <row r="7917" ht="12.75" hidden="1" x14ac:dyDescent="0.2"/>
    <row r="7918" ht="12.75" hidden="1" x14ac:dyDescent="0.2"/>
    <row r="7919" ht="12.75" hidden="1" x14ac:dyDescent="0.2"/>
    <row r="7920" ht="12.75" hidden="1" x14ac:dyDescent="0.2"/>
    <row r="7921" ht="12.75" hidden="1" x14ac:dyDescent="0.2"/>
    <row r="7922" ht="12.75" hidden="1" x14ac:dyDescent="0.2"/>
    <row r="7923" ht="12.75" hidden="1" x14ac:dyDescent="0.2"/>
    <row r="7924" ht="12.75" hidden="1" x14ac:dyDescent="0.2"/>
    <row r="7925" ht="12.75" hidden="1" x14ac:dyDescent="0.2"/>
    <row r="7926" ht="12.75" hidden="1" x14ac:dyDescent="0.2"/>
    <row r="7927" ht="12.75" hidden="1" x14ac:dyDescent="0.2"/>
    <row r="7928" ht="12.75" hidden="1" x14ac:dyDescent="0.2"/>
    <row r="7929" ht="12.75" hidden="1" x14ac:dyDescent="0.2"/>
    <row r="7930" ht="12.75" hidden="1" x14ac:dyDescent="0.2"/>
    <row r="7931" ht="12.75" hidden="1" x14ac:dyDescent="0.2"/>
    <row r="7932" ht="12.75" hidden="1" x14ac:dyDescent="0.2"/>
    <row r="7933" ht="12.75" hidden="1" x14ac:dyDescent="0.2"/>
    <row r="7934" ht="12.75" hidden="1" x14ac:dyDescent="0.2"/>
    <row r="7935" ht="12.75" hidden="1" x14ac:dyDescent="0.2"/>
    <row r="7936" ht="12.75" hidden="1" x14ac:dyDescent="0.2"/>
    <row r="7937" ht="12.75" hidden="1" x14ac:dyDescent="0.2"/>
    <row r="7938" ht="12.75" hidden="1" x14ac:dyDescent="0.2"/>
    <row r="7939" ht="12.75" hidden="1" x14ac:dyDescent="0.2"/>
    <row r="7940" ht="12.75" hidden="1" x14ac:dyDescent="0.2"/>
    <row r="7941" ht="12.75" hidden="1" x14ac:dyDescent="0.2"/>
    <row r="7942" ht="12.75" hidden="1" x14ac:dyDescent="0.2"/>
    <row r="7943" ht="12.75" hidden="1" x14ac:dyDescent="0.2"/>
    <row r="7944" ht="12.75" hidden="1" x14ac:dyDescent="0.2"/>
    <row r="7945" ht="12.75" hidden="1" x14ac:dyDescent="0.2"/>
    <row r="7946" ht="12.75" hidden="1" x14ac:dyDescent="0.2"/>
    <row r="7947" ht="12.75" hidden="1" x14ac:dyDescent="0.2"/>
    <row r="7948" ht="12.75" hidden="1" x14ac:dyDescent="0.2"/>
    <row r="7949" ht="12.75" hidden="1" x14ac:dyDescent="0.2"/>
    <row r="7950" ht="12.75" hidden="1" x14ac:dyDescent="0.2"/>
    <row r="7951" ht="12.75" hidden="1" x14ac:dyDescent="0.2"/>
    <row r="7952" ht="12.75" hidden="1" x14ac:dyDescent="0.2"/>
    <row r="7953" ht="12.75" hidden="1" x14ac:dyDescent="0.2"/>
    <row r="7954" ht="12.75" hidden="1" x14ac:dyDescent="0.2"/>
    <row r="7955" ht="12.75" hidden="1" x14ac:dyDescent="0.2"/>
    <row r="7956" ht="12.75" hidden="1" x14ac:dyDescent="0.2"/>
    <row r="7957" ht="12.75" hidden="1" x14ac:dyDescent="0.2"/>
    <row r="7958" ht="12.75" hidden="1" x14ac:dyDescent="0.2"/>
    <row r="7959" ht="12.75" hidden="1" x14ac:dyDescent="0.2"/>
    <row r="7960" ht="12.75" hidden="1" x14ac:dyDescent="0.2"/>
    <row r="7961" ht="12.75" hidden="1" x14ac:dyDescent="0.2"/>
    <row r="7962" ht="12.75" hidden="1" x14ac:dyDescent="0.2"/>
    <row r="7963" ht="12.75" hidden="1" x14ac:dyDescent="0.2"/>
    <row r="7964" ht="12.75" hidden="1" x14ac:dyDescent="0.2"/>
    <row r="7965" ht="12.75" hidden="1" x14ac:dyDescent="0.2"/>
    <row r="7966" ht="12.75" hidden="1" x14ac:dyDescent="0.2"/>
    <row r="7967" ht="12.75" hidden="1" x14ac:dyDescent="0.2"/>
    <row r="7968" ht="12.75" hidden="1" x14ac:dyDescent="0.2"/>
    <row r="7969" ht="12.75" hidden="1" x14ac:dyDescent="0.2"/>
    <row r="7970" ht="12.75" hidden="1" x14ac:dyDescent="0.2"/>
    <row r="7971" ht="12.75" hidden="1" x14ac:dyDescent="0.2"/>
    <row r="7972" ht="12.75" hidden="1" x14ac:dyDescent="0.2"/>
    <row r="7973" ht="12.75" hidden="1" x14ac:dyDescent="0.2"/>
    <row r="7974" ht="12.75" hidden="1" x14ac:dyDescent="0.2"/>
    <row r="7975" ht="12.75" hidden="1" x14ac:dyDescent="0.2"/>
    <row r="7976" ht="12.75" hidden="1" x14ac:dyDescent="0.2"/>
    <row r="7977" ht="12.75" hidden="1" x14ac:dyDescent="0.2"/>
    <row r="7978" ht="12.75" hidden="1" x14ac:dyDescent="0.2"/>
    <row r="7979" ht="12.75" hidden="1" x14ac:dyDescent="0.2"/>
    <row r="7980" ht="12.75" hidden="1" x14ac:dyDescent="0.2"/>
    <row r="7981" ht="12.75" hidden="1" x14ac:dyDescent="0.2"/>
    <row r="7982" ht="12.75" hidden="1" x14ac:dyDescent="0.2"/>
    <row r="7983" ht="12.75" hidden="1" x14ac:dyDescent="0.2"/>
    <row r="7984" ht="12.75" hidden="1" x14ac:dyDescent="0.2"/>
    <row r="7985" ht="12.75" hidden="1" x14ac:dyDescent="0.2"/>
    <row r="7986" ht="12.75" hidden="1" x14ac:dyDescent="0.2"/>
    <row r="7987" ht="12.75" hidden="1" x14ac:dyDescent="0.2"/>
    <row r="7988" ht="12.75" hidden="1" x14ac:dyDescent="0.2"/>
    <row r="7989" ht="12.75" hidden="1" x14ac:dyDescent="0.2"/>
    <row r="7990" ht="12.75" hidden="1" x14ac:dyDescent="0.2"/>
    <row r="7991" ht="12.75" hidden="1" x14ac:dyDescent="0.2"/>
    <row r="7992" ht="12.75" hidden="1" x14ac:dyDescent="0.2"/>
    <row r="7993" ht="12.75" hidden="1" x14ac:dyDescent="0.2"/>
    <row r="7994" ht="12.75" hidden="1" x14ac:dyDescent="0.2"/>
    <row r="7995" ht="12.75" hidden="1" x14ac:dyDescent="0.2"/>
    <row r="7996" ht="12.75" hidden="1" x14ac:dyDescent="0.2"/>
    <row r="7997" ht="12.75" hidden="1" x14ac:dyDescent="0.2"/>
    <row r="7998" ht="12.75" hidden="1" x14ac:dyDescent="0.2"/>
    <row r="7999" ht="12.75" hidden="1" x14ac:dyDescent="0.2"/>
    <row r="8000" ht="12.75" hidden="1" x14ac:dyDescent="0.2"/>
    <row r="8001" ht="12.75" hidden="1" x14ac:dyDescent="0.2"/>
    <row r="8002" ht="12.75" hidden="1" x14ac:dyDescent="0.2"/>
    <row r="8003" ht="12.75" hidden="1" x14ac:dyDescent="0.2"/>
    <row r="8004" ht="12.75" hidden="1" x14ac:dyDescent="0.2"/>
    <row r="8005" ht="12.75" hidden="1" x14ac:dyDescent="0.2"/>
    <row r="8006" ht="12.75" hidden="1" x14ac:dyDescent="0.2"/>
    <row r="8007" ht="12.75" hidden="1" x14ac:dyDescent="0.2"/>
    <row r="8008" ht="12.75" hidden="1" x14ac:dyDescent="0.2"/>
    <row r="8009" ht="12.75" hidden="1" x14ac:dyDescent="0.2"/>
    <row r="8010" ht="12.75" hidden="1" x14ac:dyDescent="0.2"/>
    <row r="8011" ht="12.75" hidden="1" x14ac:dyDescent="0.2"/>
    <row r="8012" ht="12.75" hidden="1" x14ac:dyDescent="0.2"/>
    <row r="8013" ht="12.75" hidden="1" x14ac:dyDescent="0.2"/>
    <row r="8014" ht="12.75" hidden="1" x14ac:dyDescent="0.2"/>
    <row r="8015" ht="12.75" hidden="1" x14ac:dyDescent="0.2"/>
    <row r="8016" ht="12.75" hidden="1" x14ac:dyDescent="0.2"/>
    <row r="8017" ht="12.75" hidden="1" x14ac:dyDescent="0.2"/>
    <row r="8018" ht="12.75" hidden="1" x14ac:dyDescent="0.2"/>
    <row r="8019" ht="12.75" hidden="1" x14ac:dyDescent="0.2"/>
    <row r="8020" ht="12.75" hidden="1" x14ac:dyDescent="0.2"/>
    <row r="8021" ht="12.75" hidden="1" x14ac:dyDescent="0.2"/>
    <row r="8022" ht="12.75" hidden="1" x14ac:dyDescent="0.2"/>
    <row r="8023" ht="12.75" hidden="1" x14ac:dyDescent="0.2"/>
    <row r="8024" ht="12.75" hidden="1" x14ac:dyDescent="0.2"/>
    <row r="8025" ht="12.75" hidden="1" x14ac:dyDescent="0.2"/>
    <row r="8026" ht="12.75" hidden="1" x14ac:dyDescent="0.2"/>
    <row r="8027" ht="12.75" hidden="1" x14ac:dyDescent="0.2"/>
    <row r="8028" ht="12.75" hidden="1" x14ac:dyDescent="0.2"/>
    <row r="8029" ht="12.75" hidden="1" x14ac:dyDescent="0.2"/>
    <row r="8030" ht="12.75" hidden="1" x14ac:dyDescent="0.2"/>
    <row r="8031" ht="12.75" hidden="1" x14ac:dyDescent="0.2"/>
    <row r="8032" ht="12.75" hidden="1" x14ac:dyDescent="0.2"/>
    <row r="8033" ht="12.75" hidden="1" x14ac:dyDescent="0.2"/>
    <row r="8034" ht="12.75" hidden="1" x14ac:dyDescent="0.2"/>
    <row r="8035" ht="12.75" hidden="1" x14ac:dyDescent="0.2"/>
    <row r="8036" ht="12.75" hidden="1" x14ac:dyDescent="0.2"/>
    <row r="8037" ht="12.75" hidden="1" x14ac:dyDescent="0.2"/>
    <row r="8038" ht="12.75" hidden="1" x14ac:dyDescent="0.2"/>
    <row r="8039" ht="12.75" hidden="1" x14ac:dyDescent="0.2"/>
    <row r="8040" ht="12.75" hidden="1" x14ac:dyDescent="0.2"/>
    <row r="8041" ht="12.75" hidden="1" x14ac:dyDescent="0.2"/>
    <row r="8042" ht="12.75" hidden="1" x14ac:dyDescent="0.2"/>
    <row r="8043" ht="12.75" hidden="1" x14ac:dyDescent="0.2"/>
    <row r="8044" ht="12.75" hidden="1" x14ac:dyDescent="0.2"/>
    <row r="8045" ht="12.75" hidden="1" x14ac:dyDescent="0.2"/>
    <row r="8046" ht="12.75" hidden="1" x14ac:dyDescent="0.2"/>
    <row r="8047" ht="12.75" hidden="1" x14ac:dyDescent="0.2"/>
    <row r="8048" ht="12.75" hidden="1" x14ac:dyDescent="0.2"/>
    <row r="8049" ht="12.75" hidden="1" x14ac:dyDescent="0.2"/>
    <row r="8050" ht="12.75" hidden="1" x14ac:dyDescent="0.2"/>
    <row r="8051" ht="12.75" hidden="1" x14ac:dyDescent="0.2"/>
    <row r="8052" ht="12.75" hidden="1" x14ac:dyDescent="0.2"/>
    <row r="8053" ht="12.75" hidden="1" x14ac:dyDescent="0.2"/>
    <row r="8054" ht="12.75" hidden="1" x14ac:dyDescent="0.2"/>
    <row r="8055" ht="12.75" hidden="1" x14ac:dyDescent="0.2"/>
    <row r="8056" ht="12.75" hidden="1" x14ac:dyDescent="0.2"/>
    <row r="8057" ht="12.75" hidden="1" x14ac:dyDescent="0.2"/>
    <row r="8058" ht="12.75" hidden="1" x14ac:dyDescent="0.2"/>
    <row r="8059" ht="12.75" hidden="1" x14ac:dyDescent="0.2"/>
    <row r="8060" ht="12.75" hidden="1" x14ac:dyDescent="0.2"/>
    <row r="8061" ht="12.75" hidden="1" x14ac:dyDescent="0.2"/>
    <row r="8062" ht="12.75" hidden="1" x14ac:dyDescent="0.2"/>
    <row r="8063" ht="12.75" hidden="1" x14ac:dyDescent="0.2"/>
    <row r="8064" ht="12.75" hidden="1" x14ac:dyDescent="0.2"/>
    <row r="8065" ht="12.75" hidden="1" x14ac:dyDescent="0.2"/>
    <row r="8066" ht="12.75" hidden="1" x14ac:dyDescent="0.2"/>
    <row r="8067" ht="12.75" hidden="1" x14ac:dyDescent="0.2"/>
    <row r="8068" ht="12.75" hidden="1" x14ac:dyDescent="0.2"/>
    <row r="8069" ht="12.75" hidden="1" x14ac:dyDescent="0.2"/>
    <row r="8070" ht="12.75" hidden="1" x14ac:dyDescent="0.2"/>
    <row r="8071" ht="12.75" hidden="1" x14ac:dyDescent="0.2"/>
    <row r="8072" ht="12.75" hidden="1" x14ac:dyDescent="0.2"/>
    <row r="8073" ht="12.75" hidden="1" x14ac:dyDescent="0.2"/>
    <row r="8074" ht="12.75" hidden="1" x14ac:dyDescent="0.2"/>
    <row r="8075" ht="12.75" hidden="1" x14ac:dyDescent="0.2"/>
    <row r="8076" ht="12.75" hidden="1" x14ac:dyDescent="0.2"/>
    <row r="8077" ht="12.75" hidden="1" x14ac:dyDescent="0.2"/>
    <row r="8078" ht="12.75" hidden="1" x14ac:dyDescent="0.2"/>
    <row r="8079" ht="12.75" hidden="1" x14ac:dyDescent="0.2"/>
    <row r="8080" ht="12.75" hidden="1" x14ac:dyDescent="0.2"/>
    <row r="8081" ht="12.75" hidden="1" x14ac:dyDescent="0.2"/>
    <row r="8082" ht="12.75" hidden="1" x14ac:dyDescent="0.2"/>
    <row r="8083" ht="12.75" hidden="1" x14ac:dyDescent="0.2"/>
    <row r="8084" ht="12.75" hidden="1" x14ac:dyDescent="0.2"/>
    <row r="8085" ht="12.75" hidden="1" x14ac:dyDescent="0.2"/>
    <row r="8086" ht="12.75" hidden="1" x14ac:dyDescent="0.2"/>
    <row r="8087" ht="12.75" hidden="1" x14ac:dyDescent="0.2"/>
    <row r="8088" ht="12.75" hidden="1" x14ac:dyDescent="0.2"/>
    <row r="8089" ht="12.75" hidden="1" x14ac:dyDescent="0.2"/>
    <row r="8090" ht="12.75" hidden="1" x14ac:dyDescent="0.2"/>
    <row r="8091" ht="12.75" hidden="1" x14ac:dyDescent="0.2"/>
    <row r="8092" ht="12.75" hidden="1" x14ac:dyDescent="0.2"/>
    <row r="8093" ht="12.75" hidden="1" x14ac:dyDescent="0.2"/>
    <row r="8094" ht="12.75" hidden="1" x14ac:dyDescent="0.2"/>
    <row r="8095" ht="12.75" hidden="1" x14ac:dyDescent="0.2"/>
    <row r="8096" ht="12.75" hidden="1" x14ac:dyDescent="0.2"/>
    <row r="8097" ht="12.75" hidden="1" x14ac:dyDescent="0.2"/>
    <row r="8098" ht="12.75" hidden="1" x14ac:dyDescent="0.2"/>
    <row r="8099" ht="12.75" hidden="1" x14ac:dyDescent="0.2"/>
    <row r="8100" ht="12.75" hidden="1" x14ac:dyDescent="0.2"/>
    <row r="8101" ht="12.75" hidden="1" x14ac:dyDescent="0.2"/>
    <row r="8102" ht="12.75" hidden="1" x14ac:dyDescent="0.2"/>
    <row r="8103" ht="12.75" hidden="1" x14ac:dyDescent="0.2"/>
    <row r="8104" ht="12.75" hidden="1" x14ac:dyDescent="0.2"/>
    <row r="8105" ht="12.75" hidden="1" x14ac:dyDescent="0.2"/>
    <row r="8106" ht="12.75" hidden="1" x14ac:dyDescent="0.2"/>
    <row r="8107" ht="12.75" hidden="1" x14ac:dyDescent="0.2"/>
    <row r="8108" ht="12.75" hidden="1" x14ac:dyDescent="0.2"/>
    <row r="8109" ht="12.75" hidden="1" x14ac:dyDescent="0.2"/>
    <row r="8110" ht="12.75" hidden="1" x14ac:dyDescent="0.2"/>
    <row r="8111" ht="12.75" hidden="1" x14ac:dyDescent="0.2"/>
    <row r="8112" ht="12.75" hidden="1" x14ac:dyDescent="0.2"/>
    <row r="8113" ht="12.75" hidden="1" x14ac:dyDescent="0.2"/>
    <row r="8114" ht="12.75" hidden="1" x14ac:dyDescent="0.2"/>
    <row r="8115" ht="12.75" hidden="1" x14ac:dyDescent="0.2"/>
    <row r="8116" ht="12.75" hidden="1" x14ac:dyDescent="0.2"/>
    <row r="8117" ht="12.75" hidden="1" x14ac:dyDescent="0.2"/>
    <row r="8118" ht="12.75" hidden="1" x14ac:dyDescent="0.2"/>
    <row r="8119" ht="12.75" hidden="1" x14ac:dyDescent="0.2"/>
    <row r="8120" ht="12.75" hidden="1" x14ac:dyDescent="0.2"/>
    <row r="8121" ht="12.75" hidden="1" x14ac:dyDescent="0.2"/>
    <row r="8122" ht="12.75" hidden="1" x14ac:dyDescent="0.2"/>
    <row r="8123" ht="12.75" hidden="1" x14ac:dyDescent="0.2"/>
    <row r="8124" ht="12.75" hidden="1" x14ac:dyDescent="0.2"/>
    <row r="8125" ht="12.75" hidden="1" x14ac:dyDescent="0.2"/>
    <row r="8126" ht="12.75" hidden="1" x14ac:dyDescent="0.2"/>
    <row r="8127" ht="12.75" hidden="1" x14ac:dyDescent="0.2"/>
    <row r="8128" ht="12.75" hidden="1" x14ac:dyDescent="0.2"/>
    <row r="8129" ht="12.75" hidden="1" x14ac:dyDescent="0.2"/>
    <row r="8130" ht="12.75" hidden="1" x14ac:dyDescent="0.2"/>
    <row r="8131" ht="12.75" hidden="1" x14ac:dyDescent="0.2"/>
    <row r="8132" ht="12.75" hidden="1" x14ac:dyDescent="0.2"/>
    <row r="8133" ht="12.75" hidden="1" x14ac:dyDescent="0.2"/>
    <row r="8134" ht="12.75" hidden="1" x14ac:dyDescent="0.2"/>
    <row r="8135" ht="12.75" hidden="1" x14ac:dyDescent="0.2"/>
    <row r="8136" ht="12.75" hidden="1" x14ac:dyDescent="0.2"/>
    <row r="8137" ht="12.75" hidden="1" x14ac:dyDescent="0.2"/>
    <row r="8138" ht="12.75" hidden="1" x14ac:dyDescent="0.2"/>
    <row r="8139" ht="12.75" hidden="1" x14ac:dyDescent="0.2"/>
    <row r="8140" ht="12.75" hidden="1" x14ac:dyDescent="0.2"/>
    <row r="8141" ht="12.75" hidden="1" x14ac:dyDescent="0.2"/>
    <row r="8142" ht="12.75" hidden="1" x14ac:dyDescent="0.2"/>
    <row r="8143" ht="12.75" hidden="1" x14ac:dyDescent="0.2"/>
    <row r="8144" ht="12.75" hidden="1" x14ac:dyDescent="0.2"/>
    <row r="8145" ht="12.75" hidden="1" x14ac:dyDescent="0.2"/>
    <row r="8146" ht="12.75" hidden="1" x14ac:dyDescent="0.2"/>
    <row r="8147" ht="12.75" hidden="1" x14ac:dyDescent="0.2"/>
    <row r="8148" ht="12.75" hidden="1" x14ac:dyDescent="0.2"/>
    <row r="8149" ht="12.75" hidden="1" x14ac:dyDescent="0.2"/>
    <row r="8150" ht="12.75" hidden="1" x14ac:dyDescent="0.2"/>
    <row r="8151" ht="12.75" hidden="1" x14ac:dyDescent="0.2"/>
    <row r="8152" ht="12.75" hidden="1" x14ac:dyDescent="0.2"/>
    <row r="8153" ht="12.75" hidden="1" x14ac:dyDescent="0.2"/>
    <row r="8154" ht="12.75" hidden="1" x14ac:dyDescent="0.2"/>
    <row r="8155" ht="12.75" hidden="1" x14ac:dyDescent="0.2"/>
    <row r="8156" ht="12.75" hidden="1" x14ac:dyDescent="0.2"/>
    <row r="8157" ht="12.75" hidden="1" x14ac:dyDescent="0.2"/>
    <row r="8158" ht="12.75" hidden="1" x14ac:dyDescent="0.2"/>
    <row r="8159" ht="12.75" hidden="1" x14ac:dyDescent="0.2"/>
    <row r="8160" ht="12.75" hidden="1" x14ac:dyDescent="0.2"/>
    <row r="8161" ht="12.75" hidden="1" x14ac:dyDescent="0.2"/>
    <row r="8162" ht="12.75" hidden="1" x14ac:dyDescent="0.2"/>
    <row r="8163" ht="12.75" hidden="1" x14ac:dyDescent="0.2"/>
    <row r="8164" ht="12.75" hidden="1" x14ac:dyDescent="0.2"/>
    <row r="8165" ht="12.75" hidden="1" x14ac:dyDescent="0.2"/>
    <row r="8166" ht="12.75" hidden="1" x14ac:dyDescent="0.2"/>
    <row r="8167" ht="12.75" hidden="1" x14ac:dyDescent="0.2"/>
    <row r="8168" ht="12.75" hidden="1" x14ac:dyDescent="0.2"/>
    <row r="8169" ht="12.75" hidden="1" x14ac:dyDescent="0.2"/>
    <row r="8170" ht="12.75" hidden="1" x14ac:dyDescent="0.2"/>
    <row r="8171" ht="12.75" hidden="1" x14ac:dyDescent="0.2"/>
    <row r="8172" ht="12.75" hidden="1" x14ac:dyDescent="0.2"/>
    <row r="8173" ht="12.75" hidden="1" x14ac:dyDescent="0.2"/>
    <row r="8174" ht="12.75" hidden="1" x14ac:dyDescent="0.2"/>
    <row r="8175" ht="12.75" hidden="1" x14ac:dyDescent="0.2"/>
    <row r="8176" ht="12.75" hidden="1" x14ac:dyDescent="0.2"/>
    <row r="8177" ht="12.75" hidden="1" x14ac:dyDescent="0.2"/>
    <row r="8178" ht="12.75" hidden="1" x14ac:dyDescent="0.2"/>
    <row r="8179" ht="12.75" hidden="1" x14ac:dyDescent="0.2"/>
    <row r="8180" ht="12.75" hidden="1" x14ac:dyDescent="0.2"/>
    <row r="8181" ht="12.75" hidden="1" x14ac:dyDescent="0.2"/>
    <row r="8182" ht="12.75" hidden="1" x14ac:dyDescent="0.2"/>
    <row r="8183" ht="12.75" hidden="1" x14ac:dyDescent="0.2"/>
    <row r="8184" ht="12.75" hidden="1" x14ac:dyDescent="0.2"/>
    <row r="8185" ht="12.75" hidden="1" x14ac:dyDescent="0.2"/>
    <row r="8186" ht="12.75" hidden="1" x14ac:dyDescent="0.2"/>
    <row r="8187" ht="12.75" hidden="1" x14ac:dyDescent="0.2"/>
    <row r="8188" ht="12.75" hidden="1" x14ac:dyDescent="0.2"/>
    <row r="8189" ht="12.75" hidden="1" x14ac:dyDescent="0.2"/>
    <row r="8190" ht="12.75" hidden="1" x14ac:dyDescent="0.2"/>
    <row r="8191" ht="12.75" hidden="1" x14ac:dyDescent="0.2"/>
    <row r="8192" ht="12.75" hidden="1" x14ac:dyDescent="0.2"/>
    <row r="8193" ht="12.75" hidden="1" x14ac:dyDescent="0.2"/>
    <row r="8194" ht="12.75" hidden="1" x14ac:dyDescent="0.2"/>
    <row r="8195" ht="12.75" hidden="1" x14ac:dyDescent="0.2"/>
    <row r="8196" ht="12.75" hidden="1" x14ac:dyDescent="0.2"/>
    <row r="8197" ht="12.75" hidden="1" x14ac:dyDescent="0.2"/>
    <row r="8198" ht="12.75" hidden="1" x14ac:dyDescent="0.2"/>
    <row r="8199" ht="12.75" hidden="1" x14ac:dyDescent="0.2"/>
    <row r="8200" ht="12.75" hidden="1" x14ac:dyDescent="0.2"/>
    <row r="8201" ht="12.75" hidden="1" x14ac:dyDescent="0.2"/>
    <row r="8202" ht="12.75" hidden="1" x14ac:dyDescent="0.2"/>
    <row r="8203" ht="12.75" hidden="1" x14ac:dyDescent="0.2"/>
    <row r="8204" ht="12.75" hidden="1" x14ac:dyDescent="0.2"/>
    <row r="8205" ht="12.75" hidden="1" x14ac:dyDescent="0.2"/>
    <row r="8206" ht="12.75" hidden="1" x14ac:dyDescent="0.2"/>
    <row r="8207" ht="12.75" hidden="1" x14ac:dyDescent="0.2"/>
    <row r="8208" ht="12.75" hidden="1" x14ac:dyDescent="0.2"/>
    <row r="8209" ht="12.75" hidden="1" x14ac:dyDescent="0.2"/>
    <row r="8210" ht="12.75" hidden="1" x14ac:dyDescent="0.2"/>
    <row r="8211" ht="12.75" hidden="1" x14ac:dyDescent="0.2"/>
    <row r="8212" ht="12.75" hidden="1" x14ac:dyDescent="0.2"/>
    <row r="8213" ht="12.75" hidden="1" x14ac:dyDescent="0.2"/>
    <row r="8214" ht="12.75" hidden="1" x14ac:dyDescent="0.2"/>
    <row r="8215" ht="12.75" hidden="1" x14ac:dyDescent="0.2"/>
    <row r="8216" ht="12.75" hidden="1" x14ac:dyDescent="0.2"/>
    <row r="8217" ht="12.75" hidden="1" x14ac:dyDescent="0.2"/>
    <row r="8218" ht="12.75" hidden="1" x14ac:dyDescent="0.2"/>
    <row r="8219" ht="12.75" hidden="1" x14ac:dyDescent="0.2"/>
    <row r="8220" ht="12.75" hidden="1" x14ac:dyDescent="0.2"/>
    <row r="8221" ht="12.75" hidden="1" x14ac:dyDescent="0.2"/>
    <row r="8222" ht="12.75" hidden="1" x14ac:dyDescent="0.2"/>
    <row r="8223" ht="12.75" hidden="1" x14ac:dyDescent="0.2"/>
    <row r="8224" ht="12.75" hidden="1" x14ac:dyDescent="0.2"/>
    <row r="8225" ht="12.75" hidden="1" x14ac:dyDescent="0.2"/>
    <row r="8226" ht="12.75" hidden="1" x14ac:dyDescent="0.2"/>
    <row r="8227" ht="12.75" hidden="1" x14ac:dyDescent="0.2"/>
    <row r="8228" ht="12.75" hidden="1" x14ac:dyDescent="0.2"/>
    <row r="8229" ht="12.75" hidden="1" x14ac:dyDescent="0.2"/>
    <row r="8230" ht="12.75" hidden="1" x14ac:dyDescent="0.2"/>
    <row r="8231" ht="12.75" hidden="1" x14ac:dyDescent="0.2"/>
    <row r="8232" ht="12.75" hidden="1" x14ac:dyDescent="0.2"/>
    <row r="8233" ht="12.75" hidden="1" x14ac:dyDescent="0.2"/>
    <row r="8234" ht="12.75" hidden="1" x14ac:dyDescent="0.2"/>
    <row r="8235" ht="12.75" hidden="1" x14ac:dyDescent="0.2"/>
    <row r="8236" ht="12.75" hidden="1" x14ac:dyDescent="0.2"/>
    <row r="8237" ht="12.75" hidden="1" x14ac:dyDescent="0.2"/>
    <row r="8238" ht="12.75" hidden="1" x14ac:dyDescent="0.2"/>
    <row r="8239" ht="12.75" hidden="1" x14ac:dyDescent="0.2"/>
    <row r="8240" ht="12.75" hidden="1" x14ac:dyDescent="0.2"/>
    <row r="8241" ht="12.75" hidden="1" x14ac:dyDescent="0.2"/>
    <row r="8242" ht="12.75" hidden="1" x14ac:dyDescent="0.2"/>
    <row r="8243" ht="12.75" hidden="1" x14ac:dyDescent="0.2"/>
    <row r="8244" ht="12.75" hidden="1" x14ac:dyDescent="0.2"/>
    <row r="8245" ht="12.75" hidden="1" x14ac:dyDescent="0.2"/>
    <row r="8246" ht="12.75" hidden="1" x14ac:dyDescent="0.2"/>
    <row r="8247" ht="12.75" hidden="1" x14ac:dyDescent="0.2"/>
    <row r="8248" ht="12.75" hidden="1" x14ac:dyDescent="0.2"/>
    <row r="8249" ht="12.75" hidden="1" x14ac:dyDescent="0.2"/>
    <row r="8250" ht="12.75" hidden="1" x14ac:dyDescent="0.2"/>
    <row r="8251" ht="12.75" hidden="1" x14ac:dyDescent="0.2"/>
    <row r="8252" ht="12.75" hidden="1" x14ac:dyDescent="0.2"/>
    <row r="8253" ht="12.75" hidden="1" x14ac:dyDescent="0.2"/>
    <row r="8254" ht="12.75" hidden="1" x14ac:dyDescent="0.2"/>
    <row r="8255" ht="12.75" hidden="1" x14ac:dyDescent="0.2"/>
    <row r="8256" ht="12.75" hidden="1" x14ac:dyDescent="0.2"/>
    <row r="8257" ht="12.75" hidden="1" x14ac:dyDescent="0.2"/>
    <row r="8258" ht="12.75" hidden="1" x14ac:dyDescent="0.2"/>
    <row r="8259" ht="12.75" hidden="1" x14ac:dyDescent="0.2"/>
    <row r="8260" ht="12.75" hidden="1" x14ac:dyDescent="0.2"/>
    <row r="8261" ht="12.75" hidden="1" x14ac:dyDescent="0.2"/>
    <row r="8262" ht="12.75" hidden="1" x14ac:dyDescent="0.2"/>
    <row r="8263" ht="12.75" hidden="1" x14ac:dyDescent="0.2"/>
    <row r="8264" ht="12.75" hidden="1" x14ac:dyDescent="0.2"/>
    <row r="8265" ht="12.75" hidden="1" x14ac:dyDescent="0.2"/>
    <row r="8266" ht="12.75" hidden="1" x14ac:dyDescent="0.2"/>
    <row r="8267" ht="12.75" hidden="1" x14ac:dyDescent="0.2"/>
    <row r="8268" ht="12.75" hidden="1" x14ac:dyDescent="0.2"/>
    <row r="8269" ht="12.75" hidden="1" x14ac:dyDescent="0.2"/>
    <row r="8270" ht="12.75" hidden="1" x14ac:dyDescent="0.2"/>
    <row r="8271" ht="12.75" hidden="1" x14ac:dyDescent="0.2"/>
    <row r="8272" ht="12.75" hidden="1" x14ac:dyDescent="0.2"/>
    <row r="8273" ht="12.75" hidden="1" x14ac:dyDescent="0.2"/>
    <row r="8274" ht="12.75" hidden="1" x14ac:dyDescent="0.2"/>
    <row r="8275" ht="12.75" hidden="1" x14ac:dyDescent="0.2"/>
    <row r="8276" ht="12.75" hidden="1" x14ac:dyDescent="0.2"/>
    <row r="8277" ht="12.75" hidden="1" x14ac:dyDescent="0.2"/>
    <row r="8278" ht="12.75" hidden="1" x14ac:dyDescent="0.2"/>
    <row r="8279" ht="12.75" hidden="1" x14ac:dyDescent="0.2"/>
    <row r="8280" ht="12.75" hidden="1" x14ac:dyDescent="0.2"/>
    <row r="8281" ht="12.75" hidden="1" x14ac:dyDescent="0.2"/>
    <row r="8282" ht="12.75" hidden="1" x14ac:dyDescent="0.2"/>
    <row r="8283" ht="12.75" hidden="1" x14ac:dyDescent="0.2"/>
    <row r="8284" ht="12.75" hidden="1" x14ac:dyDescent="0.2"/>
    <row r="8285" ht="12.75" hidden="1" x14ac:dyDescent="0.2"/>
    <row r="8286" ht="12.75" hidden="1" x14ac:dyDescent="0.2"/>
    <row r="8287" ht="12.75" hidden="1" x14ac:dyDescent="0.2"/>
    <row r="8288" ht="12.75" hidden="1" x14ac:dyDescent="0.2"/>
    <row r="8289" ht="12.75" hidden="1" x14ac:dyDescent="0.2"/>
    <row r="8290" ht="12.75" hidden="1" x14ac:dyDescent="0.2"/>
    <row r="8291" ht="12.75" hidden="1" x14ac:dyDescent="0.2"/>
    <row r="8292" ht="12.75" hidden="1" x14ac:dyDescent="0.2"/>
    <row r="8293" ht="12.75" hidden="1" x14ac:dyDescent="0.2"/>
    <row r="8294" ht="12.75" hidden="1" x14ac:dyDescent="0.2"/>
    <row r="8295" ht="12.75" hidden="1" x14ac:dyDescent="0.2"/>
    <row r="8296" ht="12.75" hidden="1" x14ac:dyDescent="0.2"/>
    <row r="8297" ht="12.75" hidden="1" x14ac:dyDescent="0.2"/>
    <row r="8298" ht="12.75" hidden="1" x14ac:dyDescent="0.2"/>
    <row r="8299" ht="12.75" hidden="1" x14ac:dyDescent="0.2"/>
    <row r="8300" ht="12.75" hidden="1" x14ac:dyDescent="0.2"/>
    <row r="8301" ht="12.75" hidden="1" x14ac:dyDescent="0.2"/>
    <row r="8302" ht="12.75" hidden="1" x14ac:dyDescent="0.2"/>
    <row r="8303" ht="12.75" hidden="1" x14ac:dyDescent="0.2"/>
    <row r="8304" ht="12.75" hidden="1" x14ac:dyDescent="0.2"/>
    <row r="8305" ht="12.75" hidden="1" x14ac:dyDescent="0.2"/>
    <row r="8306" ht="12.75" hidden="1" x14ac:dyDescent="0.2"/>
    <row r="8307" ht="12.75" hidden="1" x14ac:dyDescent="0.2"/>
    <row r="8308" ht="12.75" hidden="1" x14ac:dyDescent="0.2"/>
    <row r="8309" ht="12.75" hidden="1" x14ac:dyDescent="0.2"/>
    <row r="8310" ht="12.75" hidden="1" x14ac:dyDescent="0.2"/>
    <row r="8311" ht="12.75" hidden="1" x14ac:dyDescent="0.2"/>
    <row r="8312" ht="12.75" hidden="1" x14ac:dyDescent="0.2"/>
    <row r="8313" ht="12.75" hidden="1" x14ac:dyDescent="0.2"/>
    <row r="8314" ht="12.75" hidden="1" x14ac:dyDescent="0.2"/>
    <row r="8315" ht="12.75" hidden="1" x14ac:dyDescent="0.2"/>
    <row r="8316" ht="12.75" hidden="1" x14ac:dyDescent="0.2"/>
    <row r="8317" ht="12.75" hidden="1" x14ac:dyDescent="0.2"/>
    <row r="8318" ht="12.75" hidden="1" x14ac:dyDescent="0.2"/>
    <row r="8319" ht="12.75" hidden="1" x14ac:dyDescent="0.2"/>
    <row r="8320" ht="12.75" hidden="1" x14ac:dyDescent="0.2"/>
    <row r="8321" ht="12.75" hidden="1" x14ac:dyDescent="0.2"/>
    <row r="8322" ht="12.75" hidden="1" x14ac:dyDescent="0.2"/>
    <row r="8323" ht="12.75" hidden="1" x14ac:dyDescent="0.2"/>
    <row r="8324" ht="12.75" hidden="1" x14ac:dyDescent="0.2"/>
    <row r="8325" ht="12.75" hidden="1" x14ac:dyDescent="0.2"/>
    <row r="8326" ht="12.75" hidden="1" x14ac:dyDescent="0.2"/>
    <row r="8327" ht="12.75" hidden="1" x14ac:dyDescent="0.2"/>
    <row r="8328" ht="12.75" hidden="1" x14ac:dyDescent="0.2"/>
    <row r="8329" ht="12.75" hidden="1" x14ac:dyDescent="0.2"/>
    <row r="8330" ht="12.75" hidden="1" x14ac:dyDescent="0.2"/>
    <row r="8331" ht="12.75" hidden="1" x14ac:dyDescent="0.2"/>
    <row r="8332" ht="12.75" hidden="1" x14ac:dyDescent="0.2"/>
    <row r="8333" ht="12.75" hidden="1" x14ac:dyDescent="0.2"/>
    <row r="8334" ht="12.75" hidden="1" x14ac:dyDescent="0.2"/>
    <row r="8335" ht="12.75" hidden="1" x14ac:dyDescent="0.2"/>
    <row r="8336" ht="12.75" hidden="1" x14ac:dyDescent="0.2"/>
    <row r="8337" ht="12.75" hidden="1" x14ac:dyDescent="0.2"/>
    <row r="8338" ht="12.75" hidden="1" x14ac:dyDescent="0.2"/>
    <row r="8339" ht="12.75" hidden="1" x14ac:dyDescent="0.2"/>
    <row r="8340" ht="12.75" hidden="1" x14ac:dyDescent="0.2"/>
    <row r="8341" ht="12.75" hidden="1" x14ac:dyDescent="0.2"/>
    <row r="8342" ht="12.75" hidden="1" x14ac:dyDescent="0.2"/>
    <row r="8343" ht="12.75" hidden="1" x14ac:dyDescent="0.2"/>
    <row r="8344" ht="12.75" hidden="1" x14ac:dyDescent="0.2"/>
    <row r="8345" ht="12.75" hidden="1" x14ac:dyDescent="0.2"/>
    <row r="8346" ht="12.75" hidden="1" x14ac:dyDescent="0.2"/>
    <row r="8347" ht="12.75" hidden="1" x14ac:dyDescent="0.2"/>
    <row r="8348" ht="12.75" hidden="1" x14ac:dyDescent="0.2"/>
    <row r="8349" ht="12.75" hidden="1" x14ac:dyDescent="0.2"/>
    <row r="8350" ht="12.75" hidden="1" x14ac:dyDescent="0.2"/>
    <row r="8351" ht="12.75" hidden="1" x14ac:dyDescent="0.2"/>
    <row r="8352" ht="12.75" hidden="1" x14ac:dyDescent="0.2"/>
    <row r="8353" ht="12.75" hidden="1" x14ac:dyDescent="0.2"/>
    <row r="8354" ht="12.75" hidden="1" x14ac:dyDescent="0.2"/>
    <row r="8355" ht="12.75" hidden="1" x14ac:dyDescent="0.2"/>
    <row r="8356" ht="12.75" hidden="1" x14ac:dyDescent="0.2"/>
    <row r="8357" ht="12.75" hidden="1" x14ac:dyDescent="0.2"/>
    <row r="8358" ht="12.75" hidden="1" x14ac:dyDescent="0.2"/>
    <row r="8359" ht="12.75" hidden="1" x14ac:dyDescent="0.2"/>
    <row r="8360" ht="12.75" hidden="1" x14ac:dyDescent="0.2"/>
    <row r="8361" ht="12.75" hidden="1" x14ac:dyDescent="0.2"/>
    <row r="8362" ht="12.75" hidden="1" x14ac:dyDescent="0.2"/>
    <row r="8363" ht="12.75" hidden="1" x14ac:dyDescent="0.2"/>
    <row r="8364" ht="12.75" hidden="1" x14ac:dyDescent="0.2"/>
    <row r="8365" ht="12.75" hidden="1" x14ac:dyDescent="0.2"/>
    <row r="8366" ht="12.75" hidden="1" x14ac:dyDescent="0.2"/>
    <row r="8367" ht="12.75" hidden="1" x14ac:dyDescent="0.2"/>
    <row r="8368" ht="12.75" hidden="1" x14ac:dyDescent="0.2"/>
    <row r="8369" ht="12.75" hidden="1" x14ac:dyDescent="0.2"/>
    <row r="8370" ht="12.75" hidden="1" x14ac:dyDescent="0.2"/>
    <row r="8371" ht="12.75" hidden="1" x14ac:dyDescent="0.2"/>
    <row r="8372" ht="12.75" hidden="1" x14ac:dyDescent="0.2"/>
    <row r="8373" ht="12.75" hidden="1" x14ac:dyDescent="0.2"/>
    <row r="8374" ht="12.75" hidden="1" x14ac:dyDescent="0.2"/>
    <row r="8375" ht="12.75" hidden="1" x14ac:dyDescent="0.2"/>
    <row r="8376" ht="12.75" hidden="1" x14ac:dyDescent="0.2"/>
    <row r="8377" ht="12.75" hidden="1" x14ac:dyDescent="0.2"/>
    <row r="8378" ht="12.75" hidden="1" x14ac:dyDescent="0.2"/>
    <row r="8379" ht="12.75" hidden="1" x14ac:dyDescent="0.2"/>
    <row r="8380" ht="12.75" hidden="1" x14ac:dyDescent="0.2"/>
    <row r="8381" ht="12.75" hidden="1" x14ac:dyDescent="0.2"/>
    <row r="8382" ht="12.75" hidden="1" x14ac:dyDescent="0.2"/>
    <row r="8383" ht="12.75" hidden="1" x14ac:dyDescent="0.2"/>
    <row r="8384" ht="12.75" hidden="1" x14ac:dyDescent="0.2"/>
    <row r="8385" ht="12.75" hidden="1" x14ac:dyDescent="0.2"/>
    <row r="8386" ht="12.75" hidden="1" x14ac:dyDescent="0.2"/>
    <row r="8387" ht="12.75" hidden="1" x14ac:dyDescent="0.2"/>
    <row r="8388" ht="12.75" hidden="1" x14ac:dyDescent="0.2"/>
    <row r="8389" ht="12.75" hidden="1" x14ac:dyDescent="0.2"/>
    <row r="8390" ht="12.75" hidden="1" x14ac:dyDescent="0.2"/>
    <row r="8391" ht="12.75" hidden="1" x14ac:dyDescent="0.2"/>
    <row r="8392" ht="12.75" hidden="1" x14ac:dyDescent="0.2"/>
    <row r="8393" ht="12.75" hidden="1" x14ac:dyDescent="0.2"/>
    <row r="8394" ht="12.75" hidden="1" x14ac:dyDescent="0.2"/>
    <row r="8395" ht="12.75" hidden="1" x14ac:dyDescent="0.2"/>
    <row r="8396" ht="12.75" hidden="1" x14ac:dyDescent="0.2"/>
    <row r="8397" ht="12.75" hidden="1" x14ac:dyDescent="0.2"/>
    <row r="8398" ht="12.75" hidden="1" x14ac:dyDescent="0.2"/>
    <row r="8399" ht="12.75" hidden="1" x14ac:dyDescent="0.2"/>
    <row r="8400" ht="12.75" hidden="1" x14ac:dyDescent="0.2"/>
    <row r="8401" ht="12.75" hidden="1" x14ac:dyDescent="0.2"/>
    <row r="8402" ht="12.75" hidden="1" x14ac:dyDescent="0.2"/>
    <row r="8403" ht="12.75" hidden="1" x14ac:dyDescent="0.2"/>
    <row r="8404" ht="12.75" hidden="1" x14ac:dyDescent="0.2"/>
    <row r="8405" ht="12.75" hidden="1" x14ac:dyDescent="0.2"/>
    <row r="8406" ht="12.75" hidden="1" x14ac:dyDescent="0.2"/>
    <row r="8407" ht="12.75" hidden="1" x14ac:dyDescent="0.2"/>
    <row r="8408" ht="12.75" hidden="1" x14ac:dyDescent="0.2"/>
    <row r="8409" ht="12.75" hidden="1" x14ac:dyDescent="0.2"/>
    <row r="8410" ht="12.75" hidden="1" x14ac:dyDescent="0.2"/>
    <row r="8411" ht="12.75" hidden="1" x14ac:dyDescent="0.2"/>
    <row r="8412" ht="12.75" hidden="1" x14ac:dyDescent="0.2"/>
    <row r="8413" ht="12.75" hidden="1" x14ac:dyDescent="0.2"/>
    <row r="8414" ht="12.75" hidden="1" x14ac:dyDescent="0.2"/>
    <row r="8415" ht="12.75" hidden="1" x14ac:dyDescent="0.2"/>
    <row r="8416" ht="12.75" hidden="1" x14ac:dyDescent="0.2"/>
    <row r="8417" ht="12.75" hidden="1" x14ac:dyDescent="0.2"/>
    <row r="8418" ht="12.75" hidden="1" x14ac:dyDescent="0.2"/>
    <row r="8419" ht="12.75" hidden="1" x14ac:dyDescent="0.2"/>
    <row r="8420" ht="12.75" hidden="1" x14ac:dyDescent="0.2"/>
    <row r="8421" ht="12.75" hidden="1" x14ac:dyDescent="0.2"/>
    <row r="8422" ht="12.75" hidden="1" x14ac:dyDescent="0.2"/>
    <row r="8423" ht="12.75" hidden="1" x14ac:dyDescent="0.2"/>
    <row r="8424" ht="12.75" hidden="1" x14ac:dyDescent="0.2"/>
    <row r="8425" ht="12.75" hidden="1" x14ac:dyDescent="0.2"/>
    <row r="8426" ht="12.75" hidden="1" x14ac:dyDescent="0.2"/>
    <row r="8427" ht="12.75" hidden="1" x14ac:dyDescent="0.2"/>
    <row r="8428" ht="12.75" hidden="1" x14ac:dyDescent="0.2"/>
    <row r="8429" ht="12.75" hidden="1" x14ac:dyDescent="0.2"/>
    <row r="8430" ht="12.75" hidden="1" x14ac:dyDescent="0.2"/>
    <row r="8431" ht="12.75" hidden="1" x14ac:dyDescent="0.2"/>
    <row r="8432" ht="12.75" hidden="1" x14ac:dyDescent="0.2"/>
    <row r="8433" ht="12.75" hidden="1" x14ac:dyDescent="0.2"/>
    <row r="8434" ht="12.75" hidden="1" x14ac:dyDescent="0.2"/>
    <row r="8435" ht="12.75" hidden="1" x14ac:dyDescent="0.2"/>
    <row r="8436" ht="12.75" hidden="1" x14ac:dyDescent="0.2"/>
    <row r="8437" ht="12.75" hidden="1" x14ac:dyDescent="0.2"/>
    <row r="8438" ht="12.75" hidden="1" x14ac:dyDescent="0.2"/>
    <row r="8439" ht="12.75" hidden="1" x14ac:dyDescent="0.2"/>
    <row r="8440" ht="12.75" hidden="1" x14ac:dyDescent="0.2"/>
    <row r="8441" ht="12.75" hidden="1" x14ac:dyDescent="0.2"/>
    <row r="8442" ht="12.75" hidden="1" x14ac:dyDescent="0.2"/>
    <row r="8443" ht="12.75" hidden="1" x14ac:dyDescent="0.2"/>
    <row r="8444" ht="12.75" hidden="1" x14ac:dyDescent="0.2"/>
    <row r="8445" ht="12.75" hidden="1" x14ac:dyDescent="0.2"/>
    <row r="8446" ht="12.75" hidden="1" x14ac:dyDescent="0.2"/>
    <row r="8447" ht="12.75" hidden="1" x14ac:dyDescent="0.2"/>
    <row r="8448" ht="12.75" hidden="1" x14ac:dyDescent="0.2"/>
    <row r="8449" ht="12.75" hidden="1" x14ac:dyDescent="0.2"/>
    <row r="8450" ht="12.75" hidden="1" x14ac:dyDescent="0.2"/>
    <row r="8451" ht="12.75" hidden="1" x14ac:dyDescent="0.2"/>
    <row r="8452" ht="12.75" hidden="1" x14ac:dyDescent="0.2"/>
    <row r="8453" ht="12.75" hidden="1" x14ac:dyDescent="0.2"/>
    <row r="8454" ht="12.75" hidden="1" x14ac:dyDescent="0.2"/>
    <row r="8455" ht="12.75" hidden="1" x14ac:dyDescent="0.2"/>
    <row r="8456" ht="12.75" hidden="1" x14ac:dyDescent="0.2"/>
    <row r="8457" ht="12.75" hidden="1" x14ac:dyDescent="0.2"/>
    <row r="8458" ht="12.75" hidden="1" x14ac:dyDescent="0.2"/>
    <row r="8459" ht="12.75" hidden="1" x14ac:dyDescent="0.2"/>
    <row r="8460" ht="12.75" hidden="1" x14ac:dyDescent="0.2"/>
    <row r="8461" ht="12.75" hidden="1" x14ac:dyDescent="0.2"/>
    <row r="8462" ht="12.75" hidden="1" x14ac:dyDescent="0.2"/>
    <row r="8463" ht="12.75" hidden="1" x14ac:dyDescent="0.2"/>
    <row r="8464" ht="12.75" hidden="1" x14ac:dyDescent="0.2"/>
    <row r="8465" ht="12.75" hidden="1" x14ac:dyDescent="0.2"/>
    <row r="8466" ht="12.75" hidden="1" x14ac:dyDescent="0.2"/>
    <row r="8467" ht="12.75" hidden="1" x14ac:dyDescent="0.2"/>
    <row r="8468" ht="12.75" hidden="1" x14ac:dyDescent="0.2"/>
    <row r="8469" ht="12.75" hidden="1" x14ac:dyDescent="0.2"/>
    <row r="8470" ht="12.75" hidden="1" x14ac:dyDescent="0.2"/>
    <row r="8471" ht="12.75" hidden="1" x14ac:dyDescent="0.2"/>
    <row r="8472" ht="12.75" hidden="1" x14ac:dyDescent="0.2"/>
    <row r="8473" ht="12.75" hidden="1" x14ac:dyDescent="0.2"/>
    <row r="8474" ht="12.75" hidden="1" x14ac:dyDescent="0.2"/>
    <row r="8475" ht="12.75" hidden="1" x14ac:dyDescent="0.2"/>
    <row r="8476" ht="12.75" hidden="1" x14ac:dyDescent="0.2"/>
    <row r="8477" ht="12.75" hidden="1" x14ac:dyDescent="0.2"/>
    <row r="8478" ht="12.75" hidden="1" x14ac:dyDescent="0.2"/>
    <row r="8479" ht="12.75" hidden="1" x14ac:dyDescent="0.2"/>
    <row r="8480" ht="12.75" hidden="1" x14ac:dyDescent="0.2"/>
    <row r="8481" ht="12.75" hidden="1" x14ac:dyDescent="0.2"/>
    <row r="8482" ht="12.75" hidden="1" x14ac:dyDescent="0.2"/>
    <row r="8483" ht="12.75" hidden="1" x14ac:dyDescent="0.2"/>
    <row r="8484" ht="12.75" hidden="1" x14ac:dyDescent="0.2"/>
    <row r="8485" ht="12.75" hidden="1" x14ac:dyDescent="0.2"/>
    <row r="8486" ht="12.75" hidden="1" x14ac:dyDescent="0.2"/>
    <row r="8487" ht="12.75" hidden="1" x14ac:dyDescent="0.2"/>
    <row r="8488" ht="12.75" hidden="1" x14ac:dyDescent="0.2"/>
    <row r="8489" ht="12.75" hidden="1" x14ac:dyDescent="0.2"/>
    <row r="8490" ht="12.75" hidden="1" x14ac:dyDescent="0.2"/>
    <row r="8491" ht="12.75" hidden="1" x14ac:dyDescent="0.2"/>
    <row r="8492" ht="12.75" hidden="1" x14ac:dyDescent="0.2"/>
    <row r="8493" ht="12.75" hidden="1" x14ac:dyDescent="0.2"/>
    <row r="8494" ht="12.75" hidden="1" x14ac:dyDescent="0.2"/>
    <row r="8495" ht="12.75" hidden="1" x14ac:dyDescent="0.2"/>
    <row r="8496" ht="12.75" hidden="1" x14ac:dyDescent="0.2"/>
    <row r="8497" ht="12.75" hidden="1" x14ac:dyDescent="0.2"/>
    <row r="8498" ht="12.75" hidden="1" x14ac:dyDescent="0.2"/>
    <row r="8499" ht="12.75" hidden="1" x14ac:dyDescent="0.2"/>
    <row r="8500" ht="12.75" hidden="1" x14ac:dyDescent="0.2"/>
    <row r="8501" ht="12.75" hidden="1" x14ac:dyDescent="0.2"/>
    <row r="8502" ht="12.75" hidden="1" x14ac:dyDescent="0.2"/>
    <row r="8503" ht="12.75" hidden="1" x14ac:dyDescent="0.2"/>
    <row r="8504" ht="12.75" hidden="1" x14ac:dyDescent="0.2"/>
    <row r="8505" ht="12.75" hidden="1" x14ac:dyDescent="0.2"/>
    <row r="8506" ht="12.75" hidden="1" x14ac:dyDescent="0.2"/>
    <row r="8507" ht="12.75" hidden="1" x14ac:dyDescent="0.2"/>
    <row r="8508" ht="12.75" hidden="1" x14ac:dyDescent="0.2"/>
    <row r="8509" ht="12.75" hidden="1" x14ac:dyDescent="0.2"/>
    <row r="8510" ht="12.75" hidden="1" x14ac:dyDescent="0.2"/>
    <row r="8511" ht="12.75" hidden="1" x14ac:dyDescent="0.2"/>
    <row r="8512" ht="12.75" hidden="1" x14ac:dyDescent="0.2"/>
    <row r="8513" ht="12.75" hidden="1" x14ac:dyDescent="0.2"/>
    <row r="8514" ht="12.75" hidden="1" x14ac:dyDescent="0.2"/>
    <row r="8515" ht="12.75" hidden="1" x14ac:dyDescent="0.2"/>
    <row r="8516" ht="12.75" hidden="1" x14ac:dyDescent="0.2"/>
    <row r="8517" ht="12.75" hidden="1" x14ac:dyDescent="0.2"/>
    <row r="8518" ht="12.75" hidden="1" x14ac:dyDescent="0.2"/>
    <row r="8519" ht="12.75" hidden="1" x14ac:dyDescent="0.2"/>
    <row r="8520" ht="12.75" hidden="1" x14ac:dyDescent="0.2"/>
    <row r="8521" ht="12.75" hidden="1" x14ac:dyDescent="0.2"/>
    <row r="8522" ht="12.75" hidden="1" x14ac:dyDescent="0.2"/>
    <row r="8523" ht="12.75" hidden="1" x14ac:dyDescent="0.2"/>
    <row r="8524" ht="12.75" hidden="1" x14ac:dyDescent="0.2"/>
    <row r="8525" ht="12.75" hidden="1" x14ac:dyDescent="0.2"/>
    <row r="8526" ht="12.75" hidden="1" x14ac:dyDescent="0.2"/>
    <row r="8527" ht="12.75" hidden="1" x14ac:dyDescent="0.2"/>
    <row r="8528" ht="12.75" hidden="1" x14ac:dyDescent="0.2"/>
    <row r="8529" ht="12.75" hidden="1" x14ac:dyDescent="0.2"/>
    <row r="8530" ht="12.75" hidden="1" x14ac:dyDescent="0.2"/>
    <row r="8531" ht="12.75" hidden="1" x14ac:dyDescent="0.2"/>
    <row r="8532" ht="12.75" hidden="1" x14ac:dyDescent="0.2"/>
    <row r="8533" ht="12.75" hidden="1" x14ac:dyDescent="0.2"/>
    <row r="8534" ht="12.75" hidden="1" x14ac:dyDescent="0.2"/>
    <row r="8535" ht="12.75" hidden="1" x14ac:dyDescent="0.2"/>
    <row r="8536" ht="12.75" hidden="1" x14ac:dyDescent="0.2"/>
    <row r="8537" ht="12.75" hidden="1" x14ac:dyDescent="0.2"/>
    <row r="8538" ht="12.75" hidden="1" x14ac:dyDescent="0.2"/>
    <row r="8539" ht="12.75" hidden="1" x14ac:dyDescent="0.2"/>
    <row r="8540" ht="12.75" hidden="1" x14ac:dyDescent="0.2"/>
    <row r="8541" ht="12.75" hidden="1" x14ac:dyDescent="0.2"/>
    <row r="8542" ht="12.75" hidden="1" x14ac:dyDescent="0.2"/>
    <row r="8543" ht="12.75" hidden="1" x14ac:dyDescent="0.2"/>
    <row r="8544" ht="12.75" hidden="1" x14ac:dyDescent="0.2"/>
    <row r="8545" ht="12.75" hidden="1" x14ac:dyDescent="0.2"/>
    <row r="8546" ht="12.75" hidden="1" x14ac:dyDescent="0.2"/>
    <row r="8547" ht="12.75" hidden="1" x14ac:dyDescent="0.2"/>
    <row r="8548" ht="12.75" hidden="1" x14ac:dyDescent="0.2"/>
    <row r="8549" ht="12.75" hidden="1" x14ac:dyDescent="0.2"/>
    <row r="8550" ht="12.75" hidden="1" x14ac:dyDescent="0.2"/>
    <row r="8551" ht="12.75" hidden="1" x14ac:dyDescent="0.2"/>
    <row r="8552" ht="12.75" hidden="1" x14ac:dyDescent="0.2"/>
    <row r="8553" ht="12.75" hidden="1" x14ac:dyDescent="0.2"/>
    <row r="8554" ht="12.75" hidden="1" x14ac:dyDescent="0.2"/>
    <row r="8555" ht="12.75" hidden="1" x14ac:dyDescent="0.2"/>
    <row r="8556" ht="12.75" hidden="1" x14ac:dyDescent="0.2"/>
    <row r="8557" ht="12.75" hidden="1" x14ac:dyDescent="0.2"/>
    <row r="8558" ht="12.75" hidden="1" x14ac:dyDescent="0.2"/>
    <row r="8559" ht="12.75" hidden="1" x14ac:dyDescent="0.2"/>
    <row r="8560" ht="12.75" hidden="1" x14ac:dyDescent="0.2"/>
    <row r="8561" ht="12.75" hidden="1" x14ac:dyDescent="0.2"/>
    <row r="8562" ht="12.75" hidden="1" x14ac:dyDescent="0.2"/>
    <row r="8563" ht="12.75" hidden="1" x14ac:dyDescent="0.2"/>
    <row r="8564" ht="12.75" hidden="1" x14ac:dyDescent="0.2"/>
    <row r="8565" ht="12.75" hidden="1" x14ac:dyDescent="0.2"/>
    <row r="8566" ht="12.75" hidden="1" x14ac:dyDescent="0.2"/>
    <row r="8567" ht="12.75" hidden="1" x14ac:dyDescent="0.2"/>
    <row r="8568" ht="12.75" hidden="1" x14ac:dyDescent="0.2"/>
    <row r="8569" ht="12.75" hidden="1" x14ac:dyDescent="0.2"/>
    <row r="8570" ht="12.75" hidden="1" x14ac:dyDescent="0.2"/>
    <row r="8571" ht="12.75" hidden="1" x14ac:dyDescent="0.2"/>
    <row r="8572" ht="12.75" hidden="1" x14ac:dyDescent="0.2"/>
    <row r="8573" ht="12.75" hidden="1" x14ac:dyDescent="0.2"/>
    <row r="8574" ht="12.75" hidden="1" x14ac:dyDescent="0.2"/>
    <row r="8575" ht="12.75" hidden="1" x14ac:dyDescent="0.2"/>
    <row r="8576" ht="12.75" hidden="1" x14ac:dyDescent="0.2"/>
    <row r="8577" ht="12.75" hidden="1" x14ac:dyDescent="0.2"/>
    <row r="8578" ht="12.75" hidden="1" x14ac:dyDescent="0.2"/>
    <row r="8579" ht="12.75" hidden="1" x14ac:dyDescent="0.2"/>
    <row r="8580" ht="12.75" hidden="1" x14ac:dyDescent="0.2"/>
    <row r="8581" ht="12.75" hidden="1" x14ac:dyDescent="0.2"/>
    <row r="8582" ht="12.75" hidden="1" x14ac:dyDescent="0.2"/>
    <row r="8583" ht="12.75" hidden="1" x14ac:dyDescent="0.2"/>
    <row r="8584" ht="12.75" hidden="1" x14ac:dyDescent="0.2"/>
    <row r="8585" ht="12.75" hidden="1" x14ac:dyDescent="0.2"/>
    <row r="8586" ht="12.75" hidden="1" x14ac:dyDescent="0.2"/>
    <row r="8587" ht="12.75" hidden="1" x14ac:dyDescent="0.2"/>
    <row r="8588" ht="12.75" hidden="1" x14ac:dyDescent="0.2"/>
    <row r="8589" ht="12.75" hidden="1" x14ac:dyDescent="0.2"/>
    <row r="8590" ht="12.75" hidden="1" x14ac:dyDescent="0.2"/>
    <row r="8591" ht="12.75" hidden="1" x14ac:dyDescent="0.2"/>
    <row r="8592" ht="12.75" hidden="1" x14ac:dyDescent="0.2"/>
    <row r="8593" ht="12.75" hidden="1" x14ac:dyDescent="0.2"/>
    <row r="8594" ht="12.75" hidden="1" x14ac:dyDescent="0.2"/>
    <row r="8595" ht="12.75" hidden="1" x14ac:dyDescent="0.2"/>
    <row r="8596" ht="12.75" hidden="1" x14ac:dyDescent="0.2"/>
    <row r="8597" ht="12.75" hidden="1" x14ac:dyDescent="0.2"/>
    <row r="8598" ht="12.75" hidden="1" x14ac:dyDescent="0.2"/>
    <row r="8599" ht="12.75" hidden="1" x14ac:dyDescent="0.2"/>
    <row r="8600" ht="12.75" hidden="1" x14ac:dyDescent="0.2"/>
    <row r="8601" ht="12.75" hidden="1" x14ac:dyDescent="0.2"/>
    <row r="8602" ht="12.75" hidden="1" x14ac:dyDescent="0.2"/>
    <row r="8603" ht="12.75" hidden="1" x14ac:dyDescent="0.2"/>
    <row r="8604" ht="12.75" hidden="1" x14ac:dyDescent="0.2"/>
    <row r="8605" ht="12.75" hidden="1" x14ac:dyDescent="0.2"/>
    <row r="8606" ht="12.75" hidden="1" x14ac:dyDescent="0.2"/>
    <row r="8607" ht="12.75" hidden="1" x14ac:dyDescent="0.2"/>
    <row r="8608" ht="12.75" hidden="1" x14ac:dyDescent="0.2"/>
    <row r="8609" ht="12.75" hidden="1" x14ac:dyDescent="0.2"/>
    <row r="8610" ht="12.75" hidden="1" x14ac:dyDescent="0.2"/>
    <row r="8611" ht="12.75" hidden="1" x14ac:dyDescent="0.2"/>
    <row r="8612" ht="12.75" hidden="1" x14ac:dyDescent="0.2"/>
    <row r="8613" ht="12.75" hidden="1" x14ac:dyDescent="0.2"/>
    <row r="8614" ht="12.75" hidden="1" x14ac:dyDescent="0.2"/>
    <row r="8615" ht="12.75" hidden="1" x14ac:dyDescent="0.2"/>
    <row r="8616" ht="12.75" hidden="1" x14ac:dyDescent="0.2"/>
    <row r="8617" ht="12.75" hidden="1" x14ac:dyDescent="0.2"/>
    <row r="8618" ht="12.75" hidden="1" x14ac:dyDescent="0.2"/>
    <row r="8619" ht="12.75" hidden="1" x14ac:dyDescent="0.2"/>
    <row r="8620" ht="12.75" hidden="1" x14ac:dyDescent="0.2"/>
    <row r="8621" ht="12.75" hidden="1" x14ac:dyDescent="0.2"/>
    <row r="8622" ht="12.75" hidden="1" x14ac:dyDescent="0.2"/>
    <row r="8623" ht="12.75" hidden="1" x14ac:dyDescent="0.2"/>
    <row r="8624" ht="12.75" hidden="1" x14ac:dyDescent="0.2"/>
    <row r="8625" ht="12.75" hidden="1" x14ac:dyDescent="0.2"/>
    <row r="8626" ht="12.75" hidden="1" x14ac:dyDescent="0.2"/>
    <row r="8627" ht="12.75" hidden="1" x14ac:dyDescent="0.2"/>
    <row r="8628" ht="12.75" hidden="1" x14ac:dyDescent="0.2"/>
    <row r="8629" ht="12.75" hidden="1" x14ac:dyDescent="0.2"/>
    <row r="8630" ht="12.75" hidden="1" x14ac:dyDescent="0.2"/>
    <row r="8631" ht="12.75" hidden="1" x14ac:dyDescent="0.2"/>
    <row r="8632" ht="12.75" hidden="1" x14ac:dyDescent="0.2"/>
    <row r="8633" ht="12.75" hidden="1" x14ac:dyDescent="0.2"/>
    <row r="8634" ht="12.75" hidden="1" x14ac:dyDescent="0.2"/>
    <row r="8635" ht="12.75" hidden="1" x14ac:dyDescent="0.2"/>
    <row r="8636" ht="12.75" hidden="1" x14ac:dyDescent="0.2"/>
    <row r="8637" ht="12.75" hidden="1" x14ac:dyDescent="0.2"/>
    <row r="8638" ht="12.75" hidden="1" x14ac:dyDescent="0.2"/>
    <row r="8639" ht="12.75" hidden="1" x14ac:dyDescent="0.2"/>
    <row r="8640" ht="12.75" hidden="1" x14ac:dyDescent="0.2"/>
    <row r="8641" ht="12.75" hidden="1" x14ac:dyDescent="0.2"/>
    <row r="8642" ht="12.75" hidden="1" x14ac:dyDescent="0.2"/>
    <row r="8643" ht="12.75" hidden="1" x14ac:dyDescent="0.2"/>
    <row r="8644" ht="12.75" hidden="1" x14ac:dyDescent="0.2"/>
    <row r="8645" ht="12.75" hidden="1" x14ac:dyDescent="0.2"/>
    <row r="8646" ht="12.75" hidden="1" x14ac:dyDescent="0.2"/>
    <row r="8647" ht="12.75" hidden="1" x14ac:dyDescent="0.2"/>
    <row r="8648" ht="12.75" hidden="1" x14ac:dyDescent="0.2"/>
    <row r="8649" ht="12.75" hidden="1" x14ac:dyDescent="0.2"/>
    <row r="8650" ht="12.75" hidden="1" x14ac:dyDescent="0.2"/>
    <row r="8651" ht="12.75" hidden="1" x14ac:dyDescent="0.2"/>
    <row r="8652" ht="12.75" hidden="1" x14ac:dyDescent="0.2"/>
    <row r="8653" ht="12.75" hidden="1" x14ac:dyDescent="0.2"/>
    <row r="8654" ht="12.75" hidden="1" x14ac:dyDescent="0.2"/>
    <row r="8655" ht="12.75" hidden="1" x14ac:dyDescent="0.2"/>
    <row r="8656" ht="12.75" hidden="1" x14ac:dyDescent="0.2"/>
    <row r="8657" ht="12.75" hidden="1" x14ac:dyDescent="0.2"/>
    <row r="8658" ht="12.75" hidden="1" x14ac:dyDescent="0.2"/>
    <row r="8659" ht="12.75" hidden="1" x14ac:dyDescent="0.2"/>
    <row r="8660" ht="12.75" hidden="1" x14ac:dyDescent="0.2"/>
    <row r="8661" ht="12.75" hidden="1" x14ac:dyDescent="0.2"/>
    <row r="8662" ht="12.75" hidden="1" x14ac:dyDescent="0.2"/>
    <row r="8663" ht="12.75" hidden="1" x14ac:dyDescent="0.2"/>
    <row r="8664" ht="12.75" hidden="1" x14ac:dyDescent="0.2"/>
    <row r="8665" ht="12.75" hidden="1" x14ac:dyDescent="0.2"/>
    <row r="8666" ht="12.75" hidden="1" x14ac:dyDescent="0.2"/>
    <row r="8667" ht="12.75" hidden="1" x14ac:dyDescent="0.2"/>
    <row r="8668" ht="12.75" hidden="1" x14ac:dyDescent="0.2"/>
    <row r="8669" ht="12.75" hidden="1" x14ac:dyDescent="0.2"/>
    <row r="8670" ht="12.75" hidden="1" x14ac:dyDescent="0.2"/>
    <row r="8671" ht="12.75" hidden="1" x14ac:dyDescent="0.2"/>
    <row r="8672" ht="12.75" hidden="1" x14ac:dyDescent="0.2"/>
    <row r="8673" ht="12.75" hidden="1" x14ac:dyDescent="0.2"/>
    <row r="8674" ht="12.75" hidden="1" x14ac:dyDescent="0.2"/>
    <row r="8675" ht="12.75" hidden="1" x14ac:dyDescent="0.2"/>
    <row r="8676" ht="12.75" hidden="1" x14ac:dyDescent="0.2"/>
    <row r="8677" ht="12.75" hidden="1" x14ac:dyDescent="0.2"/>
    <row r="8678" ht="12.75" hidden="1" x14ac:dyDescent="0.2"/>
    <row r="8679" ht="12.75" hidden="1" x14ac:dyDescent="0.2"/>
    <row r="8680" ht="12.75" hidden="1" x14ac:dyDescent="0.2"/>
    <row r="8681" ht="12.75" hidden="1" x14ac:dyDescent="0.2"/>
    <row r="8682" ht="12.75" hidden="1" x14ac:dyDescent="0.2"/>
    <row r="8683" ht="12.75" hidden="1" x14ac:dyDescent="0.2"/>
    <row r="8684" ht="12.75" hidden="1" x14ac:dyDescent="0.2"/>
    <row r="8685" ht="12.75" hidden="1" x14ac:dyDescent="0.2"/>
    <row r="8686" ht="12.75" hidden="1" x14ac:dyDescent="0.2"/>
    <row r="8687" ht="12.75" hidden="1" x14ac:dyDescent="0.2"/>
    <row r="8688" ht="12.75" hidden="1" x14ac:dyDescent="0.2"/>
    <row r="8689" ht="12.75" hidden="1" x14ac:dyDescent="0.2"/>
    <row r="8690" ht="12.75" hidden="1" x14ac:dyDescent="0.2"/>
    <row r="8691" ht="12.75" hidden="1" x14ac:dyDescent="0.2"/>
    <row r="8692" ht="12.75" hidden="1" x14ac:dyDescent="0.2"/>
    <row r="8693" ht="12.75" hidden="1" x14ac:dyDescent="0.2"/>
    <row r="8694" ht="12.75" hidden="1" x14ac:dyDescent="0.2"/>
    <row r="8695" ht="12.75" hidden="1" x14ac:dyDescent="0.2"/>
    <row r="8696" ht="12.75" hidden="1" x14ac:dyDescent="0.2"/>
    <row r="8697" ht="12.75" hidden="1" x14ac:dyDescent="0.2"/>
    <row r="8698" ht="12.75" hidden="1" x14ac:dyDescent="0.2"/>
    <row r="8699" ht="12.75" hidden="1" x14ac:dyDescent="0.2"/>
    <row r="8700" ht="12.75" hidden="1" x14ac:dyDescent="0.2"/>
    <row r="8701" ht="12.75" hidden="1" x14ac:dyDescent="0.2"/>
    <row r="8702" ht="12.75" hidden="1" x14ac:dyDescent="0.2"/>
    <row r="8703" ht="12.75" hidden="1" x14ac:dyDescent="0.2"/>
    <row r="8704" ht="12.75" hidden="1" x14ac:dyDescent="0.2"/>
    <row r="8705" ht="12.75" hidden="1" x14ac:dyDescent="0.2"/>
    <row r="8706" ht="12.75" hidden="1" x14ac:dyDescent="0.2"/>
    <row r="8707" ht="12.75" hidden="1" x14ac:dyDescent="0.2"/>
    <row r="8708" ht="12.75" hidden="1" x14ac:dyDescent="0.2"/>
    <row r="8709" ht="12.75" hidden="1" x14ac:dyDescent="0.2"/>
    <row r="8710" ht="12.75" hidden="1" x14ac:dyDescent="0.2"/>
    <row r="8711" ht="12.75" hidden="1" x14ac:dyDescent="0.2"/>
    <row r="8712" ht="12.75" hidden="1" x14ac:dyDescent="0.2"/>
    <row r="8713" ht="12.75" hidden="1" x14ac:dyDescent="0.2"/>
    <row r="8714" ht="12.75" hidden="1" x14ac:dyDescent="0.2"/>
    <row r="8715" ht="12.75" hidden="1" x14ac:dyDescent="0.2"/>
    <row r="8716" ht="12.75" hidden="1" x14ac:dyDescent="0.2"/>
    <row r="8717" ht="12.75" hidden="1" x14ac:dyDescent="0.2"/>
    <row r="8718" ht="12.75" hidden="1" x14ac:dyDescent="0.2"/>
    <row r="8719" ht="12.75" hidden="1" x14ac:dyDescent="0.2"/>
    <row r="8720" ht="12.75" hidden="1" x14ac:dyDescent="0.2"/>
    <row r="8721" ht="12.75" hidden="1" x14ac:dyDescent="0.2"/>
    <row r="8722" ht="12.75" hidden="1" x14ac:dyDescent="0.2"/>
    <row r="8723" ht="12.75" hidden="1" x14ac:dyDescent="0.2"/>
    <row r="8724" ht="12.75" hidden="1" x14ac:dyDescent="0.2"/>
    <row r="8725" ht="12.75" hidden="1" x14ac:dyDescent="0.2"/>
    <row r="8726" ht="12.75" hidden="1" x14ac:dyDescent="0.2"/>
    <row r="8727" ht="12.75" hidden="1" x14ac:dyDescent="0.2"/>
    <row r="8728" ht="12.75" hidden="1" x14ac:dyDescent="0.2"/>
    <row r="8729" ht="12.75" hidden="1" x14ac:dyDescent="0.2"/>
    <row r="8730" ht="12.75" hidden="1" x14ac:dyDescent="0.2"/>
    <row r="8731" ht="12.75" hidden="1" x14ac:dyDescent="0.2"/>
    <row r="8732" ht="12.75" hidden="1" x14ac:dyDescent="0.2"/>
    <row r="8733" ht="12.75" hidden="1" x14ac:dyDescent="0.2"/>
    <row r="8734" ht="12.75" hidden="1" x14ac:dyDescent="0.2"/>
    <row r="8735" ht="12.75" hidden="1" x14ac:dyDescent="0.2"/>
    <row r="8736" ht="12.75" hidden="1" x14ac:dyDescent="0.2"/>
    <row r="8737" ht="12.75" hidden="1" x14ac:dyDescent="0.2"/>
    <row r="8738" ht="12.75" hidden="1" x14ac:dyDescent="0.2"/>
    <row r="8739" ht="12.75" hidden="1" x14ac:dyDescent="0.2"/>
    <row r="8740" ht="12.75" hidden="1" x14ac:dyDescent="0.2"/>
    <row r="8741" ht="12.75" hidden="1" x14ac:dyDescent="0.2"/>
    <row r="8742" ht="12.75" hidden="1" x14ac:dyDescent="0.2"/>
    <row r="8743" ht="12.75" hidden="1" x14ac:dyDescent="0.2"/>
    <row r="8744" ht="12.75" hidden="1" x14ac:dyDescent="0.2"/>
    <row r="8745" ht="12.75" hidden="1" x14ac:dyDescent="0.2"/>
    <row r="8746" ht="12.75" hidden="1" x14ac:dyDescent="0.2"/>
    <row r="8747" ht="12.75" hidden="1" x14ac:dyDescent="0.2"/>
    <row r="8748" ht="12.75" hidden="1" x14ac:dyDescent="0.2"/>
    <row r="8749" ht="12.75" hidden="1" x14ac:dyDescent="0.2"/>
    <row r="8750" ht="12.75" hidden="1" x14ac:dyDescent="0.2"/>
    <row r="8751" ht="12.75" hidden="1" x14ac:dyDescent="0.2"/>
    <row r="8752" ht="12.75" hidden="1" x14ac:dyDescent="0.2"/>
    <row r="8753" ht="12.75" hidden="1" x14ac:dyDescent="0.2"/>
    <row r="8754" ht="12.75" hidden="1" x14ac:dyDescent="0.2"/>
    <row r="8755" ht="12.75" hidden="1" x14ac:dyDescent="0.2"/>
    <row r="8756" ht="12.75" hidden="1" x14ac:dyDescent="0.2"/>
    <row r="8757" ht="12.75" hidden="1" x14ac:dyDescent="0.2"/>
    <row r="8758" ht="12.75" hidden="1" x14ac:dyDescent="0.2"/>
    <row r="8759" ht="12.75" hidden="1" x14ac:dyDescent="0.2"/>
    <row r="8760" ht="12.75" hidden="1" x14ac:dyDescent="0.2"/>
    <row r="8761" ht="12.75" hidden="1" x14ac:dyDescent="0.2"/>
    <row r="8762" ht="12.75" hidden="1" x14ac:dyDescent="0.2"/>
    <row r="8763" ht="12.75" hidden="1" x14ac:dyDescent="0.2"/>
    <row r="8764" ht="12.75" hidden="1" x14ac:dyDescent="0.2"/>
    <row r="8765" ht="12.75" hidden="1" x14ac:dyDescent="0.2"/>
    <row r="8766" ht="12.75" hidden="1" x14ac:dyDescent="0.2"/>
    <row r="8767" ht="12.75" hidden="1" x14ac:dyDescent="0.2"/>
    <row r="8768" ht="12.75" hidden="1" x14ac:dyDescent="0.2"/>
    <row r="8769" ht="12.75" hidden="1" x14ac:dyDescent="0.2"/>
    <row r="8770" ht="12.75" hidden="1" x14ac:dyDescent="0.2"/>
    <row r="8771" ht="12.75" hidden="1" x14ac:dyDescent="0.2"/>
    <row r="8772" ht="12.75" hidden="1" x14ac:dyDescent="0.2"/>
    <row r="8773" ht="12.75" hidden="1" x14ac:dyDescent="0.2"/>
    <row r="8774" ht="12.75" hidden="1" x14ac:dyDescent="0.2"/>
    <row r="8775" ht="12.75" hidden="1" x14ac:dyDescent="0.2"/>
    <row r="8776" ht="12.75" hidden="1" x14ac:dyDescent="0.2"/>
    <row r="8777" ht="12.75" hidden="1" x14ac:dyDescent="0.2"/>
    <row r="8778" ht="12.75" hidden="1" x14ac:dyDescent="0.2"/>
    <row r="8779" ht="12.75" hidden="1" x14ac:dyDescent="0.2"/>
    <row r="8780" ht="12.75" hidden="1" x14ac:dyDescent="0.2"/>
    <row r="8781" ht="12.75" hidden="1" x14ac:dyDescent="0.2"/>
    <row r="8782" ht="12.75" hidden="1" x14ac:dyDescent="0.2"/>
    <row r="8783" ht="12.75" hidden="1" x14ac:dyDescent="0.2"/>
    <row r="8784" ht="12.75" hidden="1" x14ac:dyDescent="0.2"/>
    <row r="8785" ht="12.75" hidden="1" x14ac:dyDescent="0.2"/>
    <row r="8786" ht="12.75" hidden="1" x14ac:dyDescent="0.2"/>
    <row r="8787" ht="12.75" hidden="1" x14ac:dyDescent="0.2"/>
    <row r="8788" ht="12.75" hidden="1" x14ac:dyDescent="0.2"/>
    <row r="8789" ht="12.75" hidden="1" x14ac:dyDescent="0.2"/>
    <row r="8790" ht="12.75" hidden="1" x14ac:dyDescent="0.2"/>
    <row r="8791" ht="12.75" hidden="1" x14ac:dyDescent="0.2"/>
    <row r="8792" ht="12.75" hidden="1" x14ac:dyDescent="0.2"/>
    <row r="8793" ht="12.75" hidden="1" x14ac:dyDescent="0.2"/>
    <row r="8794" ht="12.75" hidden="1" x14ac:dyDescent="0.2"/>
    <row r="8795" ht="12.75" hidden="1" x14ac:dyDescent="0.2"/>
    <row r="8796" ht="12.75" hidden="1" x14ac:dyDescent="0.2"/>
    <row r="8797" ht="12.75" hidden="1" x14ac:dyDescent="0.2"/>
    <row r="8798" ht="12.75" hidden="1" x14ac:dyDescent="0.2"/>
    <row r="8799" ht="12.75" hidden="1" x14ac:dyDescent="0.2"/>
    <row r="8800" ht="12.75" hidden="1" x14ac:dyDescent="0.2"/>
    <row r="8801" ht="12.75" hidden="1" x14ac:dyDescent="0.2"/>
    <row r="8802" ht="12.75" hidden="1" x14ac:dyDescent="0.2"/>
    <row r="8803" ht="12.75" hidden="1" x14ac:dyDescent="0.2"/>
    <row r="8804" ht="12.75" hidden="1" x14ac:dyDescent="0.2"/>
    <row r="8805" ht="12.75" hidden="1" x14ac:dyDescent="0.2"/>
    <row r="8806" ht="12.75" hidden="1" x14ac:dyDescent="0.2"/>
    <row r="8807" ht="12.75" hidden="1" x14ac:dyDescent="0.2"/>
    <row r="8808" ht="12.75" hidden="1" x14ac:dyDescent="0.2"/>
    <row r="8809" ht="12.75" hidden="1" x14ac:dyDescent="0.2"/>
    <row r="8810" ht="12.75" hidden="1" x14ac:dyDescent="0.2"/>
    <row r="8811" ht="12.75" hidden="1" x14ac:dyDescent="0.2"/>
    <row r="8812" ht="12.75" hidden="1" x14ac:dyDescent="0.2"/>
    <row r="8813" ht="12.75" hidden="1" x14ac:dyDescent="0.2"/>
    <row r="8814" ht="12.75" hidden="1" x14ac:dyDescent="0.2"/>
    <row r="8815" ht="12.75" hidden="1" x14ac:dyDescent="0.2"/>
    <row r="8816" ht="12.75" hidden="1" x14ac:dyDescent="0.2"/>
    <row r="8817" ht="12.75" hidden="1" x14ac:dyDescent="0.2"/>
    <row r="8818" ht="12.75" hidden="1" x14ac:dyDescent="0.2"/>
    <row r="8819" ht="12.75" hidden="1" x14ac:dyDescent="0.2"/>
    <row r="8820" ht="12.75" hidden="1" x14ac:dyDescent="0.2"/>
    <row r="8821" ht="12.75" hidden="1" x14ac:dyDescent="0.2"/>
    <row r="8822" ht="12.75" hidden="1" x14ac:dyDescent="0.2"/>
    <row r="8823" ht="12.75" hidden="1" x14ac:dyDescent="0.2"/>
    <row r="8824" ht="12.75" hidden="1" x14ac:dyDescent="0.2"/>
    <row r="8825" ht="12.75" hidden="1" x14ac:dyDescent="0.2"/>
    <row r="8826" ht="12.75" hidden="1" x14ac:dyDescent="0.2"/>
    <row r="8827" ht="12.75" hidden="1" x14ac:dyDescent="0.2"/>
    <row r="8828" ht="12.75" hidden="1" x14ac:dyDescent="0.2"/>
    <row r="8829" ht="12.75" hidden="1" x14ac:dyDescent="0.2"/>
    <row r="8830" ht="12.75" hidden="1" x14ac:dyDescent="0.2"/>
    <row r="8831" ht="12.75" hidden="1" x14ac:dyDescent="0.2"/>
    <row r="8832" ht="12.75" hidden="1" x14ac:dyDescent="0.2"/>
    <row r="8833" ht="12.75" hidden="1" x14ac:dyDescent="0.2"/>
    <row r="8834" ht="12.75" hidden="1" x14ac:dyDescent="0.2"/>
    <row r="8835" ht="12.75" hidden="1" x14ac:dyDescent="0.2"/>
    <row r="8836" ht="12.75" hidden="1" x14ac:dyDescent="0.2"/>
    <row r="8837" ht="12.75" hidden="1" x14ac:dyDescent="0.2"/>
    <row r="8838" ht="12.75" hidden="1" x14ac:dyDescent="0.2"/>
    <row r="8839" ht="12.75" hidden="1" x14ac:dyDescent="0.2"/>
    <row r="8840" ht="12.75" hidden="1" x14ac:dyDescent="0.2"/>
    <row r="8841" ht="12.75" hidden="1" x14ac:dyDescent="0.2"/>
    <row r="8842" ht="12.75" hidden="1" x14ac:dyDescent="0.2"/>
    <row r="8843" ht="12.75" hidden="1" x14ac:dyDescent="0.2"/>
    <row r="8844" ht="12.75" hidden="1" x14ac:dyDescent="0.2"/>
    <row r="8845" ht="12.75" hidden="1" x14ac:dyDescent="0.2"/>
    <row r="8846" ht="12.75" hidden="1" x14ac:dyDescent="0.2"/>
    <row r="8847" ht="12.75" hidden="1" x14ac:dyDescent="0.2"/>
    <row r="8848" ht="12.75" hidden="1" x14ac:dyDescent="0.2"/>
    <row r="8849" ht="12.75" hidden="1" x14ac:dyDescent="0.2"/>
    <row r="8850" ht="12.75" hidden="1" x14ac:dyDescent="0.2"/>
    <row r="8851" ht="12.75" hidden="1" x14ac:dyDescent="0.2"/>
    <row r="8852" ht="12.75" hidden="1" x14ac:dyDescent="0.2"/>
    <row r="8853" ht="12.75" hidden="1" x14ac:dyDescent="0.2"/>
    <row r="8854" ht="12.75" hidden="1" x14ac:dyDescent="0.2"/>
    <row r="8855" ht="12.75" hidden="1" x14ac:dyDescent="0.2"/>
    <row r="8856" ht="12.75" hidden="1" x14ac:dyDescent="0.2"/>
    <row r="8857" ht="12.75" hidden="1" x14ac:dyDescent="0.2"/>
    <row r="8858" ht="12.75" hidden="1" x14ac:dyDescent="0.2"/>
    <row r="8859" ht="12.75" hidden="1" x14ac:dyDescent="0.2"/>
    <row r="8860" ht="12.75" hidden="1" x14ac:dyDescent="0.2"/>
    <row r="8861" ht="12.75" hidden="1" x14ac:dyDescent="0.2"/>
    <row r="8862" ht="12.75" hidden="1" x14ac:dyDescent="0.2"/>
    <row r="8863" ht="12.75" hidden="1" x14ac:dyDescent="0.2"/>
    <row r="8864" ht="12.75" hidden="1" x14ac:dyDescent="0.2"/>
    <row r="8865" ht="12.75" hidden="1" x14ac:dyDescent="0.2"/>
    <row r="8866" ht="12.75" hidden="1" x14ac:dyDescent="0.2"/>
    <row r="8867" ht="12.75" hidden="1" x14ac:dyDescent="0.2"/>
    <row r="8868" ht="12.75" hidden="1" x14ac:dyDescent="0.2"/>
    <row r="8869" ht="12.75" hidden="1" x14ac:dyDescent="0.2"/>
    <row r="8870" ht="12.75" hidden="1" x14ac:dyDescent="0.2"/>
    <row r="8871" ht="12.75" hidden="1" x14ac:dyDescent="0.2"/>
    <row r="8872" ht="12.75" hidden="1" x14ac:dyDescent="0.2"/>
    <row r="8873" ht="12.75" hidden="1" x14ac:dyDescent="0.2"/>
    <row r="8874" ht="12.75" hidden="1" x14ac:dyDescent="0.2"/>
    <row r="8875" ht="12.75" hidden="1" x14ac:dyDescent="0.2"/>
    <row r="8876" ht="12.75" hidden="1" x14ac:dyDescent="0.2"/>
    <row r="8877" ht="12.75" hidden="1" x14ac:dyDescent="0.2"/>
    <row r="8878" ht="12.75" hidden="1" x14ac:dyDescent="0.2"/>
    <row r="8879" ht="12.75" hidden="1" x14ac:dyDescent="0.2"/>
    <row r="8880" ht="12.75" hidden="1" x14ac:dyDescent="0.2"/>
    <row r="8881" ht="12.75" hidden="1" x14ac:dyDescent="0.2"/>
    <row r="8882" ht="12.75" hidden="1" x14ac:dyDescent="0.2"/>
    <row r="8883" ht="12.75" hidden="1" x14ac:dyDescent="0.2"/>
    <row r="8884" ht="12.75" hidden="1" x14ac:dyDescent="0.2"/>
    <row r="8885" ht="12.75" hidden="1" x14ac:dyDescent="0.2"/>
    <row r="8886" ht="12.75" hidden="1" x14ac:dyDescent="0.2"/>
    <row r="8887" ht="12.75" hidden="1" x14ac:dyDescent="0.2"/>
    <row r="8888" ht="12.75" hidden="1" x14ac:dyDescent="0.2"/>
    <row r="8889" ht="12.75" hidden="1" x14ac:dyDescent="0.2"/>
    <row r="8890" ht="12.75" hidden="1" x14ac:dyDescent="0.2"/>
    <row r="8891" ht="12.75" hidden="1" x14ac:dyDescent="0.2"/>
    <row r="8892" ht="12.75" hidden="1" x14ac:dyDescent="0.2"/>
    <row r="8893" ht="12.75" hidden="1" x14ac:dyDescent="0.2"/>
    <row r="8894" ht="12.75" hidden="1" x14ac:dyDescent="0.2"/>
    <row r="8895" ht="12.75" hidden="1" x14ac:dyDescent="0.2"/>
    <row r="8896" ht="12.75" hidden="1" x14ac:dyDescent="0.2"/>
    <row r="8897" ht="12.75" hidden="1" x14ac:dyDescent="0.2"/>
    <row r="8898" ht="12.75" hidden="1" x14ac:dyDescent="0.2"/>
    <row r="8899" ht="12.75" hidden="1" x14ac:dyDescent="0.2"/>
    <row r="8900" ht="12.75" hidden="1" x14ac:dyDescent="0.2"/>
    <row r="8901" ht="12.75" hidden="1" x14ac:dyDescent="0.2"/>
    <row r="8902" ht="12.75" hidden="1" x14ac:dyDescent="0.2"/>
    <row r="8903" ht="12.75" hidden="1" x14ac:dyDescent="0.2"/>
    <row r="8904" ht="12.75" hidden="1" x14ac:dyDescent="0.2"/>
    <row r="8905" ht="12.75" hidden="1" x14ac:dyDescent="0.2"/>
    <row r="8906" ht="12.75" hidden="1" x14ac:dyDescent="0.2"/>
    <row r="8907" ht="12.75" hidden="1" x14ac:dyDescent="0.2"/>
    <row r="8908" ht="12.75" hidden="1" x14ac:dyDescent="0.2"/>
    <row r="8909" ht="12.75" hidden="1" x14ac:dyDescent="0.2"/>
    <row r="8910" ht="12.75" hidden="1" x14ac:dyDescent="0.2"/>
    <row r="8911" ht="12.75" hidden="1" x14ac:dyDescent="0.2"/>
    <row r="8912" ht="12.75" hidden="1" x14ac:dyDescent="0.2"/>
    <row r="8913" ht="12.75" hidden="1" x14ac:dyDescent="0.2"/>
    <row r="8914" ht="12.75" hidden="1" x14ac:dyDescent="0.2"/>
    <row r="8915" ht="12.75" hidden="1" x14ac:dyDescent="0.2"/>
    <row r="8916" ht="12.75" hidden="1" x14ac:dyDescent="0.2"/>
    <row r="8917" ht="12.75" hidden="1" x14ac:dyDescent="0.2"/>
    <row r="8918" ht="12.75" hidden="1" x14ac:dyDescent="0.2"/>
    <row r="8919" ht="12.75" hidden="1" x14ac:dyDescent="0.2"/>
    <row r="8920" ht="12.75" hidden="1" x14ac:dyDescent="0.2"/>
    <row r="8921" ht="12.75" hidden="1" x14ac:dyDescent="0.2"/>
    <row r="8922" ht="12.75" hidden="1" x14ac:dyDescent="0.2"/>
    <row r="8923" ht="12.75" hidden="1" x14ac:dyDescent="0.2"/>
    <row r="8924" ht="12.75" hidden="1" x14ac:dyDescent="0.2"/>
    <row r="8925" ht="12.75" hidden="1" x14ac:dyDescent="0.2"/>
    <row r="8926" ht="12.75" hidden="1" x14ac:dyDescent="0.2"/>
    <row r="8927" ht="12.75" hidden="1" x14ac:dyDescent="0.2"/>
    <row r="8928" ht="12.75" hidden="1" x14ac:dyDescent="0.2"/>
    <row r="8929" ht="12.75" hidden="1" x14ac:dyDescent="0.2"/>
    <row r="8930" ht="12.75" hidden="1" x14ac:dyDescent="0.2"/>
    <row r="8931" ht="12.75" hidden="1" x14ac:dyDescent="0.2"/>
    <row r="8932" ht="12.75" hidden="1" x14ac:dyDescent="0.2"/>
    <row r="8933" ht="12.75" hidden="1" x14ac:dyDescent="0.2"/>
    <row r="8934" ht="12.75" hidden="1" x14ac:dyDescent="0.2"/>
    <row r="8935" ht="12.75" hidden="1" x14ac:dyDescent="0.2"/>
    <row r="8936" ht="12.75" hidden="1" x14ac:dyDescent="0.2"/>
    <row r="8937" ht="12.75" hidden="1" x14ac:dyDescent="0.2"/>
    <row r="8938" ht="12.75" hidden="1" x14ac:dyDescent="0.2"/>
    <row r="8939" ht="12.75" hidden="1" x14ac:dyDescent="0.2"/>
    <row r="8940" ht="12.75" hidden="1" x14ac:dyDescent="0.2"/>
    <row r="8941" ht="12.75" hidden="1" x14ac:dyDescent="0.2"/>
    <row r="8942" ht="12.75" hidden="1" x14ac:dyDescent="0.2"/>
    <row r="8943" ht="12.75" hidden="1" x14ac:dyDescent="0.2"/>
    <row r="8944" ht="12.75" hidden="1" x14ac:dyDescent="0.2"/>
    <row r="8945" ht="12.75" hidden="1" x14ac:dyDescent="0.2"/>
    <row r="8946" ht="12.75" hidden="1" x14ac:dyDescent="0.2"/>
    <row r="8947" ht="12.75" hidden="1" x14ac:dyDescent="0.2"/>
    <row r="8948" ht="12.75" hidden="1" x14ac:dyDescent="0.2"/>
    <row r="8949" ht="12.75" hidden="1" x14ac:dyDescent="0.2"/>
    <row r="8950" ht="12.75" hidden="1" x14ac:dyDescent="0.2"/>
    <row r="8951" ht="12.75" hidden="1" x14ac:dyDescent="0.2"/>
    <row r="8952" ht="12.75" hidden="1" x14ac:dyDescent="0.2"/>
    <row r="8953" ht="12.75" hidden="1" x14ac:dyDescent="0.2"/>
    <row r="8954" ht="12.75" hidden="1" x14ac:dyDescent="0.2"/>
    <row r="8955" ht="12.75" hidden="1" x14ac:dyDescent="0.2"/>
    <row r="8956" ht="12.75" hidden="1" x14ac:dyDescent="0.2"/>
    <row r="8957" ht="12.75" hidden="1" x14ac:dyDescent="0.2"/>
    <row r="8958" ht="12.75" hidden="1" x14ac:dyDescent="0.2"/>
    <row r="8959" ht="12.75" hidden="1" x14ac:dyDescent="0.2"/>
    <row r="8960" ht="12.75" hidden="1" x14ac:dyDescent="0.2"/>
    <row r="8961" ht="12.75" hidden="1" x14ac:dyDescent="0.2"/>
    <row r="8962" ht="12.75" hidden="1" x14ac:dyDescent="0.2"/>
    <row r="8963" ht="12.75" hidden="1" x14ac:dyDescent="0.2"/>
    <row r="8964" ht="12.75" hidden="1" x14ac:dyDescent="0.2"/>
    <row r="8965" ht="12.75" hidden="1" x14ac:dyDescent="0.2"/>
    <row r="8966" ht="12.75" hidden="1" x14ac:dyDescent="0.2"/>
    <row r="8967" ht="12.75" hidden="1" x14ac:dyDescent="0.2"/>
    <row r="8968" ht="12.75" hidden="1" x14ac:dyDescent="0.2"/>
    <row r="8969" ht="12.75" hidden="1" x14ac:dyDescent="0.2"/>
    <row r="8970" ht="12.75" hidden="1" x14ac:dyDescent="0.2"/>
    <row r="8971" ht="12.75" hidden="1" x14ac:dyDescent="0.2"/>
    <row r="8972" ht="12.75" hidden="1" x14ac:dyDescent="0.2"/>
    <row r="8973" ht="12.75" hidden="1" x14ac:dyDescent="0.2"/>
    <row r="8974" ht="12.75" hidden="1" x14ac:dyDescent="0.2"/>
    <row r="8975" ht="12.75" hidden="1" x14ac:dyDescent="0.2"/>
    <row r="8976" ht="12.75" hidden="1" x14ac:dyDescent="0.2"/>
    <row r="8977" ht="12.75" hidden="1" x14ac:dyDescent="0.2"/>
    <row r="8978" ht="12.75" hidden="1" x14ac:dyDescent="0.2"/>
    <row r="8979" ht="12.75" hidden="1" x14ac:dyDescent="0.2"/>
    <row r="8980" ht="12.75" hidden="1" x14ac:dyDescent="0.2"/>
    <row r="8981" ht="12.75" hidden="1" x14ac:dyDescent="0.2"/>
    <row r="8982" ht="12.75" hidden="1" x14ac:dyDescent="0.2"/>
    <row r="8983" ht="12.75" hidden="1" x14ac:dyDescent="0.2"/>
    <row r="8984" ht="12.75" hidden="1" x14ac:dyDescent="0.2"/>
    <row r="8985" ht="12.75" hidden="1" x14ac:dyDescent="0.2"/>
    <row r="8986" ht="12.75" hidden="1" x14ac:dyDescent="0.2"/>
    <row r="8987" ht="12.75" hidden="1" x14ac:dyDescent="0.2"/>
    <row r="8988" ht="12.75" hidden="1" x14ac:dyDescent="0.2"/>
    <row r="8989" ht="12.75" hidden="1" x14ac:dyDescent="0.2"/>
    <row r="8990" ht="12.75" hidden="1" x14ac:dyDescent="0.2"/>
    <row r="8991" ht="12.75" hidden="1" x14ac:dyDescent="0.2"/>
    <row r="8992" ht="12.75" hidden="1" x14ac:dyDescent="0.2"/>
    <row r="8993" ht="12.75" hidden="1" x14ac:dyDescent="0.2"/>
    <row r="8994" ht="12.75" hidden="1" x14ac:dyDescent="0.2"/>
    <row r="8995" ht="12.75" hidden="1" x14ac:dyDescent="0.2"/>
    <row r="8996" ht="12.75" hidden="1" x14ac:dyDescent="0.2"/>
    <row r="8997" ht="12.75" hidden="1" x14ac:dyDescent="0.2"/>
    <row r="8998" ht="12.75" hidden="1" x14ac:dyDescent="0.2"/>
    <row r="8999" ht="12.75" hidden="1" x14ac:dyDescent="0.2"/>
    <row r="9000" ht="12.75" hidden="1" x14ac:dyDescent="0.2"/>
    <row r="9001" ht="12.75" hidden="1" x14ac:dyDescent="0.2"/>
    <row r="9002" ht="12.75" hidden="1" x14ac:dyDescent="0.2"/>
    <row r="9003" ht="12.75" hidden="1" x14ac:dyDescent="0.2"/>
    <row r="9004" ht="12.75" hidden="1" x14ac:dyDescent="0.2"/>
    <row r="9005" ht="12.75" hidden="1" x14ac:dyDescent="0.2"/>
    <row r="9006" ht="12.75" hidden="1" x14ac:dyDescent="0.2"/>
    <row r="9007" ht="12.75" hidden="1" x14ac:dyDescent="0.2"/>
    <row r="9008" ht="12.75" hidden="1" x14ac:dyDescent="0.2"/>
    <row r="9009" ht="12.75" hidden="1" x14ac:dyDescent="0.2"/>
    <row r="9010" ht="12.75" hidden="1" x14ac:dyDescent="0.2"/>
    <row r="9011" ht="12.75" hidden="1" x14ac:dyDescent="0.2"/>
    <row r="9012" ht="12.75" hidden="1" x14ac:dyDescent="0.2"/>
    <row r="9013" ht="12.75" hidden="1" x14ac:dyDescent="0.2"/>
    <row r="9014" ht="12.75" hidden="1" x14ac:dyDescent="0.2"/>
    <row r="9015" ht="12.75" hidden="1" x14ac:dyDescent="0.2"/>
    <row r="9016" ht="12.75" hidden="1" x14ac:dyDescent="0.2"/>
    <row r="9017" ht="12.75" hidden="1" x14ac:dyDescent="0.2"/>
    <row r="9018" ht="12.75" hidden="1" x14ac:dyDescent="0.2"/>
    <row r="9019" ht="12.75" hidden="1" x14ac:dyDescent="0.2"/>
    <row r="9020" ht="12.75" hidden="1" x14ac:dyDescent="0.2"/>
    <row r="9021" ht="12.75" hidden="1" x14ac:dyDescent="0.2"/>
    <row r="9022" ht="12.75" hidden="1" x14ac:dyDescent="0.2"/>
    <row r="9023" ht="12.75" hidden="1" x14ac:dyDescent="0.2"/>
    <row r="9024" ht="12.75" hidden="1" x14ac:dyDescent="0.2"/>
    <row r="9025" ht="12.75" hidden="1" x14ac:dyDescent="0.2"/>
    <row r="9026" ht="12.75" hidden="1" x14ac:dyDescent="0.2"/>
    <row r="9027" ht="12.75" hidden="1" x14ac:dyDescent="0.2"/>
    <row r="9028" ht="12.75" hidden="1" x14ac:dyDescent="0.2"/>
    <row r="9029" ht="12.75" hidden="1" x14ac:dyDescent="0.2"/>
    <row r="9030" ht="12.75" hidden="1" x14ac:dyDescent="0.2"/>
    <row r="9031" ht="12.75" hidden="1" x14ac:dyDescent="0.2"/>
    <row r="9032" ht="12.75" hidden="1" x14ac:dyDescent="0.2"/>
    <row r="9033" ht="12.75" hidden="1" x14ac:dyDescent="0.2"/>
    <row r="9034" ht="12.75" hidden="1" x14ac:dyDescent="0.2"/>
    <row r="9035" ht="12.75" hidden="1" x14ac:dyDescent="0.2"/>
    <row r="9036" ht="12.75" hidden="1" x14ac:dyDescent="0.2"/>
    <row r="9037" ht="12.75" hidden="1" x14ac:dyDescent="0.2"/>
    <row r="9038" ht="12.75" hidden="1" x14ac:dyDescent="0.2"/>
    <row r="9039" ht="12.75" hidden="1" x14ac:dyDescent="0.2"/>
    <row r="9040" ht="12.75" hidden="1" x14ac:dyDescent="0.2"/>
    <row r="9041" ht="12.75" hidden="1" x14ac:dyDescent="0.2"/>
    <row r="9042" ht="12.75" hidden="1" x14ac:dyDescent="0.2"/>
    <row r="9043" ht="12.75" hidden="1" x14ac:dyDescent="0.2"/>
    <row r="9044" ht="12.75" hidden="1" x14ac:dyDescent="0.2"/>
    <row r="9045" ht="12.75" hidden="1" x14ac:dyDescent="0.2"/>
    <row r="9046" ht="12.75" hidden="1" x14ac:dyDescent="0.2"/>
    <row r="9047" ht="12.75" hidden="1" x14ac:dyDescent="0.2"/>
    <row r="9048" ht="12.75" hidden="1" x14ac:dyDescent="0.2"/>
    <row r="9049" ht="12.75" hidden="1" x14ac:dyDescent="0.2"/>
    <row r="9050" ht="12.75" hidden="1" x14ac:dyDescent="0.2"/>
    <row r="9051" ht="12.75" hidden="1" x14ac:dyDescent="0.2"/>
    <row r="9052" ht="12.75" hidden="1" x14ac:dyDescent="0.2"/>
    <row r="9053" ht="12.75" hidden="1" x14ac:dyDescent="0.2"/>
    <row r="9054" ht="12.75" hidden="1" x14ac:dyDescent="0.2"/>
    <row r="9055" ht="12.75" hidden="1" x14ac:dyDescent="0.2"/>
    <row r="9056" ht="12.75" hidden="1" x14ac:dyDescent="0.2"/>
    <row r="9057" ht="12.75" hidden="1" x14ac:dyDescent="0.2"/>
    <row r="9058" ht="12.75" hidden="1" x14ac:dyDescent="0.2"/>
    <row r="9059" ht="12.75" hidden="1" x14ac:dyDescent="0.2"/>
    <row r="9060" ht="12.75" hidden="1" x14ac:dyDescent="0.2"/>
    <row r="9061" ht="12.75" hidden="1" x14ac:dyDescent="0.2"/>
    <row r="9062" ht="12.75" hidden="1" x14ac:dyDescent="0.2"/>
    <row r="9063" ht="12.75" hidden="1" x14ac:dyDescent="0.2"/>
    <row r="9064" ht="12.75" hidden="1" x14ac:dyDescent="0.2"/>
    <row r="9065" ht="12.75" hidden="1" x14ac:dyDescent="0.2"/>
    <row r="9066" ht="12.75" hidden="1" x14ac:dyDescent="0.2"/>
    <row r="9067" ht="12.75" hidden="1" x14ac:dyDescent="0.2"/>
    <row r="9068" ht="12.75" hidden="1" x14ac:dyDescent="0.2"/>
    <row r="9069" ht="12.75" hidden="1" x14ac:dyDescent="0.2"/>
    <row r="9070" ht="12.75" hidden="1" x14ac:dyDescent="0.2"/>
    <row r="9071" ht="12.75" hidden="1" x14ac:dyDescent="0.2"/>
    <row r="9072" ht="12.75" hidden="1" x14ac:dyDescent="0.2"/>
    <row r="9073" ht="12.75" hidden="1" x14ac:dyDescent="0.2"/>
    <row r="9074" ht="12.75" hidden="1" x14ac:dyDescent="0.2"/>
    <row r="9075" ht="12.75" hidden="1" x14ac:dyDescent="0.2"/>
    <row r="9076" ht="12.75" hidden="1" x14ac:dyDescent="0.2"/>
    <row r="9077" ht="12.75" hidden="1" x14ac:dyDescent="0.2"/>
    <row r="9078" ht="12.75" hidden="1" x14ac:dyDescent="0.2"/>
    <row r="9079" ht="12.75" hidden="1" x14ac:dyDescent="0.2"/>
    <row r="9080" ht="12.75" hidden="1" x14ac:dyDescent="0.2"/>
    <row r="9081" ht="12.75" hidden="1" x14ac:dyDescent="0.2"/>
    <row r="9082" ht="12.75" hidden="1" x14ac:dyDescent="0.2"/>
    <row r="9083" ht="12.75" hidden="1" x14ac:dyDescent="0.2"/>
    <row r="9084" ht="12.75" hidden="1" x14ac:dyDescent="0.2"/>
    <row r="9085" ht="12.75" hidden="1" x14ac:dyDescent="0.2"/>
    <row r="9086" ht="12.75" hidden="1" x14ac:dyDescent="0.2"/>
    <row r="9087" ht="12.75" hidden="1" x14ac:dyDescent="0.2"/>
    <row r="9088" ht="12.75" hidden="1" x14ac:dyDescent="0.2"/>
    <row r="9089" ht="12.75" hidden="1" x14ac:dyDescent="0.2"/>
    <row r="9090" ht="12.75" hidden="1" x14ac:dyDescent="0.2"/>
    <row r="9091" ht="12.75" hidden="1" x14ac:dyDescent="0.2"/>
    <row r="9092" ht="12.75" hidden="1" x14ac:dyDescent="0.2"/>
    <row r="9093" ht="12.75" hidden="1" x14ac:dyDescent="0.2"/>
    <row r="9094" ht="12.75" hidden="1" x14ac:dyDescent="0.2"/>
    <row r="9095" ht="12.75" hidden="1" x14ac:dyDescent="0.2"/>
    <row r="9096" ht="12.75" hidden="1" x14ac:dyDescent="0.2"/>
    <row r="9097" ht="12.75" hidden="1" x14ac:dyDescent="0.2"/>
    <row r="9098" ht="12.75" hidden="1" x14ac:dyDescent="0.2"/>
    <row r="9099" ht="12.75" hidden="1" x14ac:dyDescent="0.2"/>
    <row r="9100" ht="12.75" hidden="1" x14ac:dyDescent="0.2"/>
    <row r="9101" ht="12.75" hidden="1" x14ac:dyDescent="0.2"/>
    <row r="9102" ht="12.75" hidden="1" x14ac:dyDescent="0.2"/>
    <row r="9103" ht="12.75" hidden="1" x14ac:dyDescent="0.2"/>
    <row r="9104" ht="12.75" hidden="1" x14ac:dyDescent="0.2"/>
    <row r="9105" ht="12.75" hidden="1" x14ac:dyDescent="0.2"/>
    <row r="9106" ht="12.75" hidden="1" x14ac:dyDescent="0.2"/>
    <row r="9107" ht="12.75" hidden="1" x14ac:dyDescent="0.2"/>
    <row r="9108" ht="12.75" hidden="1" x14ac:dyDescent="0.2"/>
    <row r="9109" ht="12.75" hidden="1" x14ac:dyDescent="0.2"/>
    <row r="9110" ht="12.75" hidden="1" x14ac:dyDescent="0.2"/>
    <row r="9111" ht="12.75" hidden="1" x14ac:dyDescent="0.2"/>
    <row r="9112" ht="12.75" hidden="1" x14ac:dyDescent="0.2"/>
    <row r="9113" ht="12.75" hidden="1" x14ac:dyDescent="0.2"/>
    <row r="9114" ht="12.75" hidden="1" x14ac:dyDescent="0.2"/>
    <row r="9115" ht="12.75" hidden="1" x14ac:dyDescent="0.2"/>
    <row r="9116" ht="12.75" hidden="1" x14ac:dyDescent="0.2"/>
    <row r="9117" ht="12.75" hidden="1" x14ac:dyDescent="0.2"/>
    <row r="9118" ht="12.75" hidden="1" x14ac:dyDescent="0.2"/>
    <row r="9119" ht="12.75" hidden="1" x14ac:dyDescent="0.2"/>
    <row r="9120" ht="12.75" hidden="1" x14ac:dyDescent="0.2"/>
    <row r="9121" ht="12.75" hidden="1" x14ac:dyDescent="0.2"/>
    <row r="9122" ht="12.75" hidden="1" x14ac:dyDescent="0.2"/>
    <row r="9123" ht="12.75" hidden="1" x14ac:dyDescent="0.2"/>
    <row r="9124" ht="12.75" hidden="1" x14ac:dyDescent="0.2"/>
    <row r="9125" ht="12.75" hidden="1" x14ac:dyDescent="0.2"/>
    <row r="9126" ht="12.75" hidden="1" x14ac:dyDescent="0.2"/>
    <row r="9127" ht="12.75" hidden="1" x14ac:dyDescent="0.2"/>
    <row r="9128" ht="12.75" hidden="1" x14ac:dyDescent="0.2"/>
    <row r="9129" ht="12.75" hidden="1" x14ac:dyDescent="0.2"/>
    <row r="9130" ht="12.75" hidden="1" x14ac:dyDescent="0.2"/>
    <row r="9131" ht="12.75" hidden="1" x14ac:dyDescent="0.2"/>
    <row r="9132" ht="12.75" hidden="1" x14ac:dyDescent="0.2"/>
    <row r="9133" ht="12.75" hidden="1" x14ac:dyDescent="0.2"/>
    <row r="9134" ht="12.75" hidden="1" x14ac:dyDescent="0.2"/>
    <row r="9135" ht="12.75" hidden="1" x14ac:dyDescent="0.2"/>
    <row r="9136" ht="12.75" hidden="1" x14ac:dyDescent="0.2"/>
    <row r="9137" ht="12.75" hidden="1" x14ac:dyDescent="0.2"/>
    <row r="9138" ht="12.75" hidden="1" x14ac:dyDescent="0.2"/>
    <row r="9139" ht="12.75" hidden="1" x14ac:dyDescent="0.2"/>
    <row r="9140" ht="12.75" hidden="1" x14ac:dyDescent="0.2"/>
    <row r="9141" ht="12.75" hidden="1" x14ac:dyDescent="0.2"/>
    <row r="9142" ht="12.75" hidden="1" x14ac:dyDescent="0.2"/>
    <row r="9143" ht="12.75" hidden="1" x14ac:dyDescent="0.2"/>
    <row r="9144" ht="12.75" hidden="1" x14ac:dyDescent="0.2"/>
    <row r="9145" ht="12.75" hidden="1" x14ac:dyDescent="0.2"/>
    <row r="9146" ht="12.75" hidden="1" x14ac:dyDescent="0.2"/>
    <row r="9147" ht="12.75" hidden="1" x14ac:dyDescent="0.2"/>
    <row r="9148" ht="12.75" hidden="1" x14ac:dyDescent="0.2"/>
    <row r="9149" ht="12.75" hidden="1" x14ac:dyDescent="0.2"/>
    <row r="9150" ht="12.75" hidden="1" x14ac:dyDescent="0.2"/>
    <row r="9151" ht="12.75" hidden="1" x14ac:dyDescent="0.2"/>
    <row r="9152" ht="12.75" hidden="1" x14ac:dyDescent="0.2"/>
    <row r="9153" ht="12.75" hidden="1" x14ac:dyDescent="0.2"/>
    <row r="9154" ht="12.75" hidden="1" x14ac:dyDescent="0.2"/>
    <row r="9155" ht="12.75" hidden="1" x14ac:dyDescent="0.2"/>
    <row r="9156" ht="12.75" hidden="1" x14ac:dyDescent="0.2"/>
    <row r="9157" ht="12.75" hidden="1" x14ac:dyDescent="0.2"/>
    <row r="9158" ht="12.75" hidden="1" x14ac:dyDescent="0.2"/>
    <row r="9159" ht="12.75" hidden="1" x14ac:dyDescent="0.2"/>
    <row r="9160" ht="12.75" hidden="1" x14ac:dyDescent="0.2"/>
    <row r="9161" ht="12.75" hidden="1" x14ac:dyDescent="0.2"/>
    <row r="9162" ht="12.75" hidden="1" x14ac:dyDescent="0.2"/>
    <row r="9163" ht="12.75" hidden="1" x14ac:dyDescent="0.2"/>
    <row r="9164" ht="12.75" hidden="1" x14ac:dyDescent="0.2"/>
    <row r="9165" ht="12.75" hidden="1" x14ac:dyDescent="0.2"/>
    <row r="9166" ht="12.75" hidden="1" x14ac:dyDescent="0.2"/>
    <row r="9167" ht="12.75" hidden="1" x14ac:dyDescent="0.2"/>
    <row r="9168" ht="12.75" hidden="1" x14ac:dyDescent="0.2"/>
    <row r="9169" ht="12.75" hidden="1" x14ac:dyDescent="0.2"/>
    <row r="9170" ht="12.75" hidden="1" x14ac:dyDescent="0.2"/>
    <row r="9171" ht="12.75" hidden="1" x14ac:dyDescent="0.2"/>
    <row r="9172" ht="12.75" hidden="1" x14ac:dyDescent="0.2"/>
    <row r="9173" ht="12.75" hidden="1" x14ac:dyDescent="0.2"/>
    <row r="9174" ht="12.75" hidden="1" x14ac:dyDescent="0.2"/>
    <row r="9175" ht="12.75" hidden="1" x14ac:dyDescent="0.2"/>
    <row r="9176" ht="12.75" hidden="1" x14ac:dyDescent="0.2"/>
    <row r="9177" ht="12.75" hidden="1" x14ac:dyDescent="0.2"/>
    <row r="9178" ht="12.75" hidden="1" x14ac:dyDescent="0.2"/>
    <row r="9179" ht="12.75" hidden="1" x14ac:dyDescent="0.2"/>
    <row r="9180" ht="12.75" hidden="1" x14ac:dyDescent="0.2"/>
    <row r="9181" ht="12.75" hidden="1" x14ac:dyDescent="0.2"/>
    <row r="9182" ht="12.75" hidden="1" x14ac:dyDescent="0.2"/>
    <row r="9183" ht="12.75" hidden="1" x14ac:dyDescent="0.2"/>
    <row r="9184" ht="12.75" hidden="1" x14ac:dyDescent="0.2"/>
    <row r="9185" ht="12.75" hidden="1" x14ac:dyDescent="0.2"/>
    <row r="9186" ht="12.75" hidden="1" x14ac:dyDescent="0.2"/>
    <row r="9187" ht="12.75" hidden="1" x14ac:dyDescent="0.2"/>
    <row r="9188" ht="12.75" hidden="1" x14ac:dyDescent="0.2"/>
    <row r="9189" ht="12.75" hidden="1" x14ac:dyDescent="0.2"/>
    <row r="9190" ht="12.75" hidden="1" x14ac:dyDescent="0.2"/>
    <row r="9191" ht="12.75" hidden="1" x14ac:dyDescent="0.2"/>
    <row r="9192" ht="12.75" hidden="1" x14ac:dyDescent="0.2"/>
    <row r="9193" ht="12.75" hidden="1" x14ac:dyDescent="0.2"/>
    <row r="9194" ht="12.75" hidden="1" x14ac:dyDescent="0.2"/>
    <row r="9195" ht="12.75" hidden="1" x14ac:dyDescent="0.2"/>
    <row r="9196" ht="12.75" hidden="1" x14ac:dyDescent="0.2"/>
    <row r="9197" ht="12.75" hidden="1" x14ac:dyDescent="0.2"/>
    <row r="9198" ht="12.75" hidden="1" x14ac:dyDescent="0.2"/>
    <row r="9199" ht="12.75" hidden="1" x14ac:dyDescent="0.2"/>
    <row r="9200" ht="12.75" hidden="1" x14ac:dyDescent="0.2"/>
    <row r="9201" ht="12.75" hidden="1" x14ac:dyDescent="0.2"/>
    <row r="9202" ht="12.75" hidden="1" x14ac:dyDescent="0.2"/>
    <row r="9203" ht="12.75" hidden="1" x14ac:dyDescent="0.2"/>
    <row r="9204" ht="12.75" hidden="1" x14ac:dyDescent="0.2"/>
    <row r="9205" ht="12.75" hidden="1" x14ac:dyDescent="0.2"/>
    <row r="9206" ht="12.75" hidden="1" x14ac:dyDescent="0.2"/>
    <row r="9207" ht="12.75" hidden="1" x14ac:dyDescent="0.2"/>
    <row r="9208" ht="12.75" hidden="1" x14ac:dyDescent="0.2"/>
    <row r="9209" ht="12.75" hidden="1" x14ac:dyDescent="0.2"/>
    <row r="9210" ht="12.75" hidden="1" x14ac:dyDescent="0.2"/>
    <row r="9211" ht="12.75" hidden="1" x14ac:dyDescent="0.2"/>
    <row r="9212" ht="12.75" hidden="1" x14ac:dyDescent="0.2"/>
    <row r="9213" ht="12.75" hidden="1" x14ac:dyDescent="0.2"/>
    <row r="9214" ht="12.75" hidden="1" x14ac:dyDescent="0.2"/>
    <row r="9215" ht="12.75" hidden="1" x14ac:dyDescent="0.2"/>
    <row r="9216" ht="12.75" hidden="1" x14ac:dyDescent="0.2"/>
    <row r="9217" ht="12.75" hidden="1" x14ac:dyDescent="0.2"/>
    <row r="9218" ht="12.75" hidden="1" x14ac:dyDescent="0.2"/>
    <row r="9219" ht="12.75" hidden="1" x14ac:dyDescent="0.2"/>
    <row r="9220" ht="12.75" hidden="1" x14ac:dyDescent="0.2"/>
    <row r="9221" ht="12.75" hidden="1" x14ac:dyDescent="0.2"/>
    <row r="9222" ht="12.75" hidden="1" x14ac:dyDescent="0.2"/>
    <row r="9223" ht="12.75" hidden="1" x14ac:dyDescent="0.2"/>
    <row r="9224" ht="12.75" hidden="1" x14ac:dyDescent="0.2"/>
    <row r="9225" ht="12.75" hidden="1" x14ac:dyDescent="0.2"/>
    <row r="9226" ht="12.75" hidden="1" x14ac:dyDescent="0.2"/>
    <row r="9227" ht="12.75" hidden="1" x14ac:dyDescent="0.2"/>
    <row r="9228" ht="12.75" hidden="1" x14ac:dyDescent="0.2"/>
    <row r="9229" ht="12.75" hidden="1" x14ac:dyDescent="0.2"/>
    <row r="9230" ht="12.75" hidden="1" x14ac:dyDescent="0.2"/>
    <row r="9231" ht="12.75" hidden="1" x14ac:dyDescent="0.2"/>
    <row r="9232" ht="12.75" hidden="1" x14ac:dyDescent="0.2"/>
    <row r="9233" ht="12.75" hidden="1" x14ac:dyDescent="0.2"/>
    <row r="9234" ht="12.75" hidden="1" x14ac:dyDescent="0.2"/>
    <row r="9235" ht="12.75" hidden="1" x14ac:dyDescent="0.2"/>
    <row r="9236" ht="12.75" hidden="1" x14ac:dyDescent="0.2"/>
    <row r="9237" ht="12.75" hidden="1" x14ac:dyDescent="0.2"/>
    <row r="9238" ht="12.75" hidden="1" x14ac:dyDescent="0.2"/>
    <row r="9239" ht="12.75" hidden="1" x14ac:dyDescent="0.2"/>
    <row r="9240" ht="12.75" hidden="1" x14ac:dyDescent="0.2"/>
    <row r="9241" ht="12.75" hidden="1" x14ac:dyDescent="0.2"/>
    <row r="9242" ht="12.75" hidden="1" x14ac:dyDescent="0.2"/>
    <row r="9243" ht="12.75" hidden="1" x14ac:dyDescent="0.2"/>
    <row r="9244" ht="12.75" hidden="1" x14ac:dyDescent="0.2"/>
    <row r="9245" ht="12.75" hidden="1" x14ac:dyDescent="0.2"/>
    <row r="9246" ht="12.75" hidden="1" x14ac:dyDescent="0.2"/>
    <row r="9247" ht="12.75" hidden="1" x14ac:dyDescent="0.2"/>
    <row r="9248" ht="12.75" hidden="1" x14ac:dyDescent="0.2"/>
    <row r="9249" ht="12.75" hidden="1" x14ac:dyDescent="0.2"/>
    <row r="9250" ht="12.75" hidden="1" x14ac:dyDescent="0.2"/>
    <row r="9251" ht="12.75" hidden="1" x14ac:dyDescent="0.2"/>
    <row r="9252" ht="12.75" hidden="1" x14ac:dyDescent="0.2"/>
    <row r="9253" ht="12.75" hidden="1" x14ac:dyDescent="0.2"/>
    <row r="9254" ht="12.75" hidden="1" x14ac:dyDescent="0.2"/>
    <row r="9255" ht="12.75" hidden="1" x14ac:dyDescent="0.2"/>
    <row r="9256" ht="12.75" hidden="1" x14ac:dyDescent="0.2"/>
    <row r="9257" ht="12.75" hidden="1" x14ac:dyDescent="0.2"/>
    <row r="9258" ht="12.75" hidden="1" x14ac:dyDescent="0.2"/>
    <row r="9259" ht="12.75" hidden="1" x14ac:dyDescent="0.2"/>
    <row r="9260" ht="12.75" hidden="1" x14ac:dyDescent="0.2"/>
    <row r="9261" ht="12.75" hidden="1" x14ac:dyDescent="0.2"/>
    <row r="9262" ht="12.75" hidden="1" x14ac:dyDescent="0.2"/>
    <row r="9263" ht="12.75" hidden="1" x14ac:dyDescent="0.2"/>
    <row r="9264" ht="12.75" hidden="1" x14ac:dyDescent="0.2"/>
    <row r="9265" ht="12.75" hidden="1" x14ac:dyDescent="0.2"/>
    <row r="9266" ht="12.75" hidden="1" x14ac:dyDescent="0.2"/>
    <row r="9267" ht="12.75" hidden="1" x14ac:dyDescent="0.2"/>
    <row r="9268" ht="12.75" hidden="1" x14ac:dyDescent="0.2"/>
    <row r="9269" ht="12.75" hidden="1" x14ac:dyDescent="0.2"/>
    <row r="9270" ht="12.75" hidden="1" x14ac:dyDescent="0.2"/>
    <row r="9271" ht="12.75" hidden="1" x14ac:dyDescent="0.2"/>
    <row r="9272" ht="12.75" hidden="1" x14ac:dyDescent="0.2"/>
    <row r="9273" ht="12.75" hidden="1" x14ac:dyDescent="0.2"/>
    <row r="9274" ht="12.75" hidden="1" x14ac:dyDescent="0.2"/>
    <row r="9275" ht="12.75" hidden="1" x14ac:dyDescent="0.2"/>
    <row r="9276" ht="12.75" hidden="1" x14ac:dyDescent="0.2"/>
    <row r="9277" ht="12.75" hidden="1" x14ac:dyDescent="0.2"/>
    <row r="9278" ht="12.75" hidden="1" x14ac:dyDescent="0.2"/>
    <row r="9279" ht="12.75" hidden="1" x14ac:dyDescent="0.2"/>
    <row r="9280" ht="12.75" hidden="1" x14ac:dyDescent="0.2"/>
    <row r="9281" ht="12.75" hidden="1" x14ac:dyDescent="0.2"/>
    <row r="9282" ht="12.75" hidden="1" x14ac:dyDescent="0.2"/>
    <row r="9283" ht="12.75" hidden="1" x14ac:dyDescent="0.2"/>
    <row r="9284" ht="12.75" hidden="1" x14ac:dyDescent="0.2"/>
    <row r="9285" ht="12.75" hidden="1" x14ac:dyDescent="0.2"/>
    <row r="9286" ht="12.75" hidden="1" x14ac:dyDescent="0.2"/>
    <row r="9287" ht="12.75" hidden="1" x14ac:dyDescent="0.2"/>
    <row r="9288" ht="12.75" hidden="1" x14ac:dyDescent="0.2"/>
    <row r="9289" ht="12.75" hidden="1" x14ac:dyDescent="0.2"/>
    <row r="9290" ht="12.75" hidden="1" x14ac:dyDescent="0.2"/>
    <row r="9291" ht="12.75" hidden="1" x14ac:dyDescent="0.2"/>
    <row r="9292" ht="12.75" hidden="1" x14ac:dyDescent="0.2"/>
    <row r="9293" ht="12.75" hidden="1" x14ac:dyDescent="0.2"/>
    <row r="9294" ht="12.75" hidden="1" x14ac:dyDescent="0.2"/>
    <row r="9295" ht="12.75" hidden="1" x14ac:dyDescent="0.2"/>
    <row r="9296" ht="12.75" hidden="1" x14ac:dyDescent="0.2"/>
    <row r="9297" ht="12.75" hidden="1" x14ac:dyDescent="0.2"/>
    <row r="9298" ht="12.75" hidden="1" x14ac:dyDescent="0.2"/>
    <row r="9299" ht="12.75" hidden="1" x14ac:dyDescent="0.2"/>
    <row r="9300" ht="12.75" hidden="1" x14ac:dyDescent="0.2"/>
    <row r="9301" ht="12.75" hidden="1" x14ac:dyDescent="0.2"/>
    <row r="9302" ht="12.75" hidden="1" x14ac:dyDescent="0.2"/>
    <row r="9303" ht="12.75" hidden="1" x14ac:dyDescent="0.2"/>
    <row r="9304" ht="12.75" hidden="1" x14ac:dyDescent="0.2"/>
    <row r="9305" ht="12.75" hidden="1" x14ac:dyDescent="0.2"/>
    <row r="9306" ht="12.75" hidden="1" x14ac:dyDescent="0.2"/>
    <row r="9307" ht="12.75" hidden="1" x14ac:dyDescent="0.2"/>
    <row r="9308" ht="12.75" hidden="1" x14ac:dyDescent="0.2"/>
    <row r="9309" ht="12.75" hidden="1" x14ac:dyDescent="0.2"/>
    <row r="9310" ht="12.75" hidden="1" x14ac:dyDescent="0.2"/>
    <row r="9311" ht="12.75" hidden="1" x14ac:dyDescent="0.2"/>
    <row r="9312" ht="12.75" hidden="1" x14ac:dyDescent="0.2"/>
    <row r="9313" ht="12.75" hidden="1" x14ac:dyDescent="0.2"/>
    <row r="9314" ht="12.75" hidden="1" x14ac:dyDescent="0.2"/>
    <row r="9315" ht="12.75" hidden="1" x14ac:dyDescent="0.2"/>
    <row r="9316" ht="12.75" hidden="1" x14ac:dyDescent="0.2"/>
    <row r="9317" ht="12.75" hidden="1" x14ac:dyDescent="0.2"/>
    <row r="9318" ht="12.75" hidden="1" x14ac:dyDescent="0.2"/>
    <row r="9319" ht="12.75" hidden="1" x14ac:dyDescent="0.2"/>
    <row r="9320" ht="12.75" hidden="1" x14ac:dyDescent="0.2"/>
    <row r="9321" ht="12.75" hidden="1" x14ac:dyDescent="0.2"/>
    <row r="9322" ht="12.75" hidden="1" x14ac:dyDescent="0.2"/>
    <row r="9323" ht="12.75" hidden="1" x14ac:dyDescent="0.2"/>
    <row r="9324" ht="12.75" hidden="1" x14ac:dyDescent="0.2"/>
    <row r="9325" ht="12.75" hidden="1" x14ac:dyDescent="0.2"/>
    <row r="9326" ht="12.75" hidden="1" x14ac:dyDescent="0.2"/>
    <row r="9327" ht="12.75" hidden="1" x14ac:dyDescent="0.2"/>
    <row r="9328" ht="12.75" hidden="1" x14ac:dyDescent="0.2"/>
    <row r="9329" ht="12.75" hidden="1" x14ac:dyDescent="0.2"/>
    <row r="9330" ht="12.75" hidden="1" x14ac:dyDescent="0.2"/>
    <row r="9331" ht="12.75" hidden="1" x14ac:dyDescent="0.2"/>
    <row r="9332" ht="12.75" hidden="1" x14ac:dyDescent="0.2"/>
    <row r="9333" ht="12.75" hidden="1" x14ac:dyDescent="0.2"/>
    <row r="9334" ht="12.75" hidden="1" x14ac:dyDescent="0.2"/>
    <row r="9335" ht="12.75" hidden="1" x14ac:dyDescent="0.2"/>
    <row r="9336" ht="12.75" hidden="1" x14ac:dyDescent="0.2"/>
    <row r="9337" ht="12.75" hidden="1" x14ac:dyDescent="0.2"/>
    <row r="9338" ht="12.75" hidden="1" x14ac:dyDescent="0.2"/>
    <row r="9339" ht="12.75" hidden="1" x14ac:dyDescent="0.2"/>
    <row r="9340" ht="12.75" hidden="1" x14ac:dyDescent="0.2"/>
    <row r="9341" ht="12.75" hidden="1" x14ac:dyDescent="0.2"/>
    <row r="9342" ht="12.75" hidden="1" x14ac:dyDescent="0.2"/>
    <row r="9343" ht="12.75" hidden="1" x14ac:dyDescent="0.2"/>
    <row r="9344" ht="12.75" hidden="1" x14ac:dyDescent="0.2"/>
    <row r="9345" ht="12.75" hidden="1" x14ac:dyDescent="0.2"/>
    <row r="9346" ht="12.75" hidden="1" x14ac:dyDescent="0.2"/>
    <row r="9347" ht="12.75" hidden="1" x14ac:dyDescent="0.2"/>
    <row r="9348" ht="12.75" hidden="1" x14ac:dyDescent="0.2"/>
    <row r="9349" ht="12.75" hidden="1" x14ac:dyDescent="0.2"/>
    <row r="9350" ht="12.75" hidden="1" x14ac:dyDescent="0.2"/>
    <row r="9351" ht="12.75" hidden="1" x14ac:dyDescent="0.2"/>
    <row r="9352" ht="12.75" hidden="1" x14ac:dyDescent="0.2"/>
    <row r="9353" ht="12.75" hidden="1" x14ac:dyDescent="0.2"/>
    <row r="9354" ht="12.75" hidden="1" x14ac:dyDescent="0.2"/>
    <row r="9355" ht="12.75" hidden="1" x14ac:dyDescent="0.2"/>
    <row r="9356" ht="12.75" hidden="1" x14ac:dyDescent="0.2"/>
    <row r="9357" ht="12.75" hidden="1" x14ac:dyDescent="0.2"/>
    <row r="9358" ht="12.75" hidden="1" x14ac:dyDescent="0.2"/>
    <row r="9359" ht="12.75" hidden="1" x14ac:dyDescent="0.2"/>
    <row r="9360" ht="12.75" hidden="1" x14ac:dyDescent="0.2"/>
    <row r="9361" ht="12.75" hidden="1" x14ac:dyDescent="0.2"/>
    <row r="9362" ht="12.75" hidden="1" x14ac:dyDescent="0.2"/>
    <row r="9363" ht="12.75" hidden="1" x14ac:dyDescent="0.2"/>
    <row r="9364" ht="12.75" hidden="1" x14ac:dyDescent="0.2"/>
    <row r="9365" ht="12.75" hidden="1" x14ac:dyDescent="0.2"/>
    <row r="9366" ht="12.75" hidden="1" x14ac:dyDescent="0.2"/>
    <row r="9367" ht="12.75" hidden="1" x14ac:dyDescent="0.2"/>
    <row r="9368" ht="12.75" hidden="1" x14ac:dyDescent="0.2"/>
    <row r="9369" ht="12.75" hidden="1" x14ac:dyDescent="0.2"/>
    <row r="9370" ht="12.75" hidden="1" x14ac:dyDescent="0.2"/>
    <row r="9371" ht="12.75" hidden="1" x14ac:dyDescent="0.2"/>
    <row r="9372" ht="12.75" hidden="1" x14ac:dyDescent="0.2"/>
    <row r="9373" ht="12.75" hidden="1" x14ac:dyDescent="0.2"/>
    <row r="9374" ht="12.75" hidden="1" x14ac:dyDescent="0.2"/>
    <row r="9375" ht="12.75" hidden="1" x14ac:dyDescent="0.2"/>
    <row r="9376" ht="12.75" hidden="1" x14ac:dyDescent="0.2"/>
    <row r="9377" ht="12.75" hidden="1" x14ac:dyDescent="0.2"/>
    <row r="9378" ht="12.75" hidden="1" x14ac:dyDescent="0.2"/>
    <row r="9379" ht="12.75" hidden="1" x14ac:dyDescent="0.2"/>
    <row r="9380" ht="12.75" hidden="1" x14ac:dyDescent="0.2"/>
    <row r="9381" ht="12.75" hidden="1" x14ac:dyDescent="0.2"/>
    <row r="9382" ht="12.75" hidden="1" x14ac:dyDescent="0.2"/>
    <row r="9383" ht="12.75" hidden="1" x14ac:dyDescent="0.2"/>
    <row r="9384" ht="12.75" hidden="1" x14ac:dyDescent="0.2"/>
    <row r="9385" ht="12.75" hidden="1" x14ac:dyDescent="0.2"/>
    <row r="9386" ht="12.75" hidden="1" x14ac:dyDescent="0.2"/>
    <row r="9387" ht="12.75" hidden="1" x14ac:dyDescent="0.2"/>
    <row r="9388" ht="12.75" hidden="1" x14ac:dyDescent="0.2"/>
    <row r="9389" ht="12.75" hidden="1" x14ac:dyDescent="0.2"/>
    <row r="9390" ht="12.75" hidden="1" x14ac:dyDescent="0.2"/>
    <row r="9391" ht="12.75" hidden="1" x14ac:dyDescent="0.2"/>
    <row r="9392" ht="12.75" hidden="1" x14ac:dyDescent="0.2"/>
    <row r="9393" ht="12.75" hidden="1" x14ac:dyDescent="0.2"/>
    <row r="9394" ht="12.75" hidden="1" x14ac:dyDescent="0.2"/>
    <row r="9395" ht="12.75" hidden="1" x14ac:dyDescent="0.2"/>
    <row r="9396" ht="12.75" hidden="1" x14ac:dyDescent="0.2"/>
    <row r="9397" ht="12.75" hidden="1" x14ac:dyDescent="0.2"/>
    <row r="9398" ht="12.75" hidden="1" x14ac:dyDescent="0.2"/>
    <row r="9399" ht="12.75" hidden="1" x14ac:dyDescent="0.2"/>
    <row r="9400" ht="12.75" hidden="1" x14ac:dyDescent="0.2"/>
    <row r="9401" ht="12.75" hidden="1" x14ac:dyDescent="0.2"/>
    <row r="9402" ht="12.75" hidden="1" x14ac:dyDescent="0.2"/>
    <row r="9403" ht="12.75" hidden="1" x14ac:dyDescent="0.2"/>
    <row r="9404" ht="12.75" hidden="1" x14ac:dyDescent="0.2"/>
    <row r="9405" ht="12.75" hidden="1" x14ac:dyDescent="0.2"/>
    <row r="9406" ht="12.75" hidden="1" x14ac:dyDescent="0.2"/>
    <row r="9407" ht="12.75" hidden="1" x14ac:dyDescent="0.2"/>
    <row r="9408" ht="12.75" hidden="1" x14ac:dyDescent="0.2"/>
    <row r="9409" ht="12.75" hidden="1" x14ac:dyDescent="0.2"/>
    <row r="9410" ht="12.75" hidden="1" x14ac:dyDescent="0.2"/>
    <row r="9411" ht="12.75" hidden="1" x14ac:dyDescent="0.2"/>
    <row r="9412" ht="12.75" hidden="1" x14ac:dyDescent="0.2"/>
    <row r="9413" ht="12.75" hidden="1" x14ac:dyDescent="0.2"/>
    <row r="9414" ht="12.75" hidden="1" x14ac:dyDescent="0.2"/>
    <row r="9415" ht="12.75" hidden="1" x14ac:dyDescent="0.2"/>
    <row r="9416" ht="12.75" hidden="1" x14ac:dyDescent="0.2"/>
    <row r="9417" ht="12.75" hidden="1" x14ac:dyDescent="0.2"/>
    <row r="9418" ht="12.75" hidden="1" x14ac:dyDescent="0.2"/>
    <row r="9419" ht="12.75" hidden="1" x14ac:dyDescent="0.2"/>
    <row r="9420" ht="12.75" hidden="1" x14ac:dyDescent="0.2"/>
    <row r="9421" ht="12.75" hidden="1" x14ac:dyDescent="0.2"/>
    <row r="9422" ht="12.75" hidden="1" x14ac:dyDescent="0.2"/>
    <row r="9423" ht="12.75" hidden="1" x14ac:dyDescent="0.2"/>
    <row r="9424" ht="12.75" hidden="1" x14ac:dyDescent="0.2"/>
    <row r="9425" ht="12.75" hidden="1" x14ac:dyDescent="0.2"/>
    <row r="9426" ht="12.75" hidden="1" x14ac:dyDescent="0.2"/>
    <row r="9427" ht="12.75" hidden="1" x14ac:dyDescent="0.2"/>
    <row r="9428" ht="12.75" hidden="1" x14ac:dyDescent="0.2"/>
    <row r="9429" ht="12.75" hidden="1" x14ac:dyDescent="0.2"/>
    <row r="9430" ht="12.75" hidden="1" x14ac:dyDescent="0.2"/>
    <row r="9431" ht="12.75" hidden="1" x14ac:dyDescent="0.2"/>
    <row r="9432" ht="12.75" hidden="1" x14ac:dyDescent="0.2"/>
    <row r="9433" ht="12.75" hidden="1" x14ac:dyDescent="0.2"/>
    <row r="9434" ht="12.75" hidden="1" x14ac:dyDescent="0.2"/>
    <row r="9435" ht="12.75" hidden="1" x14ac:dyDescent="0.2"/>
    <row r="9436" ht="12.75" hidden="1" x14ac:dyDescent="0.2"/>
    <row r="9437" ht="12.75" hidden="1" x14ac:dyDescent="0.2"/>
    <row r="9438" ht="12.75" hidden="1" x14ac:dyDescent="0.2"/>
    <row r="9439" ht="12.75" hidden="1" x14ac:dyDescent="0.2"/>
    <row r="9440" ht="12.75" hidden="1" x14ac:dyDescent="0.2"/>
    <row r="9441" ht="12.75" hidden="1" x14ac:dyDescent="0.2"/>
    <row r="9442" ht="12.75" hidden="1" x14ac:dyDescent="0.2"/>
    <row r="9443" ht="12.75" hidden="1" x14ac:dyDescent="0.2"/>
    <row r="9444" ht="12.75" hidden="1" x14ac:dyDescent="0.2"/>
    <row r="9445" ht="12.75" hidden="1" x14ac:dyDescent="0.2"/>
    <row r="9446" ht="12.75" hidden="1" x14ac:dyDescent="0.2"/>
    <row r="9447" ht="12.75" hidden="1" x14ac:dyDescent="0.2"/>
    <row r="9448" ht="12.75" hidden="1" x14ac:dyDescent="0.2"/>
    <row r="9449" ht="12.75" hidden="1" x14ac:dyDescent="0.2"/>
    <row r="9450" ht="12.75" hidden="1" x14ac:dyDescent="0.2"/>
    <row r="9451" ht="12.75" hidden="1" x14ac:dyDescent="0.2"/>
    <row r="9452" ht="12.75" hidden="1" x14ac:dyDescent="0.2"/>
    <row r="9453" ht="12.75" hidden="1" x14ac:dyDescent="0.2"/>
    <row r="9454" ht="12.75" hidden="1" x14ac:dyDescent="0.2"/>
    <row r="9455" ht="12.75" hidden="1" x14ac:dyDescent="0.2"/>
    <row r="9456" ht="12.75" hidden="1" x14ac:dyDescent="0.2"/>
    <row r="9457" ht="12.75" hidden="1" x14ac:dyDescent="0.2"/>
    <row r="9458" ht="12.75" hidden="1" x14ac:dyDescent="0.2"/>
    <row r="9459" ht="12.75" hidden="1" x14ac:dyDescent="0.2"/>
    <row r="9460" ht="12.75" hidden="1" x14ac:dyDescent="0.2"/>
    <row r="9461" ht="12.75" hidden="1" x14ac:dyDescent="0.2"/>
    <row r="9462" ht="12.75" hidden="1" x14ac:dyDescent="0.2"/>
    <row r="9463" ht="12.75" hidden="1" x14ac:dyDescent="0.2"/>
    <row r="9464" ht="12.75" hidden="1" x14ac:dyDescent="0.2"/>
    <row r="9465" ht="12.75" hidden="1" x14ac:dyDescent="0.2"/>
    <row r="9466" ht="12.75" hidden="1" x14ac:dyDescent="0.2"/>
    <row r="9467" ht="12.75" hidden="1" x14ac:dyDescent="0.2"/>
    <row r="9468" ht="12.75" hidden="1" x14ac:dyDescent="0.2"/>
    <row r="9469" ht="12.75" hidden="1" x14ac:dyDescent="0.2"/>
    <row r="9470" ht="12.75" hidden="1" x14ac:dyDescent="0.2"/>
    <row r="9471" ht="12.75" hidden="1" x14ac:dyDescent="0.2"/>
    <row r="9472" ht="12.75" hidden="1" x14ac:dyDescent="0.2"/>
    <row r="9473" ht="12.75" hidden="1" x14ac:dyDescent="0.2"/>
    <row r="9474" ht="12.75" hidden="1" x14ac:dyDescent="0.2"/>
    <row r="9475" ht="12.75" hidden="1" x14ac:dyDescent="0.2"/>
    <row r="9476" ht="12.75" hidden="1" x14ac:dyDescent="0.2"/>
    <row r="9477" ht="12.75" hidden="1" x14ac:dyDescent="0.2"/>
    <row r="9478" ht="12.75" hidden="1" x14ac:dyDescent="0.2"/>
    <row r="9479" ht="12.75" hidden="1" x14ac:dyDescent="0.2"/>
    <row r="9480" ht="12.75" hidden="1" x14ac:dyDescent="0.2"/>
    <row r="9481" ht="12.75" hidden="1" x14ac:dyDescent="0.2"/>
    <row r="9482" ht="12.75" hidden="1" x14ac:dyDescent="0.2"/>
    <row r="9483" ht="12.75" hidden="1" x14ac:dyDescent="0.2"/>
    <row r="9484" ht="12.75" hidden="1" x14ac:dyDescent="0.2"/>
    <row r="9485" ht="12.75" hidden="1" x14ac:dyDescent="0.2"/>
    <row r="9486" ht="12.75" hidden="1" x14ac:dyDescent="0.2"/>
    <row r="9487" ht="12.75" hidden="1" x14ac:dyDescent="0.2"/>
    <row r="9488" ht="12.75" hidden="1" x14ac:dyDescent="0.2"/>
    <row r="9489" ht="12.75" hidden="1" x14ac:dyDescent="0.2"/>
    <row r="9490" ht="12.75" hidden="1" x14ac:dyDescent="0.2"/>
    <row r="9491" ht="12.75" hidden="1" x14ac:dyDescent="0.2"/>
    <row r="9492" ht="12.75" hidden="1" x14ac:dyDescent="0.2"/>
    <row r="9493" ht="12.75" hidden="1" x14ac:dyDescent="0.2"/>
    <row r="9494" ht="12.75" hidden="1" x14ac:dyDescent="0.2"/>
    <row r="9495" ht="12.75" hidden="1" x14ac:dyDescent="0.2"/>
    <row r="9496" ht="12.75" hidden="1" x14ac:dyDescent="0.2"/>
    <row r="9497" ht="12.75" hidden="1" x14ac:dyDescent="0.2"/>
    <row r="9498" ht="12.75" hidden="1" x14ac:dyDescent="0.2"/>
    <row r="9499" ht="12.75" hidden="1" x14ac:dyDescent="0.2"/>
    <row r="9500" ht="12.75" hidden="1" x14ac:dyDescent="0.2"/>
    <row r="9501" ht="12.75" hidden="1" x14ac:dyDescent="0.2"/>
    <row r="9502" ht="12.75" hidden="1" x14ac:dyDescent="0.2"/>
    <row r="9503" ht="12.75" hidden="1" x14ac:dyDescent="0.2"/>
    <row r="9504" ht="12.75" hidden="1" x14ac:dyDescent="0.2"/>
    <row r="9505" ht="12.75" hidden="1" x14ac:dyDescent="0.2"/>
    <row r="9506" ht="12.75" hidden="1" x14ac:dyDescent="0.2"/>
    <row r="9507" ht="12.75" hidden="1" x14ac:dyDescent="0.2"/>
    <row r="9508" ht="12.75" hidden="1" x14ac:dyDescent="0.2"/>
    <row r="9509" ht="12.75" hidden="1" x14ac:dyDescent="0.2"/>
    <row r="9510" ht="12.75" hidden="1" x14ac:dyDescent="0.2"/>
    <row r="9511" ht="12.75" hidden="1" x14ac:dyDescent="0.2"/>
    <row r="9512" ht="12.75" hidden="1" x14ac:dyDescent="0.2"/>
    <row r="9513" ht="12.75" hidden="1" x14ac:dyDescent="0.2"/>
    <row r="9514" ht="12.75" hidden="1" x14ac:dyDescent="0.2"/>
    <row r="9515" ht="12.75" hidden="1" x14ac:dyDescent="0.2"/>
    <row r="9516" ht="12.75" hidden="1" x14ac:dyDescent="0.2"/>
    <row r="9517" ht="12.75" hidden="1" x14ac:dyDescent="0.2"/>
    <row r="9518" ht="12.75" hidden="1" x14ac:dyDescent="0.2"/>
    <row r="9519" ht="12.75" hidden="1" x14ac:dyDescent="0.2"/>
    <row r="9520" ht="12.75" hidden="1" x14ac:dyDescent="0.2"/>
    <row r="9521" ht="12.75" hidden="1" x14ac:dyDescent="0.2"/>
    <row r="9522" ht="12.75" hidden="1" x14ac:dyDescent="0.2"/>
    <row r="9523" ht="12.75" hidden="1" x14ac:dyDescent="0.2"/>
    <row r="9524" ht="12.75" hidden="1" x14ac:dyDescent="0.2"/>
    <row r="9525" ht="12.75" hidden="1" x14ac:dyDescent="0.2"/>
    <row r="9526" ht="12.75" hidden="1" x14ac:dyDescent="0.2"/>
    <row r="9527" ht="12.75" hidden="1" x14ac:dyDescent="0.2"/>
    <row r="9528" ht="12.75" hidden="1" x14ac:dyDescent="0.2"/>
    <row r="9529" ht="12.75" hidden="1" x14ac:dyDescent="0.2"/>
    <row r="9530" ht="12.75" hidden="1" x14ac:dyDescent="0.2"/>
    <row r="9531" ht="12.75" hidden="1" x14ac:dyDescent="0.2"/>
    <row r="9532" ht="12.75" hidden="1" x14ac:dyDescent="0.2"/>
    <row r="9533" ht="12.75" hidden="1" x14ac:dyDescent="0.2"/>
    <row r="9534" ht="12.75" hidden="1" x14ac:dyDescent="0.2"/>
    <row r="9535" ht="12.75" hidden="1" x14ac:dyDescent="0.2"/>
    <row r="9536" ht="12.75" hidden="1" x14ac:dyDescent="0.2"/>
    <row r="9537" ht="12.75" hidden="1" x14ac:dyDescent="0.2"/>
    <row r="9538" ht="12.75" hidden="1" x14ac:dyDescent="0.2"/>
    <row r="9539" ht="12.75" hidden="1" x14ac:dyDescent="0.2"/>
    <row r="9540" ht="12.75" hidden="1" x14ac:dyDescent="0.2"/>
    <row r="9541" ht="12.75" hidden="1" x14ac:dyDescent="0.2"/>
    <row r="9542" ht="12.75" hidden="1" x14ac:dyDescent="0.2"/>
    <row r="9543" ht="12.75" hidden="1" x14ac:dyDescent="0.2"/>
    <row r="9544" ht="12.75" hidden="1" x14ac:dyDescent="0.2"/>
    <row r="9545" ht="12.75" hidden="1" x14ac:dyDescent="0.2"/>
    <row r="9546" ht="12.75" hidden="1" x14ac:dyDescent="0.2"/>
    <row r="9547" ht="12.75" hidden="1" x14ac:dyDescent="0.2"/>
    <row r="9548" ht="12.75" hidden="1" x14ac:dyDescent="0.2"/>
    <row r="9549" ht="12.75" hidden="1" x14ac:dyDescent="0.2"/>
    <row r="9550" ht="12.75" hidden="1" x14ac:dyDescent="0.2"/>
    <row r="9551" ht="12.75" hidden="1" x14ac:dyDescent="0.2"/>
    <row r="9552" ht="12.75" hidden="1" x14ac:dyDescent="0.2"/>
    <row r="9553" ht="12.75" hidden="1" x14ac:dyDescent="0.2"/>
    <row r="9554" ht="12.75" hidden="1" x14ac:dyDescent="0.2"/>
    <row r="9555" ht="12.75" hidden="1" x14ac:dyDescent="0.2"/>
    <row r="9556" ht="12.75" hidden="1" x14ac:dyDescent="0.2"/>
    <row r="9557" ht="12.75" hidden="1" x14ac:dyDescent="0.2"/>
    <row r="9558" ht="12.75" hidden="1" x14ac:dyDescent="0.2"/>
    <row r="9559" ht="12.75" hidden="1" x14ac:dyDescent="0.2"/>
    <row r="9560" ht="12.75" hidden="1" x14ac:dyDescent="0.2"/>
    <row r="9561" ht="12.75" hidden="1" x14ac:dyDescent="0.2"/>
    <row r="9562" ht="12.75" hidden="1" x14ac:dyDescent="0.2"/>
    <row r="9563" ht="12.75" hidden="1" x14ac:dyDescent="0.2"/>
    <row r="9564" ht="12.75" hidden="1" x14ac:dyDescent="0.2"/>
    <row r="9565" ht="12.75" hidden="1" x14ac:dyDescent="0.2"/>
    <row r="9566" ht="12.75" hidden="1" x14ac:dyDescent="0.2"/>
    <row r="9567" ht="12.75" hidden="1" x14ac:dyDescent="0.2"/>
    <row r="9568" ht="12.75" hidden="1" x14ac:dyDescent="0.2"/>
    <row r="9569" ht="12.75" hidden="1" x14ac:dyDescent="0.2"/>
    <row r="9570" ht="12.75" hidden="1" x14ac:dyDescent="0.2"/>
    <row r="9571" ht="12.75" hidden="1" x14ac:dyDescent="0.2"/>
    <row r="9572" ht="12.75" hidden="1" x14ac:dyDescent="0.2"/>
    <row r="9573" ht="12.75" hidden="1" x14ac:dyDescent="0.2"/>
    <row r="9574" ht="12.75" hidden="1" x14ac:dyDescent="0.2"/>
    <row r="9575" ht="12.75" hidden="1" x14ac:dyDescent="0.2"/>
    <row r="9576" ht="12.75" hidden="1" x14ac:dyDescent="0.2"/>
    <row r="9577" ht="12.75" hidden="1" x14ac:dyDescent="0.2"/>
    <row r="9578" ht="12.75" hidden="1" x14ac:dyDescent="0.2"/>
    <row r="9579" ht="12.75" hidden="1" x14ac:dyDescent="0.2"/>
    <row r="9580" ht="12.75" hidden="1" x14ac:dyDescent="0.2"/>
    <row r="9581" ht="12.75" hidden="1" x14ac:dyDescent="0.2"/>
    <row r="9582" ht="12.75" hidden="1" x14ac:dyDescent="0.2"/>
    <row r="9583" ht="12.75" hidden="1" x14ac:dyDescent="0.2"/>
    <row r="9584" ht="12.75" hidden="1" x14ac:dyDescent="0.2"/>
    <row r="9585" ht="12.75" hidden="1" x14ac:dyDescent="0.2"/>
    <row r="9586" ht="12.75" hidden="1" x14ac:dyDescent="0.2"/>
    <row r="9587" ht="12.75" hidden="1" x14ac:dyDescent="0.2"/>
    <row r="9588" ht="12.75" hidden="1" x14ac:dyDescent="0.2"/>
    <row r="9589" ht="12.75" hidden="1" x14ac:dyDescent="0.2"/>
    <row r="9590" ht="12.75" hidden="1" x14ac:dyDescent="0.2"/>
    <row r="9591" ht="12.75" hidden="1" x14ac:dyDescent="0.2"/>
    <row r="9592" ht="12.75" hidden="1" x14ac:dyDescent="0.2"/>
    <row r="9593" ht="12.75" hidden="1" x14ac:dyDescent="0.2"/>
    <row r="9594" ht="12.75" hidden="1" x14ac:dyDescent="0.2"/>
    <row r="9595" ht="12.75" hidden="1" x14ac:dyDescent="0.2"/>
    <row r="9596" ht="12.75" hidden="1" x14ac:dyDescent="0.2"/>
    <row r="9597" ht="12.75" hidden="1" x14ac:dyDescent="0.2"/>
    <row r="9598" ht="12.75" hidden="1" x14ac:dyDescent="0.2"/>
    <row r="9599" ht="12.75" hidden="1" x14ac:dyDescent="0.2"/>
    <row r="9600" ht="12.75" hidden="1" x14ac:dyDescent="0.2"/>
    <row r="9601" ht="12.75" hidden="1" x14ac:dyDescent="0.2"/>
    <row r="9602" ht="12.75" hidden="1" x14ac:dyDescent="0.2"/>
    <row r="9603" ht="12.75" hidden="1" x14ac:dyDescent="0.2"/>
    <row r="9604" ht="12.75" hidden="1" x14ac:dyDescent="0.2"/>
    <row r="9605" ht="12.75" hidden="1" x14ac:dyDescent="0.2"/>
    <row r="9606" ht="12.75" hidden="1" x14ac:dyDescent="0.2"/>
    <row r="9607" ht="12.75" hidden="1" x14ac:dyDescent="0.2"/>
    <row r="9608" ht="12.75" hidden="1" x14ac:dyDescent="0.2"/>
    <row r="9609" ht="12.75" hidden="1" x14ac:dyDescent="0.2"/>
    <row r="9610" ht="12.75" hidden="1" x14ac:dyDescent="0.2"/>
    <row r="9611" ht="12.75" hidden="1" x14ac:dyDescent="0.2"/>
    <row r="9612" ht="12.75" hidden="1" x14ac:dyDescent="0.2"/>
    <row r="9613" ht="12.75" hidden="1" x14ac:dyDescent="0.2"/>
    <row r="9614" ht="12.75" hidden="1" x14ac:dyDescent="0.2"/>
    <row r="9615" ht="12.75" hidden="1" x14ac:dyDescent="0.2"/>
    <row r="9616" ht="12.75" hidden="1" x14ac:dyDescent="0.2"/>
    <row r="9617" ht="12.75" hidden="1" x14ac:dyDescent="0.2"/>
    <row r="9618" ht="12.75" hidden="1" x14ac:dyDescent="0.2"/>
    <row r="9619" ht="12.75" hidden="1" x14ac:dyDescent="0.2"/>
    <row r="9620" ht="12.75" hidden="1" x14ac:dyDescent="0.2"/>
    <row r="9621" ht="12.75" hidden="1" x14ac:dyDescent="0.2"/>
    <row r="9622" ht="12.75" hidden="1" x14ac:dyDescent="0.2"/>
    <row r="9623" ht="12.75" hidden="1" x14ac:dyDescent="0.2"/>
    <row r="9624" ht="12.75" hidden="1" x14ac:dyDescent="0.2"/>
    <row r="9625" ht="12.75" hidden="1" x14ac:dyDescent="0.2"/>
    <row r="9626" ht="12.75" hidden="1" x14ac:dyDescent="0.2"/>
    <row r="9627" ht="12.75" hidden="1" x14ac:dyDescent="0.2"/>
    <row r="9628" ht="12.75" hidden="1" x14ac:dyDescent="0.2"/>
    <row r="9629" ht="12.75" hidden="1" x14ac:dyDescent="0.2"/>
    <row r="9630" ht="12.75" hidden="1" x14ac:dyDescent="0.2"/>
    <row r="9631" ht="12.75" hidden="1" x14ac:dyDescent="0.2"/>
    <row r="9632" ht="12.75" hidden="1" x14ac:dyDescent="0.2"/>
    <row r="9633" ht="12.75" hidden="1" x14ac:dyDescent="0.2"/>
    <row r="9634" ht="12.75" hidden="1" x14ac:dyDescent="0.2"/>
    <row r="9635" ht="12.75" hidden="1" x14ac:dyDescent="0.2"/>
    <row r="9636" ht="12.75" hidden="1" x14ac:dyDescent="0.2"/>
    <row r="9637" ht="12.75" hidden="1" x14ac:dyDescent="0.2"/>
    <row r="9638" ht="12.75" hidden="1" x14ac:dyDescent="0.2"/>
    <row r="9639" ht="12.75" hidden="1" x14ac:dyDescent="0.2"/>
    <row r="9640" ht="12.75" hidden="1" x14ac:dyDescent="0.2"/>
    <row r="9641" ht="12.75" hidden="1" x14ac:dyDescent="0.2"/>
    <row r="9642" ht="12.75" hidden="1" x14ac:dyDescent="0.2"/>
    <row r="9643" ht="12.75" hidden="1" x14ac:dyDescent="0.2"/>
    <row r="9644" ht="12.75" hidden="1" x14ac:dyDescent="0.2"/>
    <row r="9645" ht="12.75" hidden="1" x14ac:dyDescent="0.2"/>
    <row r="9646" ht="12.75" hidden="1" x14ac:dyDescent="0.2"/>
    <row r="9647" ht="12.75" hidden="1" x14ac:dyDescent="0.2"/>
    <row r="9648" ht="12.75" hidden="1" x14ac:dyDescent="0.2"/>
    <row r="9649" ht="12.75" hidden="1" x14ac:dyDescent="0.2"/>
    <row r="9650" ht="12.75" hidden="1" x14ac:dyDescent="0.2"/>
    <row r="9651" ht="12.75" hidden="1" x14ac:dyDescent="0.2"/>
    <row r="9652" ht="12.75" hidden="1" x14ac:dyDescent="0.2"/>
    <row r="9653" ht="12.75" hidden="1" x14ac:dyDescent="0.2"/>
    <row r="9654" ht="12.75" hidden="1" x14ac:dyDescent="0.2"/>
    <row r="9655" ht="12.75" hidden="1" x14ac:dyDescent="0.2"/>
    <row r="9656" ht="12.75" hidden="1" x14ac:dyDescent="0.2"/>
    <row r="9657" ht="12.75" hidden="1" x14ac:dyDescent="0.2"/>
    <row r="9658" ht="12.75" hidden="1" x14ac:dyDescent="0.2"/>
    <row r="9659" ht="12.75" hidden="1" x14ac:dyDescent="0.2"/>
    <row r="9660" ht="12.75" hidden="1" x14ac:dyDescent="0.2"/>
    <row r="9661" ht="12.75" hidden="1" x14ac:dyDescent="0.2"/>
    <row r="9662" ht="12.75" hidden="1" x14ac:dyDescent="0.2"/>
    <row r="9663" ht="12.75" hidden="1" x14ac:dyDescent="0.2"/>
    <row r="9664" ht="12.75" hidden="1" x14ac:dyDescent="0.2"/>
    <row r="9665" ht="12.75" hidden="1" x14ac:dyDescent="0.2"/>
    <row r="9666" ht="12.75" hidden="1" x14ac:dyDescent="0.2"/>
    <row r="9667" ht="12.75" hidden="1" x14ac:dyDescent="0.2"/>
    <row r="9668" ht="12.75" hidden="1" x14ac:dyDescent="0.2"/>
    <row r="9669" ht="12.75" hidden="1" x14ac:dyDescent="0.2"/>
    <row r="9670" ht="12.75" hidden="1" x14ac:dyDescent="0.2"/>
    <row r="9671" ht="12.75" hidden="1" x14ac:dyDescent="0.2"/>
    <row r="9672" ht="12.75" hidden="1" x14ac:dyDescent="0.2"/>
    <row r="9673" ht="12.75" hidden="1" x14ac:dyDescent="0.2"/>
    <row r="9674" ht="12.75" hidden="1" x14ac:dyDescent="0.2"/>
    <row r="9675" ht="12.75" hidden="1" x14ac:dyDescent="0.2"/>
    <row r="9676" ht="12.75" hidden="1" x14ac:dyDescent="0.2"/>
    <row r="9677" ht="12.75" hidden="1" x14ac:dyDescent="0.2"/>
    <row r="9678" ht="12.75" hidden="1" x14ac:dyDescent="0.2"/>
    <row r="9679" ht="12.75" hidden="1" x14ac:dyDescent="0.2"/>
    <row r="9680" ht="12.75" hidden="1" x14ac:dyDescent="0.2"/>
    <row r="9681" ht="12.75" hidden="1" x14ac:dyDescent="0.2"/>
    <row r="9682" ht="12.75" hidden="1" x14ac:dyDescent="0.2"/>
    <row r="9683" ht="12.75" hidden="1" x14ac:dyDescent="0.2"/>
    <row r="9684" ht="12.75" hidden="1" x14ac:dyDescent="0.2"/>
    <row r="9685" ht="12.75" hidden="1" x14ac:dyDescent="0.2"/>
    <row r="9686" ht="12.75" hidden="1" x14ac:dyDescent="0.2"/>
    <row r="9687" ht="12.75" hidden="1" x14ac:dyDescent="0.2"/>
    <row r="9688" ht="12.75" hidden="1" x14ac:dyDescent="0.2"/>
    <row r="9689" ht="12.75" hidden="1" x14ac:dyDescent="0.2"/>
    <row r="9690" ht="12.75" hidden="1" x14ac:dyDescent="0.2"/>
    <row r="9691" ht="12.75" hidden="1" x14ac:dyDescent="0.2"/>
    <row r="9692" ht="12.75" hidden="1" x14ac:dyDescent="0.2"/>
    <row r="9693" ht="12.75" hidden="1" x14ac:dyDescent="0.2"/>
    <row r="9694" ht="12.75" hidden="1" x14ac:dyDescent="0.2"/>
    <row r="9695" ht="12.75" hidden="1" x14ac:dyDescent="0.2"/>
    <row r="9696" ht="12.75" hidden="1" x14ac:dyDescent="0.2"/>
    <row r="9697" ht="12.75" hidden="1" x14ac:dyDescent="0.2"/>
    <row r="9698" ht="12.75" hidden="1" x14ac:dyDescent="0.2"/>
    <row r="9699" ht="12.75" hidden="1" x14ac:dyDescent="0.2"/>
    <row r="9700" ht="12.75" hidden="1" x14ac:dyDescent="0.2"/>
    <row r="9701" ht="12.75" hidden="1" x14ac:dyDescent="0.2"/>
    <row r="9702" ht="12.75" hidden="1" x14ac:dyDescent="0.2"/>
    <row r="9703" ht="12.75" hidden="1" x14ac:dyDescent="0.2"/>
    <row r="9704" ht="12.75" hidden="1" x14ac:dyDescent="0.2"/>
    <row r="9705" ht="12.75" hidden="1" x14ac:dyDescent="0.2"/>
    <row r="9706" ht="12.75" hidden="1" x14ac:dyDescent="0.2"/>
    <row r="9707" ht="12.75" hidden="1" x14ac:dyDescent="0.2"/>
    <row r="9708" ht="12.75" hidden="1" x14ac:dyDescent="0.2"/>
    <row r="9709" ht="12.75" hidden="1" x14ac:dyDescent="0.2"/>
    <row r="9710" ht="12.75" hidden="1" x14ac:dyDescent="0.2"/>
    <row r="9711" ht="12.75" hidden="1" x14ac:dyDescent="0.2"/>
    <row r="9712" ht="12.75" hidden="1" x14ac:dyDescent="0.2"/>
    <row r="9713" ht="12.75" hidden="1" x14ac:dyDescent="0.2"/>
    <row r="9714" ht="12.75" hidden="1" x14ac:dyDescent="0.2"/>
    <row r="9715" ht="12.75" hidden="1" x14ac:dyDescent="0.2"/>
    <row r="9716" ht="12.75" hidden="1" x14ac:dyDescent="0.2"/>
    <row r="9717" ht="12.75" hidden="1" x14ac:dyDescent="0.2"/>
    <row r="9718" ht="12.75" hidden="1" x14ac:dyDescent="0.2"/>
    <row r="9719" ht="12.75" hidden="1" x14ac:dyDescent="0.2"/>
    <row r="9720" ht="12.75" hidden="1" x14ac:dyDescent="0.2"/>
    <row r="9721" ht="12.75" hidden="1" x14ac:dyDescent="0.2"/>
    <row r="9722" ht="12.75" hidden="1" x14ac:dyDescent="0.2"/>
    <row r="9723" ht="12.75" hidden="1" x14ac:dyDescent="0.2"/>
    <row r="9724" ht="12.75" hidden="1" x14ac:dyDescent="0.2"/>
    <row r="9725" ht="12.75" hidden="1" x14ac:dyDescent="0.2"/>
    <row r="9726" ht="12.75" hidden="1" x14ac:dyDescent="0.2"/>
    <row r="9727" ht="12.75" hidden="1" x14ac:dyDescent="0.2"/>
    <row r="9728" ht="12.75" hidden="1" x14ac:dyDescent="0.2"/>
    <row r="9729" ht="12.75" hidden="1" x14ac:dyDescent="0.2"/>
    <row r="9730" ht="12.75" hidden="1" x14ac:dyDescent="0.2"/>
    <row r="9731" ht="12.75" hidden="1" x14ac:dyDescent="0.2"/>
    <row r="9732" ht="12.75" hidden="1" x14ac:dyDescent="0.2"/>
    <row r="9733" ht="12.75" hidden="1" x14ac:dyDescent="0.2"/>
    <row r="9734" ht="12.75" hidden="1" x14ac:dyDescent="0.2"/>
    <row r="9735" ht="12.75" hidden="1" x14ac:dyDescent="0.2"/>
    <row r="9736" ht="12.75" hidden="1" x14ac:dyDescent="0.2"/>
    <row r="9737" ht="12.75" hidden="1" x14ac:dyDescent="0.2"/>
    <row r="9738" ht="12.75" hidden="1" x14ac:dyDescent="0.2"/>
    <row r="9739" ht="12.75" hidden="1" x14ac:dyDescent="0.2"/>
    <row r="9740" ht="12.75" hidden="1" x14ac:dyDescent="0.2"/>
    <row r="9741" ht="12.75" hidden="1" x14ac:dyDescent="0.2"/>
    <row r="9742" ht="12.75" hidden="1" x14ac:dyDescent="0.2"/>
    <row r="9743" ht="12.75" hidden="1" x14ac:dyDescent="0.2"/>
    <row r="9744" ht="12.75" hidden="1" x14ac:dyDescent="0.2"/>
    <row r="9745" ht="12.75" hidden="1" x14ac:dyDescent="0.2"/>
    <row r="9746" ht="12.75" hidden="1" x14ac:dyDescent="0.2"/>
    <row r="9747" ht="12.75" hidden="1" x14ac:dyDescent="0.2"/>
    <row r="9748" ht="12.75" hidden="1" x14ac:dyDescent="0.2"/>
    <row r="9749" ht="12.75" hidden="1" x14ac:dyDescent="0.2"/>
    <row r="9750" ht="12.75" hidden="1" x14ac:dyDescent="0.2"/>
    <row r="9751" ht="12.75" hidden="1" x14ac:dyDescent="0.2"/>
    <row r="9752" ht="12.75" hidden="1" x14ac:dyDescent="0.2"/>
    <row r="9753" ht="12.75" hidden="1" x14ac:dyDescent="0.2"/>
    <row r="9754" ht="12.75" hidden="1" x14ac:dyDescent="0.2"/>
    <row r="9755" ht="12.75" hidden="1" x14ac:dyDescent="0.2"/>
    <row r="9756" ht="12.75" hidden="1" x14ac:dyDescent="0.2"/>
    <row r="9757" ht="12.75" hidden="1" x14ac:dyDescent="0.2"/>
    <row r="9758" ht="12.75" hidden="1" x14ac:dyDescent="0.2"/>
    <row r="9759" ht="12.75" hidden="1" x14ac:dyDescent="0.2"/>
    <row r="9760" ht="12.75" hidden="1" x14ac:dyDescent="0.2"/>
    <row r="9761" ht="12.75" hidden="1" x14ac:dyDescent="0.2"/>
    <row r="9762" ht="12.75" hidden="1" x14ac:dyDescent="0.2"/>
    <row r="9763" ht="12.75" hidden="1" x14ac:dyDescent="0.2"/>
    <row r="9764" ht="12.75" hidden="1" x14ac:dyDescent="0.2"/>
    <row r="9765" ht="12.75" hidden="1" x14ac:dyDescent="0.2"/>
    <row r="9766" ht="12.75" hidden="1" x14ac:dyDescent="0.2"/>
    <row r="9767" ht="12.75" hidden="1" x14ac:dyDescent="0.2"/>
    <row r="9768" ht="12.75" hidden="1" x14ac:dyDescent="0.2"/>
    <row r="9769" ht="12.75" hidden="1" x14ac:dyDescent="0.2"/>
    <row r="9770" ht="12.75" hidden="1" x14ac:dyDescent="0.2"/>
    <row r="9771" ht="12.75" hidden="1" x14ac:dyDescent="0.2"/>
    <row r="9772" ht="12.75" hidden="1" x14ac:dyDescent="0.2"/>
    <row r="9773" ht="12.75" hidden="1" x14ac:dyDescent="0.2"/>
    <row r="9774" ht="12.75" hidden="1" x14ac:dyDescent="0.2"/>
    <row r="9775" ht="12.75" hidden="1" x14ac:dyDescent="0.2"/>
    <row r="9776" ht="12.75" hidden="1" x14ac:dyDescent="0.2"/>
    <row r="9777" ht="12.75" hidden="1" x14ac:dyDescent="0.2"/>
    <row r="9778" ht="12.75" hidden="1" x14ac:dyDescent="0.2"/>
    <row r="9779" ht="12.75" hidden="1" x14ac:dyDescent="0.2"/>
    <row r="9780" ht="12.75" hidden="1" x14ac:dyDescent="0.2"/>
    <row r="9781" ht="12.75" hidden="1" x14ac:dyDescent="0.2"/>
    <row r="9782" ht="12.75" hidden="1" x14ac:dyDescent="0.2"/>
    <row r="9783" ht="12.75" hidden="1" x14ac:dyDescent="0.2"/>
    <row r="9784" ht="12.75" hidden="1" x14ac:dyDescent="0.2"/>
    <row r="9785" ht="12.75" hidden="1" x14ac:dyDescent="0.2"/>
    <row r="9786" ht="12.75" hidden="1" x14ac:dyDescent="0.2"/>
    <row r="9787" ht="12.75" hidden="1" x14ac:dyDescent="0.2"/>
    <row r="9788" ht="12.75" hidden="1" x14ac:dyDescent="0.2"/>
    <row r="9789" ht="12.75" hidden="1" x14ac:dyDescent="0.2"/>
    <row r="9790" ht="12.75" hidden="1" x14ac:dyDescent="0.2"/>
    <row r="9791" ht="12.75" hidden="1" x14ac:dyDescent="0.2"/>
    <row r="9792" ht="12.75" hidden="1" x14ac:dyDescent="0.2"/>
    <row r="9793" ht="12.75" hidden="1" x14ac:dyDescent="0.2"/>
    <row r="9794" ht="12.75" hidden="1" x14ac:dyDescent="0.2"/>
    <row r="9795" ht="12.75" hidden="1" x14ac:dyDescent="0.2"/>
    <row r="9796" ht="12.75" hidden="1" x14ac:dyDescent="0.2"/>
    <row r="9797" ht="12.75" hidden="1" x14ac:dyDescent="0.2"/>
    <row r="9798" ht="12.75" hidden="1" customHeight="1" x14ac:dyDescent="0.2"/>
    <row r="9799" ht="12.75" hidden="1" customHeight="1" x14ac:dyDescent="0.2"/>
    <row r="9800" ht="12.75" hidden="1" customHeight="1" x14ac:dyDescent="0.2"/>
    <row r="9801" ht="12.75" hidden="1" customHeight="1" x14ac:dyDescent="0.2"/>
    <row r="9802" ht="12.75" hidden="1" customHeight="1" x14ac:dyDescent="0.2"/>
    <row r="9803" ht="12.75" hidden="1" customHeight="1" x14ac:dyDescent="0.2"/>
    <row r="9804" ht="12.75" hidden="1" customHeight="1" x14ac:dyDescent="0.2"/>
    <row r="9805" ht="12.75" hidden="1" customHeight="1" x14ac:dyDescent="0.2"/>
    <row r="9806" ht="12.75" hidden="1" customHeight="1" x14ac:dyDescent="0.2"/>
    <row r="9807" ht="12.75" hidden="1" customHeight="1" x14ac:dyDescent="0.2"/>
    <row r="9808" ht="12.75" hidden="1" customHeight="1" x14ac:dyDescent="0.2"/>
    <row r="9809" ht="12.75" hidden="1" customHeight="1" x14ac:dyDescent="0.2"/>
    <row r="9810" ht="12.75" hidden="1" customHeight="1" x14ac:dyDescent="0.2"/>
    <row r="9811" ht="12.75" hidden="1" customHeight="1" x14ac:dyDescent="0.2"/>
    <row r="9812" ht="12.75" hidden="1" customHeight="1" x14ac:dyDescent="0.2"/>
    <row r="9813" ht="12.75" hidden="1" customHeight="1" x14ac:dyDescent="0.2"/>
    <row r="9814" ht="12.75" hidden="1" customHeight="1" x14ac:dyDescent="0.2"/>
    <row r="9815" ht="12.75" hidden="1" customHeight="1" x14ac:dyDescent="0.2"/>
    <row r="9816" ht="0" hidden="1" customHeight="1" x14ac:dyDescent="0.2"/>
    <row r="9817" ht="0" hidden="1" customHeight="1" x14ac:dyDescent="0.2"/>
    <row r="9818" ht="0" hidden="1" customHeight="1" x14ac:dyDescent="0.2"/>
    <row r="9819" ht="0" hidden="1" customHeight="1" x14ac:dyDescent="0.2"/>
    <row r="9820" ht="0" hidden="1" customHeight="1" x14ac:dyDescent="0.2"/>
    <row r="9821" ht="0" hidden="1" customHeight="1" x14ac:dyDescent="0.2"/>
    <row r="9822" ht="0" hidden="1" customHeight="1" x14ac:dyDescent="0.2"/>
  </sheetData>
  <pageMargins left="0.7" right="0.7" top="0.75" bottom="0.75" header="0.3" footer="0.3"/>
  <pageSetup paperSize="17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MH9810"/>
  <sheetViews>
    <sheetView tabSelected="1" zoomScale="80" zoomScaleNormal="80" workbookViewId="0">
      <selection activeCell="D3" sqref="D3"/>
    </sheetView>
  </sheetViews>
  <sheetFormatPr defaultColWidth="0" defaultRowHeight="12.75" zeroHeight="1" x14ac:dyDescent="0.2"/>
  <cols>
    <col min="1" max="3" width="3.140625" style="4" customWidth="1"/>
    <col min="4" max="4" width="70.7109375" style="4" bestFit="1" customWidth="1"/>
    <col min="5" max="5" width="25" style="4" bestFit="1" customWidth="1"/>
    <col min="6" max="6" width="14.140625" style="4" customWidth="1"/>
    <col min="7" max="7" width="10" style="4" bestFit="1" customWidth="1"/>
    <col min="8" max="10" width="12.7109375" style="4" bestFit="1" customWidth="1"/>
    <col min="11" max="60" width="12.7109375" style="4" customWidth="1"/>
    <col min="61" max="63" width="3.140625" style="4" customWidth="1"/>
    <col min="64" max="346" width="0" style="4" hidden="1" customWidth="1"/>
    <col min="347" max="16384" width="9.140625" style="4" hidden="1"/>
  </cols>
  <sheetData>
    <row r="1" spans="1:63" ht="16.5" thickBot="1" x14ac:dyDescent="0.3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/>
      <c r="BJ1" s="3"/>
      <c r="BK1" s="1"/>
    </row>
    <row r="2" spans="1:63" ht="16.5" thickTop="1" x14ac:dyDescent="0.25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7"/>
      <c r="BK2" s="1"/>
    </row>
    <row r="3" spans="1:63" ht="20.25" x14ac:dyDescent="0.3">
      <c r="A3" s="1"/>
      <c r="B3" s="8"/>
      <c r="C3" s="9"/>
      <c r="D3" s="9" t="s">
        <v>28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10"/>
      <c r="BK3" s="1"/>
    </row>
    <row r="4" spans="1:63" ht="15.75" x14ac:dyDescent="0.25">
      <c r="A4" s="1"/>
      <c r="B4" s="11"/>
      <c r="C4" s="12"/>
      <c r="D4" s="12" t="s">
        <v>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3"/>
      <c r="BK4" s="1"/>
    </row>
    <row r="5" spans="1:63" ht="15.75" x14ac:dyDescent="0.25">
      <c r="A5" s="1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6"/>
      <c r="BK5" s="1"/>
    </row>
    <row r="6" spans="1:63" ht="16.5" thickBot="1" x14ac:dyDescent="0.3">
      <c r="A6" s="1"/>
      <c r="B6" s="14"/>
      <c r="C6" s="15"/>
      <c r="D6" s="30" t="s">
        <v>1</v>
      </c>
      <c r="E6" s="15"/>
      <c r="F6" s="17" t="s">
        <v>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  <c r="BK6" s="1"/>
    </row>
    <row r="7" spans="1:63" ht="16.5" thickTop="1" x14ac:dyDescent="0.25">
      <c r="A7" s="1"/>
      <c r="B7" s="14"/>
      <c r="C7" s="15"/>
      <c r="D7" s="24" t="s">
        <v>24</v>
      </c>
      <c r="E7" s="15"/>
      <c r="F7" s="23" t="s">
        <v>29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  <c r="BK7" s="1"/>
    </row>
    <row r="8" spans="1:63" ht="15.75" x14ac:dyDescent="0.25">
      <c r="A8" s="1"/>
      <c r="B8" s="14"/>
      <c r="C8" s="15"/>
      <c r="D8" s="24" t="s">
        <v>25</v>
      </c>
      <c r="E8" s="15"/>
      <c r="F8" s="18" t="s">
        <v>5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  <c r="BK8" s="1"/>
    </row>
    <row r="9" spans="1:63" ht="15.75" x14ac:dyDescent="0.25">
      <c r="A9" s="1"/>
      <c r="B9" s="14"/>
      <c r="C9" s="15"/>
      <c r="D9" s="15"/>
      <c r="E9" s="15"/>
      <c r="F9" s="19" t="s">
        <v>6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6"/>
      <c r="BK9" s="1"/>
    </row>
    <row r="10" spans="1:63" ht="15.75" x14ac:dyDescent="0.25">
      <c r="A10" s="1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6"/>
      <c r="BK10" s="1"/>
    </row>
    <row r="11" spans="1:63" ht="16.5" thickBot="1" x14ac:dyDescent="0.3">
      <c r="A11" s="1"/>
      <c r="B11" s="14"/>
      <c r="C11" s="15"/>
      <c r="D11" s="17" t="s">
        <v>2</v>
      </c>
      <c r="E11" s="17" t="s">
        <v>8</v>
      </c>
      <c r="F11" s="17" t="s">
        <v>9</v>
      </c>
      <c r="G11" s="17" t="s">
        <v>3</v>
      </c>
      <c r="H11" s="26">
        <v>1998</v>
      </c>
      <c r="I11" s="26">
        <v>1999</v>
      </c>
      <c r="J11" s="26">
        <v>2000</v>
      </c>
      <c r="K11" s="26">
        <v>2001</v>
      </c>
      <c r="L11" s="26">
        <v>2002</v>
      </c>
      <c r="M11" s="26">
        <v>2003</v>
      </c>
      <c r="N11" s="26">
        <v>2004</v>
      </c>
      <c r="O11" s="26">
        <v>2005</v>
      </c>
      <c r="P11" s="26">
        <v>2006</v>
      </c>
      <c r="Q11" s="26">
        <v>2007</v>
      </c>
      <c r="R11" s="26">
        <v>2008</v>
      </c>
      <c r="S11" s="26">
        <v>2009</v>
      </c>
      <c r="T11" s="26">
        <v>2010</v>
      </c>
      <c r="U11" s="26">
        <v>2011</v>
      </c>
      <c r="V11" s="26">
        <v>2012</v>
      </c>
      <c r="W11" s="26">
        <v>2013</v>
      </c>
      <c r="X11" s="26">
        <v>2014</v>
      </c>
      <c r="Y11" s="26">
        <v>2015</v>
      </c>
      <c r="Z11" s="26">
        <v>2016</v>
      </c>
      <c r="AA11" s="26">
        <v>2017</v>
      </c>
      <c r="AB11" s="26">
        <v>2018</v>
      </c>
      <c r="AC11" s="26">
        <v>2019</v>
      </c>
      <c r="AD11" s="26">
        <v>2020</v>
      </c>
      <c r="AE11" s="26">
        <v>2021</v>
      </c>
      <c r="AF11" s="26">
        <v>2022</v>
      </c>
      <c r="AG11" s="26">
        <v>2023</v>
      </c>
      <c r="AH11" s="26">
        <v>2024</v>
      </c>
      <c r="AI11" s="26">
        <v>2025</v>
      </c>
      <c r="AJ11" s="26">
        <v>2026</v>
      </c>
      <c r="AK11" s="26">
        <v>2027</v>
      </c>
      <c r="AL11" s="26">
        <v>2028</v>
      </c>
      <c r="AM11" s="26">
        <v>2029</v>
      </c>
      <c r="AN11" s="26">
        <v>2030</v>
      </c>
      <c r="AO11" s="26">
        <v>2031</v>
      </c>
      <c r="AP11" s="26">
        <v>2032</v>
      </c>
      <c r="AQ11" s="26">
        <v>2033</v>
      </c>
      <c r="AR11" s="26">
        <v>2034</v>
      </c>
      <c r="AS11" s="26">
        <v>2035</v>
      </c>
      <c r="AT11" s="26">
        <v>2036</v>
      </c>
      <c r="AU11" s="26">
        <v>2037</v>
      </c>
      <c r="AV11" s="26">
        <v>2038</v>
      </c>
      <c r="AW11" s="26">
        <v>2039</v>
      </c>
      <c r="AX11" s="26">
        <v>2040</v>
      </c>
      <c r="AY11" s="26">
        <v>2041</v>
      </c>
      <c r="AZ11" s="26">
        <v>2042</v>
      </c>
      <c r="BA11" s="26">
        <v>2043</v>
      </c>
      <c r="BB11" s="26">
        <v>2044</v>
      </c>
      <c r="BC11" s="26">
        <v>2045</v>
      </c>
      <c r="BD11" s="26">
        <v>2046</v>
      </c>
      <c r="BE11" s="26">
        <v>2047</v>
      </c>
      <c r="BF11" s="26">
        <v>2048</v>
      </c>
      <c r="BG11" s="26">
        <v>2049</v>
      </c>
      <c r="BH11" s="26">
        <v>2050</v>
      </c>
      <c r="BI11" s="15"/>
      <c r="BJ11" s="16"/>
      <c r="BK11" s="1"/>
    </row>
    <row r="12" spans="1:63" ht="16.5" customHeight="1" thickTop="1" x14ac:dyDescent="0.25">
      <c r="A12" s="1"/>
      <c r="B12" s="14"/>
      <c r="C12" s="15"/>
      <c r="D12" s="24" t="s">
        <v>7</v>
      </c>
      <c r="E12" s="24" t="s">
        <v>10</v>
      </c>
      <c r="F12" s="24" t="s">
        <v>14</v>
      </c>
      <c r="G12" s="28" t="s">
        <v>17</v>
      </c>
      <c r="H12" s="27">
        <v>0.79700000000000004</v>
      </c>
      <c r="I12" s="27">
        <v>0.80600000000000005</v>
      </c>
      <c r="J12" s="27">
        <v>0.751</v>
      </c>
      <c r="K12" s="27">
        <v>0.70899999999999996</v>
      </c>
      <c r="L12" s="27">
        <v>0.71099999999999997</v>
      </c>
      <c r="M12" s="27">
        <v>0.63800000000000001</v>
      </c>
      <c r="N12" s="27">
        <v>0.59599999999999997</v>
      </c>
      <c r="O12" s="27">
        <v>0.57299999999999995</v>
      </c>
      <c r="P12" s="27">
        <v>0.56599999999999995</v>
      </c>
      <c r="Q12" s="27">
        <v>0.58299999999999996</v>
      </c>
      <c r="R12" s="27">
        <v>0.56299999999999994</v>
      </c>
      <c r="S12" s="27">
        <v>0.54200000000000004</v>
      </c>
      <c r="T12" s="27">
        <v>0.45400000000000001</v>
      </c>
      <c r="U12" s="27">
        <v>0.39600000000000002</v>
      </c>
      <c r="V12" s="27">
        <v>0.34599999999999997</v>
      </c>
      <c r="W12" s="27">
        <v>0.29899999999999999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15"/>
      <c r="BJ12" s="16"/>
      <c r="BK12" s="1"/>
    </row>
    <row r="13" spans="1:63" ht="15.75" x14ac:dyDescent="0.25">
      <c r="A13" s="1"/>
      <c r="B13" s="14"/>
      <c r="C13" s="15"/>
      <c r="D13" s="24" t="s">
        <v>15</v>
      </c>
      <c r="E13" s="24" t="s">
        <v>11</v>
      </c>
      <c r="F13" s="24" t="s">
        <v>14</v>
      </c>
      <c r="G13" s="28" t="s">
        <v>17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>
        <v>0.28699999999999998</v>
      </c>
      <c r="Y13" s="27">
        <v>0.28499999999999998</v>
      </c>
      <c r="Z13" s="27">
        <v>0.27900000000000003</v>
      </c>
      <c r="AA13" s="27">
        <v>0.27300000000000002</v>
      </c>
      <c r="AB13" s="27">
        <v>0.26800000000000002</v>
      </c>
      <c r="AC13" s="27">
        <v>0.26100000000000001</v>
      </c>
      <c r="AD13" s="27">
        <v>0.254</v>
      </c>
      <c r="AE13" s="27">
        <v>0.247</v>
      </c>
      <c r="AF13" s="27">
        <v>0.23799999999999999</v>
      </c>
      <c r="AG13" s="27">
        <v>0.22900000000000001</v>
      </c>
      <c r="AH13" s="27">
        <v>0.221</v>
      </c>
      <c r="AI13" s="27">
        <v>0.214</v>
      </c>
      <c r="AJ13" s="27">
        <v>0.20599999999999999</v>
      </c>
      <c r="AK13" s="27">
        <v>0.2</v>
      </c>
      <c r="AL13" s="27">
        <v>0.193</v>
      </c>
      <c r="AM13" s="27">
        <v>0.187</v>
      </c>
      <c r="AN13" s="27">
        <v>0.18099999999999999</v>
      </c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15"/>
      <c r="BJ13" s="16"/>
      <c r="BK13" s="1"/>
    </row>
    <row r="14" spans="1:63" ht="15.75" x14ac:dyDescent="0.25">
      <c r="A14" s="1"/>
      <c r="B14" s="14"/>
      <c r="C14" s="15"/>
      <c r="D14" s="24" t="s">
        <v>15</v>
      </c>
      <c r="E14" s="24" t="s">
        <v>12</v>
      </c>
      <c r="F14" s="24" t="s">
        <v>14</v>
      </c>
      <c r="G14" s="28" t="s">
        <v>17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>
        <v>0.31900000000000001</v>
      </c>
      <c r="Y14" s="27">
        <v>0.314</v>
      </c>
      <c r="Z14" s="27">
        <v>0.30499999999999999</v>
      </c>
      <c r="AA14" s="27">
        <v>0.28499999999999998</v>
      </c>
      <c r="AB14" s="27">
        <v>0.27800000000000002</v>
      </c>
      <c r="AC14" s="27">
        <v>0.27100000000000002</v>
      </c>
      <c r="AD14" s="27">
        <v>0.26400000000000001</v>
      </c>
      <c r="AE14" s="27">
        <v>0.25700000000000001</v>
      </c>
      <c r="AF14" s="27">
        <v>0.249</v>
      </c>
      <c r="AG14" s="27">
        <v>0.24199999999999999</v>
      </c>
      <c r="AH14" s="27">
        <v>0.23499999999999999</v>
      </c>
      <c r="AI14" s="27">
        <v>0.22800000000000001</v>
      </c>
      <c r="AJ14" s="27">
        <v>0.222</v>
      </c>
      <c r="AK14" s="27">
        <v>0.215</v>
      </c>
      <c r="AL14" s="27">
        <v>0.20799999999999999</v>
      </c>
      <c r="AM14" s="27">
        <v>0.20200000000000001</v>
      </c>
      <c r="AN14" s="27">
        <v>0.19500000000000001</v>
      </c>
      <c r="AO14" s="27">
        <v>0.189</v>
      </c>
      <c r="AP14" s="27">
        <v>0.183</v>
      </c>
      <c r="AQ14" s="27">
        <v>0.17699999999999999</v>
      </c>
      <c r="AR14" s="27">
        <v>0.17</v>
      </c>
      <c r="AS14" s="27">
        <v>0.16</v>
      </c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15"/>
      <c r="BJ14" s="16"/>
      <c r="BK14" s="1"/>
    </row>
    <row r="15" spans="1:63" ht="15.75" x14ac:dyDescent="0.25">
      <c r="A15" s="1"/>
      <c r="B15" s="14"/>
      <c r="C15" s="15"/>
      <c r="D15" s="24" t="s">
        <v>15</v>
      </c>
      <c r="E15" s="24" t="s">
        <v>13</v>
      </c>
      <c r="F15" s="24" t="s">
        <v>14</v>
      </c>
      <c r="G15" s="28" t="s">
        <v>17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>
        <v>0.27600000000000002</v>
      </c>
      <c r="AA15" s="29">
        <f>Z15+Z15*((AD15/Z15)^(1/(AD$11-Z$11))-1)</f>
        <v>0.26680015170760768</v>
      </c>
      <c r="AB15" s="29">
        <f>AA15+AA15*((AD15/Z15)^(1/(AD$11-Z$11))-1)</f>
        <v>0.2579069599681249</v>
      </c>
      <c r="AC15" s="29">
        <f>AB15+AB15*((AD15/Z15)^(1/(AD$11-Z$11))-1)</f>
        <v>0.24931020306501314</v>
      </c>
      <c r="AD15" s="27">
        <v>0.24099999999999999</v>
      </c>
      <c r="AE15" s="29">
        <f>AD15+AD15*((AI15/AD15)^(1/(AI$11-AD$11))-1)</f>
        <v>0.23728736117923319</v>
      </c>
      <c r="AF15" s="29">
        <f>AE15+AE15*((AI15/AD15)^(1/(AI$11-AD$11))-1)</f>
        <v>0.23363191608051395</v>
      </c>
      <c r="AG15" s="29">
        <f>AF15+AF15*((AI15/AD15)^(1/(AI$11-AD$11))-1)</f>
        <v>0.23003278362652785</v>
      </c>
      <c r="AH15" s="29">
        <f>AG15+AG15*((AI15/AD15)^(1/(AI$11-AD$11))-1)</f>
        <v>0.22648909631308015</v>
      </c>
      <c r="AI15" s="27">
        <v>0.223</v>
      </c>
      <c r="AJ15" s="29">
        <f>AI15+AI15*((AN15/AI15)^(1/(AN$11-AI$11))-1)</f>
        <v>0.2209631289591566</v>
      </c>
      <c r="AK15" s="29">
        <f>AJ15+AJ15*((AN15/AI15)^(1/(AN$11-AI$11))-1)</f>
        <v>0.21894486259829984</v>
      </c>
      <c r="AL15" s="29">
        <f>AK15+AK15*((AN15/AI15)^(1/(AN$11-AI$11))-1)</f>
        <v>0.21694503098319709</v>
      </c>
      <c r="AM15" s="29">
        <f>AL15+AL15*((AN15/AI15)^(1/(AN$11-AI$11))-1)</f>
        <v>0.21496346573178654</v>
      </c>
      <c r="AN15" s="27">
        <v>0.21299999999999999</v>
      </c>
      <c r="AO15" s="29">
        <f>AN15+AN15*((AS15/AN15)^(1/(AS$11-AN$11))-1)</f>
        <v>0.21137540608906799</v>
      </c>
      <c r="AP15" s="29">
        <f>AO15+AO15*((AS15/AN15)^(1/(AS$11-AN$11))-1)</f>
        <v>0.20976320328318498</v>
      </c>
      <c r="AQ15" s="29">
        <f>AP15+AP15*((AS15/AN15)^(1/(AS$11-AN$11))-1)</f>
        <v>0.20816329707289646</v>
      </c>
      <c r="AR15" s="29">
        <f>AQ15+AQ15*((AS15/AN15)^(1/(AS$11-AN$11))-1)</f>
        <v>0.20657559366959055</v>
      </c>
      <c r="AS15" s="27">
        <v>0.20499999999999999</v>
      </c>
      <c r="AT15" s="29">
        <f>AS15+AS15*((AX15/AS15)^(1/(AX$11-AS$11))-1)</f>
        <v>0.20378569933953736</v>
      </c>
      <c r="AU15" s="29">
        <f>AT15+AT15*((AX15/AS15)^(1/(AX$11-AS$11))-1)</f>
        <v>0.20257859148928936</v>
      </c>
      <c r="AV15" s="29">
        <f>AU15+AU15*((AX15/AS15)^(1/(AX$11-AS$11))-1)</f>
        <v>0.20137863384323554</v>
      </c>
      <c r="AW15" s="29">
        <f>AV15+AV15*((AX15/AS15)^(1/(AX$11-AS$11))-1)</f>
        <v>0.20018578404772872</v>
      </c>
      <c r="AX15" s="27">
        <v>0.19900000000000001</v>
      </c>
      <c r="AY15" s="29">
        <f>AX15+AX15*((BC15/AX15)^(1/(BC$11-AX$11))-1)</f>
        <v>0.19778526017119838</v>
      </c>
      <c r="AZ15" s="29">
        <f>AY15+AY15*((BC15/AX15)^(1/(BC$11-AX$11))-1)</f>
        <v>0.19657793538185242</v>
      </c>
      <c r="BA15" s="29">
        <f>AZ15+AZ15*((BC15/AX15)^(1/(BC$11-AX$11))-1)</f>
        <v>0.19537798036892817</v>
      </c>
      <c r="BB15" s="29">
        <f>BA15+BA15*((BC15/AX15)^(1/(BC$11-AX$11))-1)</f>
        <v>0.19418535014568716</v>
      </c>
      <c r="BC15" s="27">
        <v>0.193</v>
      </c>
      <c r="BD15" s="29">
        <f>BC15+BC15*((BH15/BC15)^(1/(BH$11-BC$11))-1)</f>
        <v>0.19178479317319164</v>
      </c>
      <c r="BE15" s="29">
        <f>BD15+BD15*((BH15/BC15)^(1/(BH$11-BC$11))-1)</f>
        <v>0.19057723778489064</v>
      </c>
      <c r="BF15" s="29">
        <f>BE15+BE15*((BH15/BC15)^(1/(BH$11-BC$11))-1)</f>
        <v>0.18937728565851508</v>
      </c>
      <c r="BG15" s="29">
        <f>BF15+BF15*((BH15/BC15)^(1/(BH$11-BC$11))-1)</f>
        <v>0.18818488892082252</v>
      </c>
      <c r="BH15" s="27">
        <v>0.187</v>
      </c>
      <c r="BI15" s="15"/>
      <c r="BJ15" s="16"/>
      <c r="BK15" s="1"/>
    </row>
    <row r="16" spans="1:63" ht="15.75" x14ac:dyDescent="0.25">
      <c r="A16" s="1"/>
      <c r="B16" s="14"/>
      <c r="C16" s="15"/>
      <c r="D16" s="24" t="s">
        <v>21</v>
      </c>
      <c r="E16" s="24"/>
      <c r="F16" s="24"/>
      <c r="G16" s="28" t="s">
        <v>17</v>
      </c>
      <c r="H16" s="29">
        <f>AVERAGE(H12:H15)</f>
        <v>0.79700000000000004</v>
      </c>
      <c r="I16" s="29">
        <f t="shared" ref="I16:BH16" si="0">AVERAGE(I12:I15)</f>
        <v>0.80600000000000005</v>
      </c>
      <c r="J16" s="29">
        <f t="shared" si="0"/>
        <v>0.751</v>
      </c>
      <c r="K16" s="29">
        <f t="shared" si="0"/>
        <v>0.70899999999999996</v>
      </c>
      <c r="L16" s="29">
        <f t="shared" si="0"/>
        <v>0.71099999999999997</v>
      </c>
      <c r="M16" s="29">
        <f t="shared" si="0"/>
        <v>0.63800000000000001</v>
      </c>
      <c r="N16" s="29">
        <f t="shared" si="0"/>
        <v>0.59599999999999997</v>
      </c>
      <c r="O16" s="29">
        <f t="shared" si="0"/>
        <v>0.57299999999999995</v>
      </c>
      <c r="P16" s="29">
        <f t="shared" si="0"/>
        <v>0.56599999999999995</v>
      </c>
      <c r="Q16" s="29">
        <f t="shared" si="0"/>
        <v>0.58299999999999996</v>
      </c>
      <c r="R16" s="29">
        <f t="shared" si="0"/>
        <v>0.56299999999999994</v>
      </c>
      <c r="S16" s="29">
        <f t="shared" si="0"/>
        <v>0.54200000000000004</v>
      </c>
      <c r="T16" s="29">
        <f t="shared" si="0"/>
        <v>0.45400000000000001</v>
      </c>
      <c r="U16" s="29">
        <f t="shared" si="0"/>
        <v>0.39600000000000002</v>
      </c>
      <c r="V16" s="29">
        <f t="shared" si="0"/>
        <v>0.34599999999999997</v>
      </c>
      <c r="W16" s="29">
        <f t="shared" si="0"/>
        <v>0.29899999999999999</v>
      </c>
      <c r="X16" s="29">
        <f t="shared" si="0"/>
        <v>0.30299999999999999</v>
      </c>
      <c r="Y16" s="29">
        <f t="shared" si="0"/>
        <v>0.29949999999999999</v>
      </c>
      <c r="Z16" s="29">
        <f t="shared" si="0"/>
        <v>0.28666666666666668</v>
      </c>
      <c r="AA16" s="29">
        <f t="shared" si="0"/>
        <v>0.27493338390253591</v>
      </c>
      <c r="AB16" s="29">
        <f t="shared" si="0"/>
        <v>0.26796898665604169</v>
      </c>
      <c r="AC16" s="29">
        <f t="shared" si="0"/>
        <v>0.26043673435500442</v>
      </c>
      <c r="AD16" s="29">
        <f t="shared" si="0"/>
        <v>0.253</v>
      </c>
      <c r="AE16" s="29">
        <f t="shared" si="0"/>
        <v>0.24709578705974442</v>
      </c>
      <c r="AF16" s="29">
        <f t="shared" si="0"/>
        <v>0.24021063869350465</v>
      </c>
      <c r="AG16" s="29">
        <f t="shared" si="0"/>
        <v>0.23367759454217593</v>
      </c>
      <c r="AH16" s="29">
        <f t="shared" si="0"/>
        <v>0.22749636543769336</v>
      </c>
      <c r="AI16" s="29">
        <f t="shared" si="0"/>
        <v>0.22166666666666668</v>
      </c>
      <c r="AJ16" s="29">
        <f t="shared" si="0"/>
        <v>0.21632104298638555</v>
      </c>
      <c r="AK16" s="29">
        <f t="shared" si="0"/>
        <v>0.21131495419943327</v>
      </c>
      <c r="AL16" s="29">
        <f t="shared" si="0"/>
        <v>0.20598167699439904</v>
      </c>
      <c r="AM16" s="29">
        <f t="shared" si="0"/>
        <v>0.20132115524392882</v>
      </c>
      <c r="AN16" s="29">
        <f t="shared" si="0"/>
        <v>0.19633333333333333</v>
      </c>
      <c r="AO16" s="29">
        <f t="shared" si="0"/>
        <v>0.20018770304453398</v>
      </c>
      <c r="AP16" s="29">
        <f t="shared" si="0"/>
        <v>0.19638160164159249</v>
      </c>
      <c r="AQ16" s="29">
        <f t="shared" si="0"/>
        <v>0.19258164853644821</v>
      </c>
      <c r="AR16" s="29">
        <f t="shared" si="0"/>
        <v>0.1882877968347953</v>
      </c>
      <c r="AS16" s="29">
        <f t="shared" si="0"/>
        <v>0.1825</v>
      </c>
      <c r="AT16" s="29">
        <f t="shared" si="0"/>
        <v>0.20378569933953736</v>
      </c>
      <c r="AU16" s="29">
        <f t="shared" si="0"/>
        <v>0.20257859148928936</v>
      </c>
      <c r="AV16" s="29">
        <f t="shared" si="0"/>
        <v>0.20137863384323554</v>
      </c>
      <c r="AW16" s="29">
        <f t="shared" si="0"/>
        <v>0.20018578404772872</v>
      </c>
      <c r="AX16" s="29">
        <f t="shared" si="0"/>
        <v>0.19900000000000001</v>
      </c>
      <c r="AY16" s="29">
        <f t="shared" si="0"/>
        <v>0.19778526017119838</v>
      </c>
      <c r="AZ16" s="29">
        <f t="shared" si="0"/>
        <v>0.19657793538185242</v>
      </c>
      <c r="BA16" s="29">
        <f t="shared" si="0"/>
        <v>0.19537798036892817</v>
      </c>
      <c r="BB16" s="29">
        <f t="shared" si="0"/>
        <v>0.19418535014568716</v>
      </c>
      <c r="BC16" s="29">
        <f t="shared" si="0"/>
        <v>0.193</v>
      </c>
      <c r="BD16" s="29">
        <f t="shared" si="0"/>
        <v>0.19178479317319164</v>
      </c>
      <c r="BE16" s="29">
        <f t="shared" si="0"/>
        <v>0.19057723778489064</v>
      </c>
      <c r="BF16" s="29">
        <f t="shared" si="0"/>
        <v>0.18937728565851508</v>
      </c>
      <c r="BG16" s="29">
        <f t="shared" si="0"/>
        <v>0.18818488892082252</v>
      </c>
      <c r="BH16" s="29">
        <f t="shared" si="0"/>
        <v>0.187</v>
      </c>
      <c r="BI16" s="15"/>
      <c r="BJ16" s="16"/>
      <c r="BK16" s="1"/>
    </row>
    <row r="17" spans="1:63" ht="15.75" x14ac:dyDescent="0.25">
      <c r="A17" s="1"/>
      <c r="B17" s="14"/>
      <c r="C17" s="15"/>
      <c r="D17" s="24" t="s">
        <v>16</v>
      </c>
      <c r="E17" s="24"/>
      <c r="F17" s="24" t="s">
        <v>19</v>
      </c>
      <c r="G17" s="24" t="s">
        <v>18</v>
      </c>
      <c r="H17" s="27">
        <v>1.0720000000000001</v>
      </c>
      <c r="I17" s="27">
        <v>1.1759999999999999</v>
      </c>
      <c r="J17" s="27">
        <v>1.5229999999999999</v>
      </c>
      <c r="K17" s="27">
        <v>1.46</v>
      </c>
      <c r="L17" s="27">
        <v>1.3859999999999999</v>
      </c>
      <c r="M17" s="27">
        <v>1.603</v>
      </c>
      <c r="N17" s="27">
        <v>1.895</v>
      </c>
      <c r="O17" s="27">
        <v>2.3140000000000001</v>
      </c>
      <c r="P17" s="27">
        <v>2.6179999999999999</v>
      </c>
      <c r="Q17" s="27">
        <v>2.843</v>
      </c>
      <c r="R17" s="27">
        <v>3.2989999999999999</v>
      </c>
      <c r="S17" s="27">
        <v>2.4060000000000001</v>
      </c>
      <c r="T17" s="27">
        <v>2.835</v>
      </c>
      <c r="U17" s="27">
        <v>3.5760000000000001</v>
      </c>
      <c r="V17" s="27">
        <v>3.68</v>
      </c>
      <c r="W17" s="27">
        <v>3.5750000000000002</v>
      </c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15"/>
      <c r="BJ17" s="16"/>
      <c r="BK17" s="1"/>
    </row>
    <row r="18" spans="1:63" ht="15.75" x14ac:dyDescent="0.25">
      <c r="A18" s="1"/>
      <c r="B18" s="14"/>
      <c r="C18" s="15"/>
      <c r="D18" s="24" t="s">
        <v>20</v>
      </c>
      <c r="E18" s="24"/>
      <c r="F18" s="24"/>
      <c r="G18" s="24" t="s">
        <v>18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>
        <f>W17+W17*(($W$17/$R$17)^(1/($W$11-$R$11))-1)</f>
        <v>3.6329112820854501</v>
      </c>
      <c r="Y18" s="29">
        <f>X18+X18*(($W$17/$R$17)^(1/($W$11-$R$11))-1)</f>
        <v>3.6917606667143352</v>
      </c>
      <c r="Z18" s="29">
        <f>Y18+Y18*(($W$17/$R$17)^(1/($W$11-$R$11))-1)</f>
        <v>3.7515633501722547</v>
      </c>
      <c r="AA18" s="29">
        <f>Z18+Z18*(($W$17/$R$17)^(1/($W$11-$R$11))-1)</f>
        <v>3.8123347749088312</v>
      </c>
      <c r="AB18" s="29">
        <f>AA18+AA18*(($W$17/$R$17)^(1/($W$11-$R$11))-1)</f>
        <v>3.8740906335253111</v>
      </c>
      <c r="AC18" s="29">
        <f>AB18+AB18*(($W$17/$R$17)^(1/($W$11-$R$11))-1)</f>
        <v>3.9368468728267612</v>
      </c>
      <c r="AD18" s="29">
        <f>AC18+AC18*(($W$17/$R$17)^(1/($W$11-$R$11))-1)</f>
        <v>4.0006196979399062</v>
      </c>
      <c r="AE18" s="29">
        <f>AD18+AD18*(($W$17/$R$17)^(1/($W$11-$R$11))-1)</f>
        <v>4.0654255764976703</v>
      </c>
      <c r="AF18" s="29">
        <f>AE18+AE18*(($W$17/$R$17)^(1/($W$11-$R$11))-1)</f>
        <v>4.1312812428915056</v>
      </c>
      <c r="AG18" s="29">
        <f>AF18+AF18*(($W$17/$R$17)^(1/($W$11-$R$11))-1)</f>
        <v>4.1982037025926013</v>
      </c>
      <c r="AH18" s="29">
        <f>AG18+AG18*(($W$17/$R$17)^(1/($W$11-$R$11))-1)</f>
        <v>4.2662102365430963</v>
      </c>
      <c r="AI18" s="29">
        <f>AH18+AH18*(($W$17/$R$17)^(1/($W$11-$R$11))-1)</f>
        <v>4.3353184056184197</v>
      </c>
      <c r="AJ18" s="29">
        <f>AI18+AI18*(($W$17/$R$17)^(1/($W$11-$R$11))-1)</f>
        <v>4.4055460551619197</v>
      </c>
      <c r="AK18" s="29">
        <f>AJ18+AJ18*(($W$17/$R$17)^(1/($W$11-$R$11))-1)</f>
        <v>4.4769113195929471</v>
      </c>
      <c r="AL18" s="29">
        <f>AK18+AK18*(($W$17/$R$17)^(1/($W$11-$R$11))-1)</f>
        <v>4.5494326270895877</v>
      </c>
      <c r="AM18" s="29">
        <f>AL18+AL18*(($W$17/$R$17)^(1/($W$11-$R$11))-1)</f>
        <v>4.6231287043472475</v>
      </c>
      <c r="AN18" s="29">
        <f>AM18+AM18*(($W$17/$R$17)^(1/($W$11-$R$11))-1)</f>
        <v>4.6980185814143232</v>
      </c>
      <c r="AO18" s="29">
        <f>AN18+AN18*(($W$17/$R$17)^(1/($W$11-$R$11))-1)</f>
        <v>4.7741215966062027</v>
      </c>
      <c r="AP18" s="29">
        <f>AO18+AO18*(($W$17/$R$17)^(1/($W$11-$R$11))-1)</f>
        <v>4.8514574014988741</v>
      </c>
      <c r="AQ18" s="29">
        <f>AP18+AP18*(($W$17/$R$17)^(1/($W$11-$R$11))-1)</f>
        <v>4.9300459660034184</v>
      </c>
      <c r="AR18" s="29">
        <f>AQ18+AQ18*(($W$17/$R$17)^(1/($W$11-$R$11))-1)</f>
        <v>5.0099075835227076</v>
      </c>
      <c r="AS18" s="29">
        <f>AR18+AR18*(($W$17/$R$17)^(1/($W$11-$R$11))-1)</f>
        <v>5.0910628761916357</v>
      </c>
      <c r="AT18" s="29">
        <f>AS18+AS18*(($W$17/$R$17)^(1/($W$11-$R$11))-1)</f>
        <v>5.1735328002022358</v>
      </c>
      <c r="AU18" s="29">
        <f>AT18+AT18*(($W$17/$R$17)^(1/($W$11-$R$11))-1)</f>
        <v>5.2573386512150577</v>
      </c>
      <c r="AV18" s="29">
        <f>AU18+AU18*(($W$17/$R$17)^(1/($W$11-$R$11))-1)</f>
        <v>5.342502069858206</v>
      </c>
      <c r="AW18" s="29">
        <f>AV18+AV18*(($W$17/$R$17)^(1/($W$11-$R$11))-1)</f>
        <v>5.4290450473154532</v>
      </c>
      <c r="AX18" s="29">
        <f>AW18+AW18*(($W$17/$R$17)^(1/($W$11-$R$11))-1)</f>
        <v>5.51698993100488</v>
      </c>
      <c r="AY18" s="29">
        <f>AX18+AX18*(($W$17/$R$17)^(1/($W$11-$R$11))-1)</f>
        <v>5.6063594303494986</v>
      </c>
      <c r="AZ18" s="29">
        <f>AY18+AY18*(($W$17/$R$17)^(1/($W$11-$R$11))-1)</f>
        <v>5.6971766226413569</v>
      </c>
      <c r="BA18" s="29">
        <f>AZ18+AZ18*(($W$17/$R$17)^(1/($W$11-$R$11))-1)</f>
        <v>5.7894649590006342</v>
      </c>
      <c r="BB18" s="29">
        <f>BA18+BA18*(($W$17/$R$17)^(1/($W$11-$R$11))-1)</f>
        <v>5.8832482704312676</v>
      </c>
      <c r="BC18" s="29">
        <f>BB18+BB18*(($W$17/$R$17)^(1/($W$11-$R$11))-1)</f>
        <v>5.9785507739746748</v>
      </c>
      <c r="BD18" s="29">
        <f>BC18+BC18*(($W$17/$R$17)^(1/($W$11-$R$11))-1)</f>
        <v>6.0753970789631593</v>
      </c>
      <c r="BE18" s="29">
        <f>BD18+BD18*(($W$17/$R$17)^(1/($W$11-$R$11))-1)</f>
        <v>6.1738121933746148</v>
      </c>
      <c r="BF18" s="29">
        <f>BE18+BE18*(($W$17/$R$17)^(1/($W$11-$R$11))-1)</f>
        <v>6.2738215302901699</v>
      </c>
      <c r="BG18" s="29">
        <f>BF18+BF18*(($W$17/$R$17)^(1/($W$11-$R$11))-1)</f>
        <v>6.3754509144564366</v>
      </c>
      <c r="BH18" s="29">
        <f>BG18+BG18*(($W$17/$R$17)^(1/($W$11-$R$11))-1)</f>
        <v>6.4787265889540668</v>
      </c>
      <c r="BI18" s="15"/>
      <c r="BJ18" s="16"/>
      <c r="BK18" s="1"/>
    </row>
    <row r="19" spans="1:63" ht="15.75" x14ac:dyDescent="0.25">
      <c r="A19" s="1"/>
      <c r="B19" s="14"/>
      <c r="C19" s="15"/>
      <c r="D19" s="24" t="s">
        <v>22</v>
      </c>
      <c r="E19" s="24"/>
      <c r="F19" s="24"/>
      <c r="G19" s="24" t="s">
        <v>18</v>
      </c>
      <c r="H19" s="29">
        <f>H17</f>
        <v>1.0720000000000001</v>
      </c>
      <c r="I19" s="29">
        <f t="shared" ref="I19:W19" si="1">I17</f>
        <v>1.1759999999999999</v>
      </c>
      <c r="J19" s="29">
        <f t="shared" si="1"/>
        <v>1.5229999999999999</v>
      </c>
      <c r="K19" s="29">
        <f t="shared" si="1"/>
        <v>1.46</v>
      </c>
      <c r="L19" s="29">
        <f t="shared" si="1"/>
        <v>1.3859999999999999</v>
      </c>
      <c r="M19" s="29">
        <f t="shared" si="1"/>
        <v>1.603</v>
      </c>
      <c r="N19" s="29">
        <f t="shared" si="1"/>
        <v>1.895</v>
      </c>
      <c r="O19" s="29">
        <f t="shared" si="1"/>
        <v>2.3140000000000001</v>
      </c>
      <c r="P19" s="29">
        <f t="shared" si="1"/>
        <v>2.6179999999999999</v>
      </c>
      <c r="Q19" s="29">
        <f t="shared" si="1"/>
        <v>2.843</v>
      </c>
      <c r="R19" s="29">
        <f t="shared" si="1"/>
        <v>3.2989999999999999</v>
      </c>
      <c r="S19" s="29">
        <f t="shared" si="1"/>
        <v>2.4060000000000001</v>
      </c>
      <c r="T19" s="29">
        <f t="shared" si="1"/>
        <v>2.835</v>
      </c>
      <c r="U19" s="29">
        <f t="shared" si="1"/>
        <v>3.5760000000000001</v>
      </c>
      <c r="V19" s="29">
        <f t="shared" si="1"/>
        <v>3.68</v>
      </c>
      <c r="W19" s="29">
        <f t="shared" si="1"/>
        <v>3.5750000000000002</v>
      </c>
      <c r="X19" s="29">
        <f>X18</f>
        <v>3.6329112820854501</v>
      </c>
      <c r="Y19" s="29">
        <f t="shared" ref="Y19:BH19" si="2">Y18</f>
        <v>3.6917606667143352</v>
      </c>
      <c r="Z19" s="29">
        <f t="shared" si="2"/>
        <v>3.7515633501722547</v>
      </c>
      <c r="AA19" s="29">
        <f t="shared" si="2"/>
        <v>3.8123347749088312</v>
      </c>
      <c r="AB19" s="29">
        <f t="shared" si="2"/>
        <v>3.8740906335253111</v>
      </c>
      <c r="AC19" s="29">
        <f t="shared" si="2"/>
        <v>3.9368468728267612</v>
      </c>
      <c r="AD19" s="29">
        <f t="shared" si="2"/>
        <v>4.0006196979399062</v>
      </c>
      <c r="AE19" s="29">
        <f t="shared" si="2"/>
        <v>4.0654255764976703</v>
      </c>
      <c r="AF19" s="29">
        <f t="shared" si="2"/>
        <v>4.1312812428915056</v>
      </c>
      <c r="AG19" s="29">
        <f t="shared" si="2"/>
        <v>4.1982037025926013</v>
      </c>
      <c r="AH19" s="29">
        <f t="shared" si="2"/>
        <v>4.2662102365430963</v>
      </c>
      <c r="AI19" s="29">
        <f t="shared" si="2"/>
        <v>4.3353184056184197</v>
      </c>
      <c r="AJ19" s="29">
        <f t="shared" si="2"/>
        <v>4.4055460551619197</v>
      </c>
      <c r="AK19" s="29">
        <f t="shared" si="2"/>
        <v>4.4769113195929471</v>
      </c>
      <c r="AL19" s="29">
        <f t="shared" si="2"/>
        <v>4.5494326270895877</v>
      </c>
      <c r="AM19" s="29">
        <f t="shared" si="2"/>
        <v>4.6231287043472475</v>
      </c>
      <c r="AN19" s="29">
        <f t="shared" si="2"/>
        <v>4.6980185814143232</v>
      </c>
      <c r="AO19" s="29">
        <f t="shared" si="2"/>
        <v>4.7741215966062027</v>
      </c>
      <c r="AP19" s="29">
        <f t="shared" si="2"/>
        <v>4.8514574014988741</v>
      </c>
      <c r="AQ19" s="29">
        <f t="shared" si="2"/>
        <v>4.9300459660034184</v>
      </c>
      <c r="AR19" s="29">
        <f t="shared" si="2"/>
        <v>5.0099075835227076</v>
      </c>
      <c r="AS19" s="29">
        <f t="shared" si="2"/>
        <v>5.0910628761916357</v>
      </c>
      <c r="AT19" s="29">
        <f t="shared" si="2"/>
        <v>5.1735328002022358</v>
      </c>
      <c r="AU19" s="29">
        <f t="shared" si="2"/>
        <v>5.2573386512150577</v>
      </c>
      <c r="AV19" s="29">
        <f t="shared" si="2"/>
        <v>5.342502069858206</v>
      </c>
      <c r="AW19" s="29">
        <f t="shared" si="2"/>
        <v>5.4290450473154532</v>
      </c>
      <c r="AX19" s="29">
        <f t="shared" si="2"/>
        <v>5.51698993100488</v>
      </c>
      <c r="AY19" s="29">
        <f t="shared" si="2"/>
        <v>5.6063594303494986</v>
      </c>
      <c r="AZ19" s="29">
        <f t="shared" si="2"/>
        <v>5.6971766226413569</v>
      </c>
      <c r="BA19" s="29">
        <f t="shared" si="2"/>
        <v>5.7894649590006342</v>
      </c>
      <c r="BB19" s="29">
        <f t="shared" si="2"/>
        <v>5.8832482704312676</v>
      </c>
      <c r="BC19" s="29">
        <f t="shared" si="2"/>
        <v>5.9785507739746748</v>
      </c>
      <c r="BD19" s="29">
        <f t="shared" si="2"/>
        <v>6.0753970789631593</v>
      </c>
      <c r="BE19" s="29">
        <f t="shared" si="2"/>
        <v>6.1738121933746148</v>
      </c>
      <c r="BF19" s="29">
        <f t="shared" si="2"/>
        <v>6.2738215302901699</v>
      </c>
      <c r="BG19" s="29">
        <f t="shared" si="2"/>
        <v>6.3754509144564366</v>
      </c>
      <c r="BH19" s="29">
        <f t="shared" si="2"/>
        <v>6.4787265889540668</v>
      </c>
      <c r="BI19" s="15"/>
      <c r="BJ19" s="16"/>
      <c r="BK19" s="1"/>
    </row>
    <row r="20" spans="1:63" ht="15.75" x14ac:dyDescent="0.25">
      <c r="A20" s="1"/>
      <c r="B20" s="14"/>
      <c r="C20" s="15"/>
      <c r="D20" s="24" t="s">
        <v>23</v>
      </c>
      <c r="E20" s="24" t="s">
        <v>27</v>
      </c>
      <c r="F20" s="24" t="s">
        <v>26</v>
      </c>
      <c r="G20" s="24" t="s">
        <v>18</v>
      </c>
      <c r="H20" s="29">
        <f>28.2*0.35*H16</f>
        <v>7.86639</v>
      </c>
      <c r="I20" s="29">
        <f t="shared" ref="I20:BH20" si="3">28.2*0.35*I16</f>
        <v>7.9552199999999997</v>
      </c>
      <c r="J20" s="29">
        <f t="shared" si="3"/>
        <v>7.4123699999999992</v>
      </c>
      <c r="K20" s="29">
        <f t="shared" si="3"/>
        <v>6.9978299999999987</v>
      </c>
      <c r="L20" s="29">
        <f t="shared" si="3"/>
        <v>7.0175699999999992</v>
      </c>
      <c r="M20" s="29">
        <f t="shared" si="3"/>
        <v>6.2970599999999992</v>
      </c>
      <c r="N20" s="29">
        <f t="shared" si="3"/>
        <v>5.8825199999999995</v>
      </c>
      <c r="O20" s="29">
        <f t="shared" si="3"/>
        <v>5.6555099999999987</v>
      </c>
      <c r="P20" s="29">
        <f t="shared" si="3"/>
        <v>5.5864199999999986</v>
      </c>
      <c r="Q20" s="29">
        <f t="shared" si="3"/>
        <v>5.7542099999999996</v>
      </c>
      <c r="R20" s="29">
        <f t="shared" si="3"/>
        <v>5.5568099999999987</v>
      </c>
      <c r="S20" s="29">
        <f t="shared" si="3"/>
        <v>5.3495400000000002</v>
      </c>
      <c r="T20" s="29">
        <f t="shared" si="3"/>
        <v>4.4809799999999997</v>
      </c>
      <c r="U20" s="29">
        <f t="shared" si="3"/>
        <v>3.9085199999999998</v>
      </c>
      <c r="V20" s="29">
        <f t="shared" si="3"/>
        <v>3.4150199999999993</v>
      </c>
      <c r="W20" s="29">
        <f t="shared" si="3"/>
        <v>2.9511299999999996</v>
      </c>
      <c r="X20" s="29">
        <f t="shared" si="3"/>
        <v>2.9906099999999998</v>
      </c>
      <c r="Y20" s="29">
        <f t="shared" si="3"/>
        <v>2.9560649999999997</v>
      </c>
      <c r="Z20" s="29">
        <f t="shared" si="3"/>
        <v>2.8293999999999997</v>
      </c>
      <c r="AA20" s="29">
        <f t="shared" si="3"/>
        <v>2.7135924991180294</v>
      </c>
      <c r="AB20" s="29">
        <f t="shared" si="3"/>
        <v>2.6448538982951311</v>
      </c>
      <c r="AC20" s="29">
        <f t="shared" si="3"/>
        <v>2.5705105680838933</v>
      </c>
      <c r="AD20" s="29">
        <f t="shared" si="3"/>
        <v>2.4971099999999997</v>
      </c>
      <c r="AE20" s="29">
        <f t="shared" si="3"/>
        <v>2.4388354182796772</v>
      </c>
      <c r="AF20" s="29">
        <f t="shared" si="3"/>
        <v>2.3708790039048906</v>
      </c>
      <c r="AG20" s="29">
        <f t="shared" si="3"/>
        <v>2.3063978581312763</v>
      </c>
      <c r="AH20" s="29">
        <f t="shared" si="3"/>
        <v>2.2453891268700334</v>
      </c>
      <c r="AI20" s="29">
        <f t="shared" si="3"/>
        <v>2.1878500000000001</v>
      </c>
      <c r="AJ20" s="29">
        <f t="shared" si="3"/>
        <v>2.1350886942756251</v>
      </c>
      <c r="AK20" s="29">
        <f t="shared" si="3"/>
        <v>2.085678597948406</v>
      </c>
      <c r="AL20" s="29">
        <f t="shared" si="3"/>
        <v>2.0330391519347182</v>
      </c>
      <c r="AM20" s="29">
        <f t="shared" si="3"/>
        <v>1.9870398022575773</v>
      </c>
      <c r="AN20" s="29">
        <f t="shared" si="3"/>
        <v>1.9378099999999998</v>
      </c>
      <c r="AO20" s="29">
        <f t="shared" si="3"/>
        <v>1.9758526290495502</v>
      </c>
      <c r="AP20" s="29">
        <f t="shared" si="3"/>
        <v>1.9382864082025177</v>
      </c>
      <c r="AQ20" s="29">
        <f t="shared" si="3"/>
        <v>1.9007808710547438</v>
      </c>
      <c r="AR20" s="29">
        <f t="shared" si="3"/>
        <v>1.8584005547594293</v>
      </c>
      <c r="AS20" s="29">
        <f t="shared" si="3"/>
        <v>1.8012749999999997</v>
      </c>
      <c r="AT20" s="29">
        <f t="shared" si="3"/>
        <v>2.0113648524812335</v>
      </c>
      <c r="AU20" s="29">
        <f t="shared" si="3"/>
        <v>1.9994506979992859</v>
      </c>
      <c r="AV20" s="29">
        <f t="shared" si="3"/>
        <v>1.9876071160327347</v>
      </c>
      <c r="AW20" s="29">
        <f t="shared" si="3"/>
        <v>1.9758336885510823</v>
      </c>
      <c r="AX20" s="29">
        <f t="shared" si="3"/>
        <v>1.9641299999999999</v>
      </c>
      <c r="AY20" s="29">
        <f t="shared" si="3"/>
        <v>1.9521405178897278</v>
      </c>
      <c r="AZ20" s="29">
        <f t="shared" si="3"/>
        <v>1.9402242222188832</v>
      </c>
      <c r="BA20" s="29">
        <f t="shared" si="3"/>
        <v>1.928380666241321</v>
      </c>
      <c r="BB20" s="29">
        <f t="shared" si="3"/>
        <v>1.9166094059379322</v>
      </c>
      <c r="BC20" s="29">
        <f t="shared" si="3"/>
        <v>1.9049099999999999</v>
      </c>
      <c r="BD20" s="29">
        <f t="shared" si="3"/>
        <v>1.8929159086194014</v>
      </c>
      <c r="BE20" s="29">
        <f t="shared" si="3"/>
        <v>1.8809973369368704</v>
      </c>
      <c r="BF20" s="29">
        <f t="shared" si="3"/>
        <v>1.8691538094495437</v>
      </c>
      <c r="BG20" s="29">
        <f t="shared" si="3"/>
        <v>1.8573848536485182</v>
      </c>
      <c r="BH20" s="29">
        <f t="shared" si="3"/>
        <v>1.8456899999999998</v>
      </c>
      <c r="BI20" s="15"/>
      <c r="BJ20" s="16"/>
      <c r="BK20" s="1"/>
    </row>
    <row r="21" spans="1:63" ht="16.5" thickBot="1" x14ac:dyDescent="0.3">
      <c r="A21" s="1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2"/>
      <c r="BK21" s="1"/>
    </row>
    <row r="22" spans="1:63" ht="16.5" thickTop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hidden="1" x14ac:dyDescent="0.2"/>
    <row r="24" spans="1:63" hidden="1" x14ac:dyDescent="0.2"/>
    <row r="25" spans="1:63" hidden="1" x14ac:dyDescent="0.2"/>
    <row r="26" spans="1:63" hidden="1" x14ac:dyDescent="0.2"/>
    <row r="27" spans="1:63" hidden="1" x14ac:dyDescent="0.2"/>
    <row r="28" spans="1:63" hidden="1" x14ac:dyDescent="0.2"/>
    <row r="29" spans="1:63" hidden="1" x14ac:dyDescent="0.2"/>
    <row r="30" spans="1:63" hidden="1" x14ac:dyDescent="0.2"/>
    <row r="31" spans="1:63" hidden="1" x14ac:dyDescent="0.2"/>
    <row r="32" spans="1:63" hidden="1" x14ac:dyDescent="0.2"/>
    <row r="33" hidden="1" x14ac:dyDescent="0.2"/>
    <row r="34" hidden="1" x14ac:dyDescent="0.2"/>
    <row r="35" hidden="1" x14ac:dyDescent="0.2"/>
    <row r="36" hidden="1" x14ac:dyDescent="0.2"/>
    <row r="37" hidden="1" x14ac:dyDescent="0.2"/>
    <row r="38" hidden="1" x14ac:dyDescent="0.2"/>
    <row r="39" hidden="1" x14ac:dyDescent="0.2"/>
    <row r="40" hidden="1" x14ac:dyDescent="0.2"/>
    <row r="41" hidden="1" x14ac:dyDescent="0.2"/>
    <row r="42" hidden="1" x14ac:dyDescent="0.2"/>
    <row r="43" hidden="1" x14ac:dyDescent="0.2"/>
    <row r="44" hidden="1" x14ac:dyDescent="0.2"/>
    <row r="45" hidden="1" x14ac:dyDescent="0.2"/>
    <row r="46" hidden="1" x14ac:dyDescent="0.2"/>
    <row r="47" hidden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  <row r="56" hidden="1" x14ac:dyDescent="0.2"/>
    <row r="57" hidden="1" x14ac:dyDescent="0.2"/>
    <row r="58" hidden="1" x14ac:dyDescent="0.2"/>
    <row r="59" hidden="1" x14ac:dyDescent="0.2"/>
    <row r="60" hidden="1" x14ac:dyDescent="0.2"/>
    <row r="61" hidden="1" x14ac:dyDescent="0.2"/>
    <row r="62" hidden="1" x14ac:dyDescent="0.2"/>
    <row r="63" hidden="1" x14ac:dyDescent="0.2"/>
    <row r="64" hidden="1" x14ac:dyDescent="0.2"/>
    <row r="65" hidden="1" x14ac:dyDescent="0.2"/>
    <row r="66" hidden="1" x14ac:dyDescent="0.2"/>
    <row r="67" hidden="1" x14ac:dyDescent="0.2"/>
    <row r="68" hidden="1" x14ac:dyDescent="0.2"/>
    <row r="69" hidden="1" x14ac:dyDescent="0.2"/>
    <row r="70" hidden="1" x14ac:dyDescent="0.2"/>
    <row r="71" hidden="1" x14ac:dyDescent="0.2"/>
    <row r="72" hidden="1" x14ac:dyDescent="0.2"/>
    <row r="73" hidden="1" x14ac:dyDescent="0.2"/>
    <row r="74" hidden="1" x14ac:dyDescent="0.2"/>
    <row r="75" hidden="1" x14ac:dyDescent="0.2"/>
    <row r="76" hidden="1" x14ac:dyDescent="0.2"/>
    <row r="77" hidden="1" x14ac:dyDescent="0.2"/>
    <row r="78" hidden="1" x14ac:dyDescent="0.2"/>
    <row r="79" hidden="1" x14ac:dyDescent="0.2"/>
    <row r="80" hidden="1" x14ac:dyDescent="0.2"/>
    <row r="81" hidden="1" x14ac:dyDescent="0.2"/>
    <row r="82" hidden="1" x14ac:dyDescent="0.2"/>
    <row r="83" hidden="1" x14ac:dyDescent="0.2"/>
    <row r="84" hidden="1" x14ac:dyDescent="0.2"/>
    <row r="85" hidden="1" x14ac:dyDescent="0.2"/>
    <row r="86" hidden="1" x14ac:dyDescent="0.2"/>
    <row r="87" hidden="1" x14ac:dyDescent="0.2"/>
    <row r="88" hidden="1" x14ac:dyDescent="0.2"/>
    <row r="89" hidden="1" x14ac:dyDescent="0.2"/>
    <row r="90" hidden="1" x14ac:dyDescent="0.2"/>
    <row r="91" hidden="1" x14ac:dyDescent="0.2"/>
    <row r="92" hidden="1" x14ac:dyDescent="0.2"/>
    <row r="93" hidden="1" x14ac:dyDescent="0.2"/>
    <row r="94" hidden="1" x14ac:dyDescent="0.2"/>
    <row r="95" hidden="1" x14ac:dyDescent="0.2"/>
    <row r="96" hidden="1" x14ac:dyDescent="0.2"/>
    <row r="97" hidden="1" x14ac:dyDescent="0.2"/>
    <row r="98" hidden="1" x14ac:dyDescent="0.2"/>
    <row r="99" hidden="1" x14ac:dyDescent="0.2"/>
    <row r="100" hidden="1" x14ac:dyDescent="0.2"/>
    <row r="101" hidden="1" x14ac:dyDescent="0.2"/>
    <row r="102" hidden="1" x14ac:dyDescent="0.2"/>
    <row r="103" hidden="1" x14ac:dyDescent="0.2"/>
    <row r="104" hidden="1" x14ac:dyDescent="0.2"/>
    <row r="105" hidden="1" x14ac:dyDescent="0.2"/>
    <row r="106" hidden="1" x14ac:dyDescent="0.2"/>
    <row r="107" hidden="1" x14ac:dyDescent="0.2"/>
    <row r="108" hidden="1" x14ac:dyDescent="0.2"/>
    <row r="109" hidden="1" x14ac:dyDescent="0.2"/>
    <row r="110" hidden="1" x14ac:dyDescent="0.2"/>
    <row r="111" hidden="1" x14ac:dyDescent="0.2"/>
    <row r="112" hidden="1" x14ac:dyDescent="0.2"/>
    <row r="113" hidden="1" x14ac:dyDescent="0.2"/>
    <row r="114" hidden="1" x14ac:dyDescent="0.2"/>
    <row r="115" hidden="1" x14ac:dyDescent="0.2"/>
    <row r="116" hidden="1" x14ac:dyDescent="0.2"/>
    <row r="117" hidden="1" x14ac:dyDescent="0.2"/>
    <row r="118" hidden="1" x14ac:dyDescent="0.2"/>
    <row r="119" hidden="1" x14ac:dyDescent="0.2"/>
    <row r="120" hidden="1" x14ac:dyDescent="0.2"/>
    <row r="121" hidden="1" x14ac:dyDescent="0.2"/>
    <row r="122" hidden="1" x14ac:dyDescent="0.2"/>
    <row r="123" hidden="1" x14ac:dyDescent="0.2"/>
    <row r="124" hidden="1" x14ac:dyDescent="0.2"/>
    <row r="125" hidden="1" x14ac:dyDescent="0.2"/>
    <row r="126" hidden="1" x14ac:dyDescent="0.2"/>
    <row r="127" hidden="1" x14ac:dyDescent="0.2"/>
    <row r="128" hidden="1" x14ac:dyDescent="0.2"/>
    <row r="129" hidden="1" x14ac:dyDescent="0.2"/>
    <row r="130" hidden="1" x14ac:dyDescent="0.2"/>
    <row r="131" hidden="1" x14ac:dyDescent="0.2"/>
    <row r="132" hidden="1" x14ac:dyDescent="0.2"/>
    <row r="133" hidden="1" x14ac:dyDescent="0.2"/>
    <row r="134" hidden="1" x14ac:dyDescent="0.2"/>
    <row r="135" hidden="1" x14ac:dyDescent="0.2"/>
    <row r="136" hidden="1" x14ac:dyDescent="0.2"/>
    <row r="137" hidden="1" x14ac:dyDescent="0.2"/>
    <row r="138" hidden="1" x14ac:dyDescent="0.2"/>
    <row r="139" hidden="1" x14ac:dyDescent="0.2"/>
    <row r="140" hidden="1" x14ac:dyDescent="0.2"/>
    <row r="141" hidden="1" x14ac:dyDescent="0.2"/>
    <row r="142" hidden="1" x14ac:dyDescent="0.2"/>
    <row r="143" hidden="1" x14ac:dyDescent="0.2"/>
    <row r="144" hidden="1" x14ac:dyDescent="0.2"/>
    <row r="145" hidden="1" x14ac:dyDescent="0.2"/>
    <row r="146" hidden="1" x14ac:dyDescent="0.2"/>
    <row r="147" hidden="1" x14ac:dyDescent="0.2"/>
    <row r="148" hidden="1" x14ac:dyDescent="0.2"/>
    <row r="149" hidden="1" x14ac:dyDescent="0.2"/>
    <row r="150" hidden="1" x14ac:dyDescent="0.2"/>
    <row r="151" hidden="1" x14ac:dyDescent="0.2"/>
    <row r="152" hidden="1" x14ac:dyDescent="0.2"/>
    <row r="153" hidden="1" x14ac:dyDescent="0.2"/>
    <row r="154" hidden="1" x14ac:dyDescent="0.2"/>
    <row r="155" hidden="1" x14ac:dyDescent="0.2"/>
    <row r="156" hidden="1" x14ac:dyDescent="0.2"/>
    <row r="157" hidden="1" x14ac:dyDescent="0.2"/>
    <row r="158" hidden="1" x14ac:dyDescent="0.2"/>
    <row r="159" hidden="1" x14ac:dyDescent="0.2"/>
    <row r="160" hidden="1" x14ac:dyDescent="0.2"/>
    <row r="161" hidden="1" x14ac:dyDescent="0.2"/>
    <row r="162" hidden="1" x14ac:dyDescent="0.2"/>
    <row r="163" hidden="1" x14ac:dyDescent="0.2"/>
    <row r="164" hidden="1" x14ac:dyDescent="0.2"/>
    <row r="165" hidden="1" x14ac:dyDescent="0.2"/>
    <row r="166" hidden="1" x14ac:dyDescent="0.2"/>
    <row r="167" hidden="1" x14ac:dyDescent="0.2"/>
    <row r="168" hidden="1" x14ac:dyDescent="0.2"/>
    <row r="169" hidden="1" x14ac:dyDescent="0.2"/>
    <row r="170" hidden="1" x14ac:dyDescent="0.2"/>
    <row r="171" hidden="1" x14ac:dyDescent="0.2"/>
    <row r="172" hidden="1" x14ac:dyDescent="0.2"/>
    <row r="173" hidden="1" x14ac:dyDescent="0.2"/>
    <row r="174" hidden="1" x14ac:dyDescent="0.2"/>
    <row r="175" hidden="1" x14ac:dyDescent="0.2"/>
    <row r="176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hidden="1" x14ac:dyDescent="0.2"/>
    <row r="978" hidden="1" x14ac:dyDescent="0.2"/>
    <row r="979" hidden="1" x14ac:dyDescent="0.2"/>
    <row r="980" hidden="1" x14ac:dyDescent="0.2"/>
    <row r="981" hidden="1" x14ac:dyDescent="0.2"/>
    <row r="982" hidden="1" x14ac:dyDescent="0.2"/>
    <row r="983" hidden="1" x14ac:dyDescent="0.2"/>
    <row r="984" hidden="1" x14ac:dyDescent="0.2"/>
    <row r="985" hidden="1" x14ac:dyDescent="0.2"/>
    <row r="986" hidden="1" x14ac:dyDescent="0.2"/>
    <row r="987" hidden="1" x14ac:dyDescent="0.2"/>
    <row r="988" hidden="1" x14ac:dyDescent="0.2"/>
    <row r="989" hidden="1" x14ac:dyDescent="0.2"/>
    <row r="990" hidden="1" x14ac:dyDescent="0.2"/>
    <row r="991" hidden="1" x14ac:dyDescent="0.2"/>
    <row r="992" hidden="1" x14ac:dyDescent="0.2"/>
    <row r="993" hidden="1" x14ac:dyDescent="0.2"/>
    <row r="994" hidden="1" x14ac:dyDescent="0.2"/>
    <row r="995" hidden="1" x14ac:dyDescent="0.2"/>
    <row r="996" hidden="1" x14ac:dyDescent="0.2"/>
    <row r="997" hidden="1" x14ac:dyDescent="0.2"/>
    <row r="998" hidden="1" x14ac:dyDescent="0.2"/>
    <row r="999" hidden="1" x14ac:dyDescent="0.2"/>
    <row r="1000" hidden="1" x14ac:dyDescent="0.2"/>
    <row r="1001" hidden="1" x14ac:dyDescent="0.2"/>
    <row r="1002" hidden="1" x14ac:dyDescent="0.2"/>
    <row r="1003" hidden="1" x14ac:dyDescent="0.2"/>
    <row r="1004" hidden="1" x14ac:dyDescent="0.2"/>
    <row r="1005" hidden="1" x14ac:dyDescent="0.2"/>
    <row r="1006" hidden="1" x14ac:dyDescent="0.2"/>
    <row r="1007" hidden="1" x14ac:dyDescent="0.2"/>
    <row r="1008" hidden="1" x14ac:dyDescent="0.2"/>
    <row r="1009" hidden="1" x14ac:dyDescent="0.2"/>
    <row r="1010" hidden="1" x14ac:dyDescent="0.2"/>
    <row r="1011" hidden="1" x14ac:dyDescent="0.2"/>
    <row r="1012" hidden="1" x14ac:dyDescent="0.2"/>
    <row r="1013" hidden="1" x14ac:dyDescent="0.2"/>
    <row r="1014" hidden="1" x14ac:dyDescent="0.2"/>
    <row r="1015" hidden="1" x14ac:dyDescent="0.2"/>
    <row r="1016" hidden="1" x14ac:dyDescent="0.2"/>
    <row r="1017" hidden="1" x14ac:dyDescent="0.2"/>
    <row r="1018" hidden="1" x14ac:dyDescent="0.2"/>
    <row r="1019" hidden="1" x14ac:dyDescent="0.2"/>
    <row r="1020" hidden="1" x14ac:dyDescent="0.2"/>
    <row r="1021" hidden="1" x14ac:dyDescent="0.2"/>
    <row r="1022" hidden="1" x14ac:dyDescent="0.2"/>
    <row r="1023" hidden="1" x14ac:dyDescent="0.2"/>
    <row r="1024" hidden="1" x14ac:dyDescent="0.2"/>
    <row r="1025" hidden="1" x14ac:dyDescent="0.2"/>
    <row r="1026" hidden="1" x14ac:dyDescent="0.2"/>
    <row r="1027" hidden="1" x14ac:dyDescent="0.2"/>
    <row r="1028" hidden="1" x14ac:dyDescent="0.2"/>
    <row r="1029" hidden="1" x14ac:dyDescent="0.2"/>
    <row r="1030" hidden="1" x14ac:dyDescent="0.2"/>
    <row r="1031" hidden="1" x14ac:dyDescent="0.2"/>
    <row r="1032" hidden="1" x14ac:dyDescent="0.2"/>
    <row r="1033" hidden="1" x14ac:dyDescent="0.2"/>
    <row r="1034" hidden="1" x14ac:dyDescent="0.2"/>
    <row r="1035" hidden="1" x14ac:dyDescent="0.2"/>
    <row r="1036" hidden="1" x14ac:dyDescent="0.2"/>
    <row r="1037" hidden="1" x14ac:dyDescent="0.2"/>
    <row r="1038" hidden="1" x14ac:dyDescent="0.2"/>
    <row r="1039" hidden="1" x14ac:dyDescent="0.2"/>
    <row r="1040" hidden="1" x14ac:dyDescent="0.2"/>
    <row r="1041" hidden="1" x14ac:dyDescent="0.2"/>
    <row r="1042" hidden="1" x14ac:dyDescent="0.2"/>
    <row r="1043" hidden="1" x14ac:dyDescent="0.2"/>
    <row r="1044" hidden="1" x14ac:dyDescent="0.2"/>
    <row r="1045" hidden="1" x14ac:dyDescent="0.2"/>
    <row r="1046" hidden="1" x14ac:dyDescent="0.2"/>
    <row r="1047" hidden="1" x14ac:dyDescent="0.2"/>
    <row r="1048" hidden="1" x14ac:dyDescent="0.2"/>
    <row r="1049" hidden="1" x14ac:dyDescent="0.2"/>
    <row r="1050" hidden="1" x14ac:dyDescent="0.2"/>
    <row r="1051" hidden="1" x14ac:dyDescent="0.2"/>
    <row r="1052" hidden="1" x14ac:dyDescent="0.2"/>
    <row r="1053" hidden="1" x14ac:dyDescent="0.2"/>
    <row r="1054" hidden="1" x14ac:dyDescent="0.2"/>
    <row r="1055" hidden="1" x14ac:dyDescent="0.2"/>
    <row r="1056" hidden="1" x14ac:dyDescent="0.2"/>
    <row r="1057" hidden="1" x14ac:dyDescent="0.2"/>
    <row r="1058" hidden="1" x14ac:dyDescent="0.2"/>
    <row r="1059" hidden="1" x14ac:dyDescent="0.2"/>
    <row r="1060" hidden="1" x14ac:dyDescent="0.2"/>
    <row r="1061" hidden="1" x14ac:dyDescent="0.2"/>
    <row r="1062" hidden="1" x14ac:dyDescent="0.2"/>
    <row r="1063" hidden="1" x14ac:dyDescent="0.2"/>
    <row r="1064" hidden="1" x14ac:dyDescent="0.2"/>
    <row r="1065" hidden="1" x14ac:dyDescent="0.2"/>
    <row r="1066" hidden="1" x14ac:dyDescent="0.2"/>
    <row r="1067" hidden="1" x14ac:dyDescent="0.2"/>
    <row r="1068" hidden="1" x14ac:dyDescent="0.2"/>
    <row r="1069" hidden="1" x14ac:dyDescent="0.2"/>
    <row r="1070" hidden="1" x14ac:dyDescent="0.2"/>
    <row r="1071" hidden="1" x14ac:dyDescent="0.2"/>
    <row r="1072" hidden="1" x14ac:dyDescent="0.2"/>
    <row r="1073" hidden="1" x14ac:dyDescent="0.2"/>
    <row r="1074" hidden="1" x14ac:dyDescent="0.2"/>
    <row r="1075" hidden="1" x14ac:dyDescent="0.2"/>
    <row r="1076" hidden="1" x14ac:dyDescent="0.2"/>
    <row r="1077" hidden="1" x14ac:dyDescent="0.2"/>
    <row r="1078" hidden="1" x14ac:dyDescent="0.2"/>
    <row r="1079" hidden="1" x14ac:dyDescent="0.2"/>
    <row r="1080" hidden="1" x14ac:dyDescent="0.2"/>
    <row r="1081" hidden="1" x14ac:dyDescent="0.2"/>
    <row r="1082" hidden="1" x14ac:dyDescent="0.2"/>
    <row r="1083" hidden="1" x14ac:dyDescent="0.2"/>
    <row r="1084" hidden="1" x14ac:dyDescent="0.2"/>
    <row r="1085" hidden="1" x14ac:dyDescent="0.2"/>
    <row r="1086" hidden="1" x14ac:dyDescent="0.2"/>
    <row r="1087" hidden="1" x14ac:dyDescent="0.2"/>
    <row r="1088" hidden="1" x14ac:dyDescent="0.2"/>
    <row r="1089" hidden="1" x14ac:dyDescent="0.2"/>
    <row r="1090" hidden="1" x14ac:dyDescent="0.2"/>
    <row r="1091" hidden="1" x14ac:dyDescent="0.2"/>
    <row r="1092" hidden="1" x14ac:dyDescent="0.2"/>
    <row r="1093" hidden="1" x14ac:dyDescent="0.2"/>
    <row r="1094" hidden="1" x14ac:dyDescent="0.2"/>
    <row r="1095" hidden="1" x14ac:dyDescent="0.2"/>
    <row r="1096" hidden="1" x14ac:dyDescent="0.2"/>
    <row r="1097" hidden="1" x14ac:dyDescent="0.2"/>
    <row r="1098" hidden="1" x14ac:dyDescent="0.2"/>
    <row r="1099" hidden="1" x14ac:dyDescent="0.2"/>
    <row r="1100" hidden="1" x14ac:dyDescent="0.2"/>
    <row r="1101" hidden="1" x14ac:dyDescent="0.2"/>
    <row r="1102" hidden="1" x14ac:dyDescent="0.2"/>
    <row r="1103" hidden="1" x14ac:dyDescent="0.2"/>
    <row r="1104" hidden="1" x14ac:dyDescent="0.2"/>
    <row r="1105" hidden="1" x14ac:dyDescent="0.2"/>
    <row r="1106" hidden="1" x14ac:dyDescent="0.2"/>
    <row r="1107" hidden="1" x14ac:dyDescent="0.2"/>
    <row r="1108" hidden="1" x14ac:dyDescent="0.2"/>
    <row r="1109" hidden="1" x14ac:dyDescent="0.2"/>
    <row r="1110" hidden="1" x14ac:dyDescent="0.2"/>
    <row r="1111" hidden="1" x14ac:dyDescent="0.2"/>
    <row r="1112" hidden="1" x14ac:dyDescent="0.2"/>
    <row r="1113" hidden="1" x14ac:dyDescent="0.2"/>
    <row r="1114" hidden="1" x14ac:dyDescent="0.2"/>
    <row r="1115" hidden="1" x14ac:dyDescent="0.2"/>
    <row r="1116" hidden="1" x14ac:dyDescent="0.2"/>
    <row r="1117" hidden="1" x14ac:dyDescent="0.2"/>
    <row r="1118" hidden="1" x14ac:dyDescent="0.2"/>
    <row r="1119" hidden="1" x14ac:dyDescent="0.2"/>
    <row r="1120" hidden="1" x14ac:dyDescent="0.2"/>
    <row r="1121" hidden="1" x14ac:dyDescent="0.2"/>
    <row r="1122" hidden="1" x14ac:dyDescent="0.2"/>
    <row r="1123" hidden="1" x14ac:dyDescent="0.2"/>
    <row r="1124" hidden="1" x14ac:dyDescent="0.2"/>
    <row r="1125" hidden="1" x14ac:dyDescent="0.2"/>
    <row r="1126" hidden="1" x14ac:dyDescent="0.2"/>
    <row r="1127" hidden="1" x14ac:dyDescent="0.2"/>
    <row r="1128" hidden="1" x14ac:dyDescent="0.2"/>
    <row r="1129" hidden="1" x14ac:dyDescent="0.2"/>
    <row r="1130" hidden="1" x14ac:dyDescent="0.2"/>
    <row r="1131" hidden="1" x14ac:dyDescent="0.2"/>
    <row r="1132" hidden="1" x14ac:dyDescent="0.2"/>
    <row r="1133" hidden="1" x14ac:dyDescent="0.2"/>
    <row r="1134" hidden="1" x14ac:dyDescent="0.2"/>
    <row r="1135" hidden="1" x14ac:dyDescent="0.2"/>
    <row r="1136" hidden="1" x14ac:dyDescent="0.2"/>
    <row r="1137" hidden="1" x14ac:dyDescent="0.2"/>
    <row r="1138" hidden="1" x14ac:dyDescent="0.2"/>
    <row r="1139" hidden="1" x14ac:dyDescent="0.2"/>
    <row r="1140" hidden="1" x14ac:dyDescent="0.2"/>
    <row r="1141" hidden="1" x14ac:dyDescent="0.2"/>
    <row r="1142" hidden="1" x14ac:dyDescent="0.2"/>
    <row r="1143" hidden="1" x14ac:dyDescent="0.2"/>
    <row r="1144" hidden="1" x14ac:dyDescent="0.2"/>
    <row r="1145" hidden="1" x14ac:dyDescent="0.2"/>
    <row r="1146" hidden="1" x14ac:dyDescent="0.2"/>
    <row r="1147" hidden="1" x14ac:dyDescent="0.2"/>
    <row r="1148" hidden="1" x14ac:dyDescent="0.2"/>
    <row r="1149" hidden="1" x14ac:dyDescent="0.2"/>
    <row r="1150" hidden="1" x14ac:dyDescent="0.2"/>
    <row r="1151" hidden="1" x14ac:dyDescent="0.2"/>
    <row r="1152" hidden="1" x14ac:dyDescent="0.2"/>
    <row r="1153" hidden="1" x14ac:dyDescent="0.2"/>
    <row r="1154" hidden="1" x14ac:dyDescent="0.2"/>
    <row r="1155" hidden="1" x14ac:dyDescent="0.2"/>
    <row r="1156" hidden="1" x14ac:dyDescent="0.2"/>
    <row r="1157" hidden="1" x14ac:dyDescent="0.2"/>
    <row r="1158" hidden="1" x14ac:dyDescent="0.2"/>
    <row r="1159" hidden="1" x14ac:dyDescent="0.2"/>
    <row r="1160" hidden="1" x14ac:dyDescent="0.2"/>
    <row r="1161" hidden="1" x14ac:dyDescent="0.2"/>
    <row r="1162" hidden="1" x14ac:dyDescent="0.2"/>
    <row r="1163" hidden="1" x14ac:dyDescent="0.2"/>
    <row r="1164" hidden="1" x14ac:dyDescent="0.2"/>
    <row r="1165" hidden="1" x14ac:dyDescent="0.2"/>
    <row r="1166" hidden="1" x14ac:dyDescent="0.2"/>
    <row r="1167" hidden="1" x14ac:dyDescent="0.2"/>
    <row r="1168" hidden="1" x14ac:dyDescent="0.2"/>
    <row r="1169" hidden="1" x14ac:dyDescent="0.2"/>
    <row r="1170" hidden="1" x14ac:dyDescent="0.2"/>
    <row r="1171" hidden="1" x14ac:dyDescent="0.2"/>
    <row r="1172" hidden="1" x14ac:dyDescent="0.2"/>
    <row r="1173" hidden="1" x14ac:dyDescent="0.2"/>
    <row r="1174" hidden="1" x14ac:dyDescent="0.2"/>
    <row r="1175" hidden="1" x14ac:dyDescent="0.2"/>
    <row r="1176" hidden="1" x14ac:dyDescent="0.2"/>
    <row r="1177" hidden="1" x14ac:dyDescent="0.2"/>
    <row r="1178" hidden="1" x14ac:dyDescent="0.2"/>
    <row r="1179" hidden="1" x14ac:dyDescent="0.2"/>
    <row r="1180" hidden="1" x14ac:dyDescent="0.2"/>
    <row r="1181" hidden="1" x14ac:dyDescent="0.2"/>
    <row r="1182" hidden="1" x14ac:dyDescent="0.2"/>
    <row r="1183" hidden="1" x14ac:dyDescent="0.2"/>
    <row r="1184" hidden="1" x14ac:dyDescent="0.2"/>
    <row r="1185" hidden="1" x14ac:dyDescent="0.2"/>
    <row r="1186" hidden="1" x14ac:dyDescent="0.2"/>
    <row r="1187" hidden="1" x14ac:dyDescent="0.2"/>
    <row r="1188" hidden="1" x14ac:dyDescent="0.2"/>
    <row r="1189" hidden="1" x14ac:dyDescent="0.2"/>
    <row r="1190" hidden="1" x14ac:dyDescent="0.2"/>
    <row r="1191" hidden="1" x14ac:dyDescent="0.2"/>
    <row r="1192" hidden="1" x14ac:dyDescent="0.2"/>
    <row r="1193" hidden="1" x14ac:dyDescent="0.2"/>
    <row r="1194" hidden="1" x14ac:dyDescent="0.2"/>
    <row r="1195" hidden="1" x14ac:dyDescent="0.2"/>
    <row r="1196" hidden="1" x14ac:dyDescent="0.2"/>
    <row r="1197" hidden="1" x14ac:dyDescent="0.2"/>
    <row r="1198" hidden="1" x14ac:dyDescent="0.2"/>
    <row r="1199" hidden="1" x14ac:dyDescent="0.2"/>
    <row r="1200" hidden="1" x14ac:dyDescent="0.2"/>
    <row r="1201" hidden="1" x14ac:dyDescent="0.2"/>
    <row r="1202" hidden="1" x14ac:dyDescent="0.2"/>
    <row r="1203" hidden="1" x14ac:dyDescent="0.2"/>
    <row r="1204" hidden="1" x14ac:dyDescent="0.2"/>
    <row r="1205" hidden="1" x14ac:dyDescent="0.2"/>
    <row r="1206" hidden="1" x14ac:dyDescent="0.2"/>
    <row r="1207" hidden="1" x14ac:dyDescent="0.2"/>
    <row r="1208" hidden="1" x14ac:dyDescent="0.2"/>
    <row r="1209" hidden="1" x14ac:dyDescent="0.2"/>
    <row r="1210" hidden="1" x14ac:dyDescent="0.2"/>
    <row r="1211" hidden="1" x14ac:dyDescent="0.2"/>
    <row r="1212" hidden="1" x14ac:dyDescent="0.2"/>
    <row r="1213" hidden="1" x14ac:dyDescent="0.2"/>
    <row r="1214" hidden="1" x14ac:dyDescent="0.2"/>
    <row r="1215" hidden="1" x14ac:dyDescent="0.2"/>
    <row r="1216" hidden="1" x14ac:dyDescent="0.2"/>
    <row r="1217" hidden="1" x14ac:dyDescent="0.2"/>
    <row r="1218" hidden="1" x14ac:dyDescent="0.2"/>
    <row r="1219" hidden="1" x14ac:dyDescent="0.2"/>
    <row r="1220" hidden="1" x14ac:dyDescent="0.2"/>
    <row r="1221" hidden="1" x14ac:dyDescent="0.2"/>
    <row r="1222" hidden="1" x14ac:dyDescent="0.2"/>
    <row r="1223" hidden="1" x14ac:dyDescent="0.2"/>
    <row r="1224" hidden="1" x14ac:dyDescent="0.2"/>
    <row r="1225" hidden="1" x14ac:dyDescent="0.2"/>
    <row r="1226" hidden="1" x14ac:dyDescent="0.2"/>
    <row r="1227" hidden="1" x14ac:dyDescent="0.2"/>
    <row r="1228" hidden="1" x14ac:dyDescent="0.2"/>
    <row r="1229" hidden="1" x14ac:dyDescent="0.2"/>
    <row r="1230" hidden="1" x14ac:dyDescent="0.2"/>
    <row r="1231" hidden="1" x14ac:dyDescent="0.2"/>
    <row r="1232" hidden="1" x14ac:dyDescent="0.2"/>
    <row r="1233" hidden="1" x14ac:dyDescent="0.2"/>
    <row r="1234" hidden="1" x14ac:dyDescent="0.2"/>
    <row r="1235" hidden="1" x14ac:dyDescent="0.2"/>
    <row r="1236" hidden="1" x14ac:dyDescent="0.2"/>
    <row r="1237" hidden="1" x14ac:dyDescent="0.2"/>
    <row r="1238" hidden="1" x14ac:dyDescent="0.2"/>
    <row r="1239" hidden="1" x14ac:dyDescent="0.2"/>
    <row r="1240" hidden="1" x14ac:dyDescent="0.2"/>
    <row r="1241" hidden="1" x14ac:dyDescent="0.2"/>
    <row r="1242" hidden="1" x14ac:dyDescent="0.2"/>
    <row r="1243" hidden="1" x14ac:dyDescent="0.2"/>
    <row r="1244" hidden="1" x14ac:dyDescent="0.2"/>
    <row r="1245" hidden="1" x14ac:dyDescent="0.2"/>
    <row r="1246" hidden="1" x14ac:dyDescent="0.2"/>
    <row r="1247" hidden="1" x14ac:dyDescent="0.2"/>
    <row r="1248" hidden="1" x14ac:dyDescent="0.2"/>
    <row r="1249" hidden="1" x14ac:dyDescent="0.2"/>
    <row r="1250" hidden="1" x14ac:dyDescent="0.2"/>
    <row r="1251" hidden="1" x14ac:dyDescent="0.2"/>
    <row r="1252" hidden="1" x14ac:dyDescent="0.2"/>
    <row r="1253" hidden="1" x14ac:dyDescent="0.2"/>
    <row r="1254" hidden="1" x14ac:dyDescent="0.2"/>
    <row r="1255" hidden="1" x14ac:dyDescent="0.2"/>
    <row r="1256" hidden="1" x14ac:dyDescent="0.2"/>
    <row r="1257" hidden="1" x14ac:dyDescent="0.2"/>
    <row r="1258" hidden="1" x14ac:dyDescent="0.2"/>
    <row r="1259" hidden="1" x14ac:dyDescent="0.2"/>
    <row r="1260" hidden="1" x14ac:dyDescent="0.2"/>
    <row r="1261" hidden="1" x14ac:dyDescent="0.2"/>
    <row r="1262" hidden="1" x14ac:dyDescent="0.2"/>
    <row r="1263" hidden="1" x14ac:dyDescent="0.2"/>
    <row r="1264" hidden="1" x14ac:dyDescent="0.2"/>
    <row r="1265" hidden="1" x14ac:dyDescent="0.2"/>
    <row r="1266" hidden="1" x14ac:dyDescent="0.2"/>
    <row r="1267" hidden="1" x14ac:dyDescent="0.2"/>
    <row r="1268" hidden="1" x14ac:dyDescent="0.2"/>
    <row r="1269" hidden="1" x14ac:dyDescent="0.2"/>
    <row r="1270" hidden="1" x14ac:dyDescent="0.2"/>
    <row r="1271" hidden="1" x14ac:dyDescent="0.2"/>
    <row r="1272" hidden="1" x14ac:dyDescent="0.2"/>
    <row r="1273" hidden="1" x14ac:dyDescent="0.2"/>
    <row r="1274" hidden="1" x14ac:dyDescent="0.2"/>
    <row r="1275" hidden="1" x14ac:dyDescent="0.2"/>
    <row r="1276" hidden="1" x14ac:dyDescent="0.2"/>
    <row r="1277" hidden="1" x14ac:dyDescent="0.2"/>
    <row r="1278" hidden="1" x14ac:dyDescent="0.2"/>
    <row r="1279" hidden="1" x14ac:dyDescent="0.2"/>
    <row r="1280" hidden="1" x14ac:dyDescent="0.2"/>
    <row r="1281" hidden="1" x14ac:dyDescent="0.2"/>
    <row r="1282" hidden="1" x14ac:dyDescent="0.2"/>
    <row r="1283" hidden="1" x14ac:dyDescent="0.2"/>
    <row r="1284" hidden="1" x14ac:dyDescent="0.2"/>
    <row r="1285" hidden="1" x14ac:dyDescent="0.2"/>
    <row r="1286" hidden="1" x14ac:dyDescent="0.2"/>
    <row r="1287" hidden="1" x14ac:dyDescent="0.2"/>
    <row r="1288" hidden="1" x14ac:dyDescent="0.2"/>
    <row r="1289" hidden="1" x14ac:dyDescent="0.2"/>
    <row r="1290" hidden="1" x14ac:dyDescent="0.2"/>
    <row r="1291" hidden="1" x14ac:dyDescent="0.2"/>
    <row r="1292" hidden="1" x14ac:dyDescent="0.2"/>
    <row r="1293" hidden="1" x14ac:dyDescent="0.2"/>
    <row r="1294" hidden="1" x14ac:dyDescent="0.2"/>
    <row r="1295" hidden="1" x14ac:dyDescent="0.2"/>
    <row r="1296" hidden="1" x14ac:dyDescent="0.2"/>
    <row r="1297" hidden="1" x14ac:dyDescent="0.2"/>
    <row r="1298" hidden="1" x14ac:dyDescent="0.2"/>
    <row r="1299" hidden="1" x14ac:dyDescent="0.2"/>
    <row r="1300" hidden="1" x14ac:dyDescent="0.2"/>
    <row r="1301" hidden="1" x14ac:dyDescent="0.2"/>
    <row r="1302" hidden="1" x14ac:dyDescent="0.2"/>
    <row r="1303" hidden="1" x14ac:dyDescent="0.2"/>
    <row r="1304" hidden="1" x14ac:dyDescent="0.2"/>
    <row r="1305" hidden="1" x14ac:dyDescent="0.2"/>
    <row r="1306" hidden="1" x14ac:dyDescent="0.2"/>
    <row r="1307" hidden="1" x14ac:dyDescent="0.2"/>
    <row r="1308" hidden="1" x14ac:dyDescent="0.2"/>
    <row r="1309" hidden="1" x14ac:dyDescent="0.2"/>
    <row r="1310" hidden="1" x14ac:dyDescent="0.2"/>
    <row r="1311" hidden="1" x14ac:dyDescent="0.2"/>
    <row r="1312" hidden="1" x14ac:dyDescent="0.2"/>
    <row r="1313" hidden="1" x14ac:dyDescent="0.2"/>
    <row r="1314" hidden="1" x14ac:dyDescent="0.2"/>
    <row r="1315" hidden="1" x14ac:dyDescent="0.2"/>
    <row r="1316" hidden="1" x14ac:dyDescent="0.2"/>
    <row r="1317" hidden="1" x14ac:dyDescent="0.2"/>
    <row r="1318" hidden="1" x14ac:dyDescent="0.2"/>
    <row r="1319" hidden="1" x14ac:dyDescent="0.2"/>
    <row r="1320" hidden="1" x14ac:dyDescent="0.2"/>
    <row r="1321" hidden="1" x14ac:dyDescent="0.2"/>
    <row r="1322" hidden="1" x14ac:dyDescent="0.2"/>
    <row r="1323" hidden="1" x14ac:dyDescent="0.2"/>
    <row r="1324" hidden="1" x14ac:dyDescent="0.2"/>
    <row r="1325" hidden="1" x14ac:dyDescent="0.2"/>
    <row r="1326" hidden="1" x14ac:dyDescent="0.2"/>
    <row r="1327" hidden="1" x14ac:dyDescent="0.2"/>
    <row r="1328" hidden="1" x14ac:dyDescent="0.2"/>
    <row r="1329" hidden="1" x14ac:dyDescent="0.2"/>
    <row r="1330" hidden="1" x14ac:dyDescent="0.2"/>
    <row r="1331" hidden="1" x14ac:dyDescent="0.2"/>
    <row r="1332" hidden="1" x14ac:dyDescent="0.2"/>
    <row r="1333" hidden="1" x14ac:dyDescent="0.2"/>
    <row r="1334" hidden="1" x14ac:dyDescent="0.2"/>
    <row r="1335" hidden="1" x14ac:dyDescent="0.2"/>
    <row r="1336" hidden="1" x14ac:dyDescent="0.2"/>
    <row r="1337" hidden="1" x14ac:dyDescent="0.2"/>
    <row r="1338" hidden="1" x14ac:dyDescent="0.2"/>
    <row r="1339" hidden="1" x14ac:dyDescent="0.2"/>
    <row r="1340" hidden="1" x14ac:dyDescent="0.2"/>
    <row r="1341" hidden="1" x14ac:dyDescent="0.2"/>
    <row r="1342" hidden="1" x14ac:dyDescent="0.2"/>
    <row r="1343" hidden="1" x14ac:dyDescent="0.2"/>
    <row r="1344" hidden="1" x14ac:dyDescent="0.2"/>
    <row r="1345" hidden="1" x14ac:dyDescent="0.2"/>
    <row r="1346" hidden="1" x14ac:dyDescent="0.2"/>
    <row r="1347" hidden="1" x14ac:dyDescent="0.2"/>
    <row r="1348" hidden="1" x14ac:dyDescent="0.2"/>
    <row r="1349" hidden="1" x14ac:dyDescent="0.2"/>
    <row r="1350" hidden="1" x14ac:dyDescent="0.2"/>
    <row r="1351" hidden="1" x14ac:dyDescent="0.2"/>
    <row r="1352" hidden="1" x14ac:dyDescent="0.2"/>
    <row r="1353" hidden="1" x14ac:dyDescent="0.2"/>
    <row r="1354" hidden="1" x14ac:dyDescent="0.2"/>
    <row r="1355" hidden="1" x14ac:dyDescent="0.2"/>
    <row r="1356" hidden="1" x14ac:dyDescent="0.2"/>
    <row r="1357" hidden="1" x14ac:dyDescent="0.2"/>
    <row r="1358" hidden="1" x14ac:dyDescent="0.2"/>
    <row r="1359" hidden="1" x14ac:dyDescent="0.2"/>
    <row r="1360" hidden="1" x14ac:dyDescent="0.2"/>
    <row r="1361" hidden="1" x14ac:dyDescent="0.2"/>
    <row r="1362" hidden="1" x14ac:dyDescent="0.2"/>
    <row r="1363" hidden="1" x14ac:dyDescent="0.2"/>
    <row r="1364" hidden="1" x14ac:dyDescent="0.2"/>
    <row r="1365" hidden="1" x14ac:dyDescent="0.2"/>
    <row r="1366" hidden="1" x14ac:dyDescent="0.2"/>
    <row r="1367" hidden="1" x14ac:dyDescent="0.2"/>
    <row r="1368" hidden="1" x14ac:dyDescent="0.2"/>
    <row r="1369" hidden="1" x14ac:dyDescent="0.2"/>
    <row r="1370" hidden="1" x14ac:dyDescent="0.2"/>
    <row r="1371" hidden="1" x14ac:dyDescent="0.2"/>
    <row r="1372" hidden="1" x14ac:dyDescent="0.2"/>
    <row r="1373" hidden="1" x14ac:dyDescent="0.2"/>
    <row r="1374" hidden="1" x14ac:dyDescent="0.2"/>
    <row r="1375" hidden="1" x14ac:dyDescent="0.2"/>
    <row r="1376" hidden="1" x14ac:dyDescent="0.2"/>
    <row r="1377" hidden="1" x14ac:dyDescent="0.2"/>
    <row r="1378" hidden="1" x14ac:dyDescent="0.2"/>
    <row r="1379" hidden="1" x14ac:dyDescent="0.2"/>
    <row r="1380" hidden="1" x14ac:dyDescent="0.2"/>
    <row r="1381" hidden="1" x14ac:dyDescent="0.2"/>
    <row r="1382" hidden="1" x14ac:dyDescent="0.2"/>
    <row r="1383" hidden="1" x14ac:dyDescent="0.2"/>
    <row r="1384" hidden="1" x14ac:dyDescent="0.2"/>
    <row r="1385" hidden="1" x14ac:dyDescent="0.2"/>
    <row r="1386" hidden="1" x14ac:dyDescent="0.2"/>
    <row r="1387" hidden="1" x14ac:dyDescent="0.2"/>
    <row r="1388" hidden="1" x14ac:dyDescent="0.2"/>
    <row r="1389" hidden="1" x14ac:dyDescent="0.2"/>
    <row r="1390" hidden="1" x14ac:dyDescent="0.2"/>
    <row r="1391" hidden="1" x14ac:dyDescent="0.2"/>
    <row r="1392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  <row r="1401" hidden="1" x14ac:dyDescent="0.2"/>
    <row r="1402" hidden="1" x14ac:dyDescent="0.2"/>
    <row r="1403" hidden="1" x14ac:dyDescent="0.2"/>
    <row r="1404" hidden="1" x14ac:dyDescent="0.2"/>
    <row r="1405" hidden="1" x14ac:dyDescent="0.2"/>
    <row r="1406" hidden="1" x14ac:dyDescent="0.2"/>
    <row r="1407" hidden="1" x14ac:dyDescent="0.2"/>
    <row r="1408" hidden="1" x14ac:dyDescent="0.2"/>
    <row r="1409" hidden="1" x14ac:dyDescent="0.2"/>
    <row r="1410" hidden="1" x14ac:dyDescent="0.2"/>
    <row r="1411" hidden="1" x14ac:dyDescent="0.2"/>
    <row r="1412" hidden="1" x14ac:dyDescent="0.2"/>
    <row r="1413" hidden="1" x14ac:dyDescent="0.2"/>
    <row r="1414" hidden="1" x14ac:dyDescent="0.2"/>
    <row r="1415" hidden="1" x14ac:dyDescent="0.2"/>
    <row r="1416" hidden="1" x14ac:dyDescent="0.2"/>
    <row r="1417" hidden="1" x14ac:dyDescent="0.2"/>
    <row r="1418" hidden="1" x14ac:dyDescent="0.2"/>
    <row r="1419" hidden="1" x14ac:dyDescent="0.2"/>
    <row r="1420" hidden="1" x14ac:dyDescent="0.2"/>
    <row r="1421" hidden="1" x14ac:dyDescent="0.2"/>
    <row r="1422" hidden="1" x14ac:dyDescent="0.2"/>
    <row r="1423" hidden="1" x14ac:dyDescent="0.2"/>
    <row r="1424" hidden="1" x14ac:dyDescent="0.2"/>
    <row r="1425" hidden="1" x14ac:dyDescent="0.2"/>
    <row r="1426" hidden="1" x14ac:dyDescent="0.2"/>
    <row r="1427" hidden="1" x14ac:dyDescent="0.2"/>
    <row r="1428" hidden="1" x14ac:dyDescent="0.2"/>
    <row r="1429" hidden="1" x14ac:dyDescent="0.2"/>
    <row r="1430" hidden="1" x14ac:dyDescent="0.2"/>
    <row r="1431" hidden="1" x14ac:dyDescent="0.2"/>
    <row r="1432" hidden="1" x14ac:dyDescent="0.2"/>
    <row r="1433" hidden="1" x14ac:dyDescent="0.2"/>
    <row r="1434" hidden="1" x14ac:dyDescent="0.2"/>
    <row r="1435" hidden="1" x14ac:dyDescent="0.2"/>
    <row r="1436" hidden="1" x14ac:dyDescent="0.2"/>
    <row r="1437" hidden="1" x14ac:dyDescent="0.2"/>
    <row r="1438" hidden="1" x14ac:dyDescent="0.2"/>
    <row r="1439" hidden="1" x14ac:dyDescent="0.2"/>
    <row r="1440" hidden="1" x14ac:dyDescent="0.2"/>
    <row r="1441" hidden="1" x14ac:dyDescent="0.2"/>
    <row r="1442" hidden="1" x14ac:dyDescent="0.2"/>
    <row r="1443" hidden="1" x14ac:dyDescent="0.2"/>
    <row r="1444" hidden="1" x14ac:dyDescent="0.2"/>
    <row r="1445" hidden="1" x14ac:dyDescent="0.2"/>
    <row r="1446" hidden="1" x14ac:dyDescent="0.2"/>
    <row r="1447" hidden="1" x14ac:dyDescent="0.2"/>
    <row r="1448" hidden="1" x14ac:dyDescent="0.2"/>
    <row r="1449" hidden="1" x14ac:dyDescent="0.2"/>
    <row r="1450" hidden="1" x14ac:dyDescent="0.2"/>
    <row r="1451" hidden="1" x14ac:dyDescent="0.2"/>
    <row r="1452" hidden="1" x14ac:dyDescent="0.2"/>
    <row r="1453" hidden="1" x14ac:dyDescent="0.2"/>
    <row r="1454" hidden="1" x14ac:dyDescent="0.2"/>
    <row r="1455" hidden="1" x14ac:dyDescent="0.2"/>
    <row r="1456" hidden="1" x14ac:dyDescent="0.2"/>
    <row r="1457" hidden="1" x14ac:dyDescent="0.2"/>
    <row r="1458" hidden="1" x14ac:dyDescent="0.2"/>
    <row r="1459" hidden="1" x14ac:dyDescent="0.2"/>
    <row r="1460" hidden="1" x14ac:dyDescent="0.2"/>
    <row r="1461" hidden="1" x14ac:dyDescent="0.2"/>
    <row r="1462" hidden="1" x14ac:dyDescent="0.2"/>
    <row r="1463" hidden="1" x14ac:dyDescent="0.2"/>
    <row r="1464" hidden="1" x14ac:dyDescent="0.2"/>
    <row r="1465" hidden="1" x14ac:dyDescent="0.2"/>
    <row r="1466" hidden="1" x14ac:dyDescent="0.2"/>
    <row r="1467" hidden="1" x14ac:dyDescent="0.2"/>
    <row r="1468" hidden="1" x14ac:dyDescent="0.2"/>
    <row r="1469" hidden="1" x14ac:dyDescent="0.2"/>
    <row r="1470" hidden="1" x14ac:dyDescent="0.2"/>
    <row r="1471" hidden="1" x14ac:dyDescent="0.2"/>
    <row r="1472" hidden="1" x14ac:dyDescent="0.2"/>
    <row r="1473" hidden="1" x14ac:dyDescent="0.2"/>
    <row r="1474" hidden="1" x14ac:dyDescent="0.2"/>
    <row r="1475" hidden="1" x14ac:dyDescent="0.2"/>
    <row r="1476" hidden="1" x14ac:dyDescent="0.2"/>
    <row r="1477" hidden="1" x14ac:dyDescent="0.2"/>
    <row r="1478" hidden="1" x14ac:dyDescent="0.2"/>
    <row r="1479" hidden="1" x14ac:dyDescent="0.2"/>
    <row r="1480" hidden="1" x14ac:dyDescent="0.2"/>
    <row r="1481" hidden="1" x14ac:dyDescent="0.2"/>
    <row r="1482" hidden="1" x14ac:dyDescent="0.2"/>
    <row r="1483" hidden="1" x14ac:dyDescent="0.2"/>
    <row r="1484" hidden="1" x14ac:dyDescent="0.2"/>
    <row r="1485" hidden="1" x14ac:dyDescent="0.2"/>
    <row r="1486" hidden="1" x14ac:dyDescent="0.2"/>
    <row r="1487" hidden="1" x14ac:dyDescent="0.2"/>
    <row r="1488" hidden="1" x14ac:dyDescent="0.2"/>
    <row r="1489" hidden="1" x14ac:dyDescent="0.2"/>
    <row r="1490" hidden="1" x14ac:dyDescent="0.2"/>
    <row r="1491" hidden="1" x14ac:dyDescent="0.2"/>
    <row r="1492" hidden="1" x14ac:dyDescent="0.2"/>
    <row r="1493" hidden="1" x14ac:dyDescent="0.2"/>
    <row r="1494" hidden="1" x14ac:dyDescent="0.2"/>
    <row r="1495" hidden="1" x14ac:dyDescent="0.2"/>
    <row r="1496" hidden="1" x14ac:dyDescent="0.2"/>
    <row r="1497" hidden="1" x14ac:dyDescent="0.2"/>
    <row r="1498" hidden="1" x14ac:dyDescent="0.2"/>
    <row r="1499" hidden="1" x14ac:dyDescent="0.2"/>
    <row r="1500" hidden="1" x14ac:dyDescent="0.2"/>
    <row r="1501" hidden="1" x14ac:dyDescent="0.2"/>
    <row r="1502" hidden="1" x14ac:dyDescent="0.2"/>
    <row r="1503" hidden="1" x14ac:dyDescent="0.2"/>
    <row r="1504" hidden="1" x14ac:dyDescent="0.2"/>
    <row r="1505" hidden="1" x14ac:dyDescent="0.2"/>
    <row r="1506" hidden="1" x14ac:dyDescent="0.2"/>
    <row r="1507" hidden="1" x14ac:dyDescent="0.2"/>
    <row r="1508" hidden="1" x14ac:dyDescent="0.2"/>
    <row r="1509" hidden="1" x14ac:dyDescent="0.2"/>
    <row r="1510" hidden="1" x14ac:dyDescent="0.2"/>
    <row r="1511" hidden="1" x14ac:dyDescent="0.2"/>
    <row r="1512" hidden="1" x14ac:dyDescent="0.2"/>
    <row r="1513" hidden="1" x14ac:dyDescent="0.2"/>
    <row r="1514" hidden="1" x14ac:dyDescent="0.2"/>
    <row r="1515" hidden="1" x14ac:dyDescent="0.2"/>
    <row r="1516" hidden="1" x14ac:dyDescent="0.2"/>
    <row r="1517" hidden="1" x14ac:dyDescent="0.2"/>
    <row r="1518" hidden="1" x14ac:dyDescent="0.2"/>
    <row r="1519" hidden="1" x14ac:dyDescent="0.2"/>
    <row r="1520" hidden="1" x14ac:dyDescent="0.2"/>
    <row r="1521" hidden="1" x14ac:dyDescent="0.2"/>
    <row r="1522" hidden="1" x14ac:dyDescent="0.2"/>
    <row r="1523" hidden="1" x14ac:dyDescent="0.2"/>
    <row r="1524" hidden="1" x14ac:dyDescent="0.2"/>
    <row r="1525" hidden="1" x14ac:dyDescent="0.2"/>
    <row r="1526" hidden="1" x14ac:dyDescent="0.2"/>
    <row r="1527" hidden="1" x14ac:dyDescent="0.2"/>
    <row r="1528" hidden="1" x14ac:dyDescent="0.2"/>
    <row r="1529" hidden="1" x14ac:dyDescent="0.2"/>
    <row r="1530" hidden="1" x14ac:dyDescent="0.2"/>
    <row r="1531" hidden="1" x14ac:dyDescent="0.2"/>
    <row r="1532" hidden="1" x14ac:dyDescent="0.2"/>
    <row r="1533" hidden="1" x14ac:dyDescent="0.2"/>
    <row r="1534" hidden="1" x14ac:dyDescent="0.2"/>
    <row r="1535" hidden="1" x14ac:dyDescent="0.2"/>
    <row r="1536" hidden="1" x14ac:dyDescent="0.2"/>
    <row r="1537" hidden="1" x14ac:dyDescent="0.2"/>
    <row r="1538" hidden="1" x14ac:dyDescent="0.2"/>
    <row r="1539" hidden="1" x14ac:dyDescent="0.2"/>
    <row r="1540" hidden="1" x14ac:dyDescent="0.2"/>
    <row r="1541" hidden="1" x14ac:dyDescent="0.2"/>
    <row r="1542" hidden="1" x14ac:dyDescent="0.2"/>
    <row r="1543" hidden="1" x14ac:dyDescent="0.2"/>
    <row r="1544" hidden="1" x14ac:dyDescent="0.2"/>
    <row r="1545" hidden="1" x14ac:dyDescent="0.2"/>
    <row r="1546" hidden="1" x14ac:dyDescent="0.2"/>
    <row r="1547" hidden="1" x14ac:dyDescent="0.2"/>
    <row r="1548" hidden="1" x14ac:dyDescent="0.2"/>
    <row r="1549" hidden="1" x14ac:dyDescent="0.2"/>
    <row r="1550" hidden="1" x14ac:dyDescent="0.2"/>
    <row r="1551" hidden="1" x14ac:dyDescent="0.2"/>
    <row r="1552" hidden="1" x14ac:dyDescent="0.2"/>
    <row r="1553" hidden="1" x14ac:dyDescent="0.2"/>
    <row r="1554" hidden="1" x14ac:dyDescent="0.2"/>
    <row r="1555" hidden="1" x14ac:dyDescent="0.2"/>
    <row r="1556" hidden="1" x14ac:dyDescent="0.2"/>
    <row r="1557" hidden="1" x14ac:dyDescent="0.2"/>
    <row r="1558" hidden="1" x14ac:dyDescent="0.2"/>
    <row r="1559" hidden="1" x14ac:dyDescent="0.2"/>
    <row r="1560" hidden="1" x14ac:dyDescent="0.2"/>
    <row r="1561" hidden="1" x14ac:dyDescent="0.2"/>
    <row r="1562" hidden="1" x14ac:dyDescent="0.2"/>
    <row r="1563" hidden="1" x14ac:dyDescent="0.2"/>
    <row r="1564" hidden="1" x14ac:dyDescent="0.2"/>
    <row r="1565" hidden="1" x14ac:dyDescent="0.2"/>
    <row r="1566" hidden="1" x14ac:dyDescent="0.2"/>
    <row r="1567" hidden="1" x14ac:dyDescent="0.2"/>
    <row r="1568" hidden="1" x14ac:dyDescent="0.2"/>
    <row r="1569" hidden="1" x14ac:dyDescent="0.2"/>
    <row r="1570" hidden="1" x14ac:dyDescent="0.2"/>
    <row r="1571" hidden="1" x14ac:dyDescent="0.2"/>
    <row r="1572" hidden="1" x14ac:dyDescent="0.2"/>
    <row r="1573" hidden="1" x14ac:dyDescent="0.2"/>
    <row r="1574" hidden="1" x14ac:dyDescent="0.2"/>
    <row r="1575" hidden="1" x14ac:dyDescent="0.2"/>
    <row r="1576" hidden="1" x14ac:dyDescent="0.2"/>
    <row r="1577" hidden="1" x14ac:dyDescent="0.2"/>
    <row r="1578" hidden="1" x14ac:dyDescent="0.2"/>
    <row r="1579" hidden="1" x14ac:dyDescent="0.2"/>
    <row r="1580" hidden="1" x14ac:dyDescent="0.2"/>
    <row r="1581" hidden="1" x14ac:dyDescent="0.2"/>
    <row r="1582" hidden="1" x14ac:dyDescent="0.2"/>
    <row r="1583" hidden="1" x14ac:dyDescent="0.2"/>
    <row r="1584" hidden="1" x14ac:dyDescent="0.2"/>
    <row r="1585" hidden="1" x14ac:dyDescent="0.2"/>
    <row r="1586" hidden="1" x14ac:dyDescent="0.2"/>
    <row r="1587" hidden="1" x14ac:dyDescent="0.2"/>
    <row r="1588" hidden="1" x14ac:dyDescent="0.2"/>
    <row r="1589" hidden="1" x14ac:dyDescent="0.2"/>
    <row r="1590" hidden="1" x14ac:dyDescent="0.2"/>
    <row r="1591" hidden="1" x14ac:dyDescent="0.2"/>
    <row r="1592" hidden="1" x14ac:dyDescent="0.2"/>
    <row r="1593" hidden="1" x14ac:dyDescent="0.2"/>
    <row r="1594" hidden="1" x14ac:dyDescent="0.2"/>
    <row r="1595" hidden="1" x14ac:dyDescent="0.2"/>
    <row r="1596" hidden="1" x14ac:dyDescent="0.2"/>
    <row r="1597" hidden="1" x14ac:dyDescent="0.2"/>
    <row r="1598" hidden="1" x14ac:dyDescent="0.2"/>
    <row r="1599" hidden="1" x14ac:dyDescent="0.2"/>
    <row r="1600" hidden="1" x14ac:dyDescent="0.2"/>
    <row r="1601" hidden="1" x14ac:dyDescent="0.2"/>
    <row r="1602" hidden="1" x14ac:dyDescent="0.2"/>
    <row r="1603" hidden="1" x14ac:dyDescent="0.2"/>
    <row r="1604" hidden="1" x14ac:dyDescent="0.2"/>
    <row r="1605" hidden="1" x14ac:dyDescent="0.2"/>
    <row r="1606" hidden="1" x14ac:dyDescent="0.2"/>
    <row r="1607" hidden="1" x14ac:dyDescent="0.2"/>
    <row r="1608" hidden="1" x14ac:dyDescent="0.2"/>
    <row r="1609" hidden="1" x14ac:dyDescent="0.2"/>
    <row r="1610" hidden="1" x14ac:dyDescent="0.2"/>
    <row r="1611" hidden="1" x14ac:dyDescent="0.2"/>
    <row r="1612" hidden="1" x14ac:dyDescent="0.2"/>
    <row r="1613" hidden="1" x14ac:dyDescent="0.2"/>
    <row r="1614" hidden="1" x14ac:dyDescent="0.2"/>
    <row r="1615" hidden="1" x14ac:dyDescent="0.2"/>
    <row r="1616" hidden="1" x14ac:dyDescent="0.2"/>
    <row r="1617" hidden="1" x14ac:dyDescent="0.2"/>
    <row r="1618" hidden="1" x14ac:dyDescent="0.2"/>
    <row r="1619" hidden="1" x14ac:dyDescent="0.2"/>
    <row r="1620" hidden="1" x14ac:dyDescent="0.2"/>
    <row r="1621" hidden="1" x14ac:dyDescent="0.2"/>
    <row r="1622" hidden="1" x14ac:dyDescent="0.2"/>
    <row r="1623" hidden="1" x14ac:dyDescent="0.2"/>
    <row r="1624" hidden="1" x14ac:dyDescent="0.2"/>
    <row r="1625" hidden="1" x14ac:dyDescent="0.2"/>
    <row r="1626" hidden="1" x14ac:dyDescent="0.2"/>
    <row r="1627" hidden="1" x14ac:dyDescent="0.2"/>
    <row r="1628" hidden="1" x14ac:dyDescent="0.2"/>
    <row r="1629" hidden="1" x14ac:dyDescent="0.2"/>
    <row r="1630" hidden="1" x14ac:dyDescent="0.2"/>
    <row r="1631" hidden="1" x14ac:dyDescent="0.2"/>
    <row r="1632" hidden="1" x14ac:dyDescent="0.2"/>
    <row r="1633" hidden="1" x14ac:dyDescent="0.2"/>
    <row r="1634" hidden="1" x14ac:dyDescent="0.2"/>
    <row r="1635" hidden="1" x14ac:dyDescent="0.2"/>
    <row r="1636" hidden="1" x14ac:dyDescent="0.2"/>
    <row r="1637" hidden="1" x14ac:dyDescent="0.2"/>
    <row r="1638" hidden="1" x14ac:dyDescent="0.2"/>
    <row r="1639" hidden="1" x14ac:dyDescent="0.2"/>
    <row r="1640" hidden="1" x14ac:dyDescent="0.2"/>
    <row r="1641" hidden="1" x14ac:dyDescent="0.2"/>
    <row r="1642" hidden="1" x14ac:dyDescent="0.2"/>
    <row r="1643" hidden="1" x14ac:dyDescent="0.2"/>
    <row r="1644" hidden="1" x14ac:dyDescent="0.2"/>
    <row r="1645" hidden="1" x14ac:dyDescent="0.2"/>
    <row r="1646" hidden="1" x14ac:dyDescent="0.2"/>
    <row r="1647" hidden="1" x14ac:dyDescent="0.2"/>
    <row r="1648" hidden="1" x14ac:dyDescent="0.2"/>
    <row r="1649" hidden="1" x14ac:dyDescent="0.2"/>
    <row r="1650" hidden="1" x14ac:dyDescent="0.2"/>
    <row r="1651" hidden="1" x14ac:dyDescent="0.2"/>
    <row r="1652" hidden="1" x14ac:dyDescent="0.2"/>
    <row r="1653" hidden="1" x14ac:dyDescent="0.2"/>
    <row r="1654" hidden="1" x14ac:dyDescent="0.2"/>
    <row r="1655" hidden="1" x14ac:dyDescent="0.2"/>
    <row r="1656" hidden="1" x14ac:dyDescent="0.2"/>
    <row r="1657" hidden="1" x14ac:dyDescent="0.2"/>
    <row r="1658" hidden="1" x14ac:dyDescent="0.2"/>
    <row r="1659" hidden="1" x14ac:dyDescent="0.2"/>
    <row r="1660" hidden="1" x14ac:dyDescent="0.2"/>
    <row r="1661" hidden="1" x14ac:dyDescent="0.2"/>
    <row r="1662" hidden="1" x14ac:dyDescent="0.2"/>
    <row r="1663" hidden="1" x14ac:dyDescent="0.2"/>
    <row r="1664" hidden="1" x14ac:dyDescent="0.2"/>
    <row r="1665" hidden="1" x14ac:dyDescent="0.2"/>
    <row r="1666" hidden="1" x14ac:dyDescent="0.2"/>
    <row r="1667" hidden="1" x14ac:dyDescent="0.2"/>
    <row r="1668" hidden="1" x14ac:dyDescent="0.2"/>
    <row r="1669" hidden="1" x14ac:dyDescent="0.2"/>
    <row r="1670" hidden="1" x14ac:dyDescent="0.2"/>
    <row r="1671" hidden="1" x14ac:dyDescent="0.2"/>
    <row r="1672" hidden="1" x14ac:dyDescent="0.2"/>
    <row r="1673" hidden="1" x14ac:dyDescent="0.2"/>
    <row r="1674" hidden="1" x14ac:dyDescent="0.2"/>
    <row r="1675" hidden="1" x14ac:dyDescent="0.2"/>
    <row r="1676" hidden="1" x14ac:dyDescent="0.2"/>
    <row r="1677" hidden="1" x14ac:dyDescent="0.2"/>
    <row r="1678" hidden="1" x14ac:dyDescent="0.2"/>
    <row r="1679" hidden="1" x14ac:dyDescent="0.2"/>
    <row r="1680" hidden="1" x14ac:dyDescent="0.2"/>
    <row r="1681" hidden="1" x14ac:dyDescent="0.2"/>
    <row r="1682" hidden="1" x14ac:dyDescent="0.2"/>
    <row r="1683" hidden="1" x14ac:dyDescent="0.2"/>
    <row r="1684" hidden="1" x14ac:dyDescent="0.2"/>
    <row r="1685" hidden="1" x14ac:dyDescent="0.2"/>
    <row r="1686" hidden="1" x14ac:dyDescent="0.2"/>
    <row r="1687" hidden="1" x14ac:dyDescent="0.2"/>
    <row r="1688" hidden="1" x14ac:dyDescent="0.2"/>
    <row r="1689" hidden="1" x14ac:dyDescent="0.2"/>
    <row r="1690" hidden="1" x14ac:dyDescent="0.2"/>
    <row r="1691" hidden="1" x14ac:dyDescent="0.2"/>
    <row r="1692" hidden="1" x14ac:dyDescent="0.2"/>
    <row r="1693" hidden="1" x14ac:dyDescent="0.2"/>
    <row r="1694" hidden="1" x14ac:dyDescent="0.2"/>
    <row r="1695" hidden="1" x14ac:dyDescent="0.2"/>
    <row r="1696" hidden="1" x14ac:dyDescent="0.2"/>
    <row r="1697" hidden="1" x14ac:dyDescent="0.2"/>
    <row r="1698" hidden="1" x14ac:dyDescent="0.2"/>
    <row r="1699" hidden="1" x14ac:dyDescent="0.2"/>
    <row r="1700" hidden="1" x14ac:dyDescent="0.2"/>
    <row r="1701" hidden="1" x14ac:dyDescent="0.2"/>
    <row r="1702" hidden="1" x14ac:dyDescent="0.2"/>
    <row r="1703" hidden="1" x14ac:dyDescent="0.2"/>
    <row r="1704" hidden="1" x14ac:dyDescent="0.2"/>
    <row r="1705" hidden="1" x14ac:dyDescent="0.2"/>
    <row r="1706" hidden="1" x14ac:dyDescent="0.2"/>
    <row r="1707" hidden="1" x14ac:dyDescent="0.2"/>
    <row r="1708" hidden="1" x14ac:dyDescent="0.2"/>
    <row r="1709" hidden="1" x14ac:dyDescent="0.2"/>
    <row r="1710" hidden="1" x14ac:dyDescent="0.2"/>
    <row r="1711" hidden="1" x14ac:dyDescent="0.2"/>
    <row r="1712" hidden="1" x14ac:dyDescent="0.2"/>
    <row r="1713" hidden="1" x14ac:dyDescent="0.2"/>
    <row r="1714" hidden="1" x14ac:dyDescent="0.2"/>
    <row r="1715" hidden="1" x14ac:dyDescent="0.2"/>
    <row r="1716" hidden="1" x14ac:dyDescent="0.2"/>
    <row r="1717" hidden="1" x14ac:dyDescent="0.2"/>
    <row r="1718" hidden="1" x14ac:dyDescent="0.2"/>
    <row r="1719" hidden="1" x14ac:dyDescent="0.2"/>
    <row r="1720" hidden="1" x14ac:dyDescent="0.2"/>
    <row r="1721" hidden="1" x14ac:dyDescent="0.2"/>
    <row r="1722" hidden="1" x14ac:dyDescent="0.2"/>
    <row r="1723" hidden="1" x14ac:dyDescent="0.2"/>
    <row r="1724" hidden="1" x14ac:dyDescent="0.2"/>
    <row r="1725" hidden="1" x14ac:dyDescent="0.2"/>
    <row r="1726" hidden="1" x14ac:dyDescent="0.2"/>
    <row r="1727" hidden="1" x14ac:dyDescent="0.2"/>
    <row r="1728" hidden="1" x14ac:dyDescent="0.2"/>
    <row r="1729" hidden="1" x14ac:dyDescent="0.2"/>
    <row r="1730" hidden="1" x14ac:dyDescent="0.2"/>
    <row r="1731" hidden="1" x14ac:dyDescent="0.2"/>
    <row r="1732" hidden="1" x14ac:dyDescent="0.2"/>
    <row r="1733" hidden="1" x14ac:dyDescent="0.2"/>
    <row r="1734" hidden="1" x14ac:dyDescent="0.2"/>
    <row r="1735" hidden="1" x14ac:dyDescent="0.2"/>
    <row r="1736" hidden="1" x14ac:dyDescent="0.2"/>
    <row r="1737" hidden="1" x14ac:dyDescent="0.2"/>
    <row r="1738" hidden="1" x14ac:dyDescent="0.2"/>
    <row r="1739" hidden="1" x14ac:dyDescent="0.2"/>
    <row r="1740" hidden="1" x14ac:dyDescent="0.2"/>
    <row r="1741" hidden="1" x14ac:dyDescent="0.2"/>
    <row r="1742" hidden="1" x14ac:dyDescent="0.2"/>
    <row r="1743" hidden="1" x14ac:dyDescent="0.2"/>
    <row r="1744" hidden="1" x14ac:dyDescent="0.2"/>
    <row r="1745" hidden="1" x14ac:dyDescent="0.2"/>
    <row r="1746" hidden="1" x14ac:dyDescent="0.2"/>
    <row r="1747" hidden="1" x14ac:dyDescent="0.2"/>
    <row r="1748" hidden="1" x14ac:dyDescent="0.2"/>
    <row r="1749" hidden="1" x14ac:dyDescent="0.2"/>
    <row r="1750" hidden="1" x14ac:dyDescent="0.2"/>
    <row r="1751" hidden="1" x14ac:dyDescent="0.2"/>
    <row r="1752" hidden="1" x14ac:dyDescent="0.2"/>
    <row r="1753" hidden="1" x14ac:dyDescent="0.2"/>
    <row r="1754" hidden="1" x14ac:dyDescent="0.2"/>
    <row r="1755" hidden="1" x14ac:dyDescent="0.2"/>
    <row r="1756" hidden="1" x14ac:dyDescent="0.2"/>
    <row r="1757" hidden="1" x14ac:dyDescent="0.2"/>
    <row r="1758" hidden="1" x14ac:dyDescent="0.2"/>
    <row r="1759" hidden="1" x14ac:dyDescent="0.2"/>
    <row r="1760" hidden="1" x14ac:dyDescent="0.2"/>
    <row r="1761" hidden="1" x14ac:dyDescent="0.2"/>
    <row r="1762" hidden="1" x14ac:dyDescent="0.2"/>
    <row r="1763" hidden="1" x14ac:dyDescent="0.2"/>
    <row r="1764" hidden="1" x14ac:dyDescent="0.2"/>
    <row r="1765" hidden="1" x14ac:dyDescent="0.2"/>
    <row r="1766" hidden="1" x14ac:dyDescent="0.2"/>
    <row r="1767" hidden="1" x14ac:dyDescent="0.2"/>
    <row r="1768" hidden="1" x14ac:dyDescent="0.2"/>
    <row r="1769" hidden="1" x14ac:dyDescent="0.2"/>
    <row r="1770" hidden="1" x14ac:dyDescent="0.2"/>
    <row r="1771" hidden="1" x14ac:dyDescent="0.2"/>
    <row r="1772" hidden="1" x14ac:dyDescent="0.2"/>
    <row r="1773" hidden="1" x14ac:dyDescent="0.2"/>
    <row r="1774" hidden="1" x14ac:dyDescent="0.2"/>
    <row r="1775" hidden="1" x14ac:dyDescent="0.2"/>
    <row r="1776" hidden="1" x14ac:dyDescent="0.2"/>
    <row r="1777" hidden="1" x14ac:dyDescent="0.2"/>
    <row r="1778" hidden="1" x14ac:dyDescent="0.2"/>
    <row r="1779" hidden="1" x14ac:dyDescent="0.2"/>
    <row r="1780" hidden="1" x14ac:dyDescent="0.2"/>
    <row r="1781" hidden="1" x14ac:dyDescent="0.2"/>
    <row r="1782" hidden="1" x14ac:dyDescent="0.2"/>
    <row r="1783" hidden="1" x14ac:dyDescent="0.2"/>
    <row r="1784" hidden="1" x14ac:dyDescent="0.2"/>
    <row r="1785" hidden="1" x14ac:dyDescent="0.2"/>
    <row r="1786" hidden="1" x14ac:dyDescent="0.2"/>
    <row r="1787" hidden="1" x14ac:dyDescent="0.2"/>
    <row r="1788" hidden="1" x14ac:dyDescent="0.2"/>
    <row r="1789" hidden="1" x14ac:dyDescent="0.2"/>
    <row r="1790" hidden="1" x14ac:dyDescent="0.2"/>
    <row r="1791" hidden="1" x14ac:dyDescent="0.2"/>
    <row r="1792" hidden="1" x14ac:dyDescent="0.2"/>
    <row r="1793" hidden="1" x14ac:dyDescent="0.2"/>
    <row r="1794" hidden="1" x14ac:dyDescent="0.2"/>
    <row r="1795" hidden="1" x14ac:dyDescent="0.2"/>
    <row r="1796" hidden="1" x14ac:dyDescent="0.2"/>
    <row r="1797" hidden="1" x14ac:dyDescent="0.2"/>
    <row r="1798" hidden="1" x14ac:dyDescent="0.2"/>
    <row r="1799" hidden="1" x14ac:dyDescent="0.2"/>
    <row r="1800" hidden="1" x14ac:dyDescent="0.2"/>
    <row r="1801" hidden="1" x14ac:dyDescent="0.2"/>
    <row r="1802" hidden="1" x14ac:dyDescent="0.2"/>
    <row r="1803" hidden="1" x14ac:dyDescent="0.2"/>
    <row r="1804" hidden="1" x14ac:dyDescent="0.2"/>
    <row r="1805" hidden="1" x14ac:dyDescent="0.2"/>
    <row r="1806" hidden="1" x14ac:dyDescent="0.2"/>
    <row r="1807" hidden="1" x14ac:dyDescent="0.2"/>
    <row r="1808" hidden="1" x14ac:dyDescent="0.2"/>
    <row r="1809" hidden="1" x14ac:dyDescent="0.2"/>
    <row r="1810" hidden="1" x14ac:dyDescent="0.2"/>
    <row r="1811" hidden="1" x14ac:dyDescent="0.2"/>
    <row r="1812" hidden="1" x14ac:dyDescent="0.2"/>
    <row r="1813" hidden="1" x14ac:dyDescent="0.2"/>
    <row r="1814" hidden="1" x14ac:dyDescent="0.2"/>
    <row r="1815" hidden="1" x14ac:dyDescent="0.2"/>
    <row r="1816" hidden="1" x14ac:dyDescent="0.2"/>
    <row r="1817" hidden="1" x14ac:dyDescent="0.2"/>
    <row r="1818" hidden="1" x14ac:dyDescent="0.2"/>
    <row r="1819" hidden="1" x14ac:dyDescent="0.2"/>
    <row r="1820" hidden="1" x14ac:dyDescent="0.2"/>
    <row r="1821" hidden="1" x14ac:dyDescent="0.2"/>
    <row r="1822" hidden="1" x14ac:dyDescent="0.2"/>
    <row r="1823" hidden="1" x14ac:dyDescent="0.2"/>
    <row r="1824" hidden="1" x14ac:dyDescent="0.2"/>
    <row r="1825" hidden="1" x14ac:dyDescent="0.2"/>
    <row r="1826" hidden="1" x14ac:dyDescent="0.2"/>
    <row r="1827" hidden="1" x14ac:dyDescent="0.2"/>
    <row r="1828" hidden="1" x14ac:dyDescent="0.2"/>
    <row r="1829" hidden="1" x14ac:dyDescent="0.2"/>
    <row r="1830" hidden="1" x14ac:dyDescent="0.2"/>
    <row r="1831" hidden="1" x14ac:dyDescent="0.2"/>
    <row r="1832" hidden="1" x14ac:dyDescent="0.2"/>
    <row r="1833" hidden="1" x14ac:dyDescent="0.2"/>
    <row r="1834" hidden="1" x14ac:dyDescent="0.2"/>
    <row r="1835" hidden="1" x14ac:dyDescent="0.2"/>
    <row r="1836" hidden="1" x14ac:dyDescent="0.2"/>
    <row r="1837" hidden="1" x14ac:dyDescent="0.2"/>
    <row r="1838" hidden="1" x14ac:dyDescent="0.2"/>
    <row r="1839" hidden="1" x14ac:dyDescent="0.2"/>
    <row r="1840" hidden="1" x14ac:dyDescent="0.2"/>
    <row r="1841" hidden="1" x14ac:dyDescent="0.2"/>
    <row r="1842" hidden="1" x14ac:dyDescent="0.2"/>
    <row r="1843" hidden="1" x14ac:dyDescent="0.2"/>
    <row r="1844" hidden="1" x14ac:dyDescent="0.2"/>
    <row r="1845" hidden="1" x14ac:dyDescent="0.2"/>
    <row r="1846" hidden="1" x14ac:dyDescent="0.2"/>
    <row r="1847" hidden="1" x14ac:dyDescent="0.2"/>
    <row r="1848" hidden="1" x14ac:dyDescent="0.2"/>
    <row r="1849" hidden="1" x14ac:dyDescent="0.2"/>
    <row r="1850" hidden="1" x14ac:dyDescent="0.2"/>
    <row r="1851" hidden="1" x14ac:dyDescent="0.2"/>
    <row r="1852" hidden="1" x14ac:dyDescent="0.2"/>
    <row r="1853" hidden="1" x14ac:dyDescent="0.2"/>
    <row r="1854" hidden="1" x14ac:dyDescent="0.2"/>
    <row r="1855" hidden="1" x14ac:dyDescent="0.2"/>
    <row r="1856" hidden="1" x14ac:dyDescent="0.2"/>
    <row r="1857" hidden="1" x14ac:dyDescent="0.2"/>
    <row r="1858" hidden="1" x14ac:dyDescent="0.2"/>
    <row r="1859" hidden="1" x14ac:dyDescent="0.2"/>
    <row r="1860" hidden="1" x14ac:dyDescent="0.2"/>
    <row r="1861" hidden="1" x14ac:dyDescent="0.2"/>
    <row r="1862" hidden="1" x14ac:dyDescent="0.2"/>
    <row r="1863" hidden="1" x14ac:dyDescent="0.2"/>
    <row r="1864" hidden="1" x14ac:dyDescent="0.2"/>
    <row r="1865" hidden="1" x14ac:dyDescent="0.2"/>
    <row r="1866" hidden="1" x14ac:dyDescent="0.2"/>
    <row r="1867" hidden="1" x14ac:dyDescent="0.2"/>
    <row r="1868" hidden="1" x14ac:dyDescent="0.2"/>
    <row r="1869" hidden="1" x14ac:dyDescent="0.2"/>
    <row r="1870" hidden="1" x14ac:dyDescent="0.2"/>
    <row r="1871" hidden="1" x14ac:dyDescent="0.2"/>
    <row r="1872" hidden="1" x14ac:dyDescent="0.2"/>
    <row r="1873" hidden="1" x14ac:dyDescent="0.2"/>
    <row r="1874" hidden="1" x14ac:dyDescent="0.2"/>
    <row r="1875" hidden="1" x14ac:dyDescent="0.2"/>
    <row r="1876" hidden="1" x14ac:dyDescent="0.2"/>
    <row r="1877" hidden="1" x14ac:dyDescent="0.2"/>
    <row r="1878" hidden="1" x14ac:dyDescent="0.2"/>
    <row r="1879" hidden="1" x14ac:dyDescent="0.2"/>
    <row r="1880" hidden="1" x14ac:dyDescent="0.2"/>
    <row r="1881" hidden="1" x14ac:dyDescent="0.2"/>
    <row r="1882" hidden="1" x14ac:dyDescent="0.2"/>
    <row r="1883" hidden="1" x14ac:dyDescent="0.2"/>
    <row r="1884" hidden="1" x14ac:dyDescent="0.2"/>
    <row r="1885" hidden="1" x14ac:dyDescent="0.2"/>
    <row r="1886" hidden="1" x14ac:dyDescent="0.2"/>
    <row r="1887" hidden="1" x14ac:dyDescent="0.2"/>
    <row r="1888" hidden="1" x14ac:dyDescent="0.2"/>
    <row r="1889" hidden="1" x14ac:dyDescent="0.2"/>
    <row r="1890" hidden="1" x14ac:dyDescent="0.2"/>
    <row r="1891" hidden="1" x14ac:dyDescent="0.2"/>
    <row r="1892" hidden="1" x14ac:dyDescent="0.2"/>
    <row r="1893" hidden="1" x14ac:dyDescent="0.2"/>
    <row r="1894" hidden="1" x14ac:dyDescent="0.2"/>
    <row r="1895" hidden="1" x14ac:dyDescent="0.2"/>
    <row r="1896" hidden="1" x14ac:dyDescent="0.2"/>
    <row r="1897" hidden="1" x14ac:dyDescent="0.2"/>
    <row r="1898" hidden="1" x14ac:dyDescent="0.2"/>
    <row r="1899" hidden="1" x14ac:dyDescent="0.2"/>
    <row r="1900" hidden="1" x14ac:dyDescent="0.2"/>
    <row r="1901" hidden="1" x14ac:dyDescent="0.2"/>
    <row r="1902" hidden="1" x14ac:dyDescent="0.2"/>
    <row r="1903" hidden="1" x14ac:dyDescent="0.2"/>
    <row r="1904" hidden="1" x14ac:dyDescent="0.2"/>
    <row r="1905" hidden="1" x14ac:dyDescent="0.2"/>
    <row r="1906" hidden="1" x14ac:dyDescent="0.2"/>
    <row r="1907" hidden="1" x14ac:dyDescent="0.2"/>
    <row r="1908" hidden="1" x14ac:dyDescent="0.2"/>
    <row r="1909" hidden="1" x14ac:dyDescent="0.2"/>
    <row r="1910" hidden="1" x14ac:dyDescent="0.2"/>
    <row r="1911" hidden="1" x14ac:dyDescent="0.2"/>
    <row r="1912" hidden="1" x14ac:dyDescent="0.2"/>
    <row r="1913" hidden="1" x14ac:dyDescent="0.2"/>
    <row r="1914" hidden="1" x14ac:dyDescent="0.2"/>
    <row r="1915" hidden="1" x14ac:dyDescent="0.2"/>
    <row r="1916" hidden="1" x14ac:dyDescent="0.2"/>
    <row r="1917" hidden="1" x14ac:dyDescent="0.2"/>
    <row r="1918" hidden="1" x14ac:dyDescent="0.2"/>
    <row r="1919" hidden="1" x14ac:dyDescent="0.2"/>
    <row r="1920" hidden="1" x14ac:dyDescent="0.2"/>
    <row r="1921" hidden="1" x14ac:dyDescent="0.2"/>
    <row r="1922" hidden="1" x14ac:dyDescent="0.2"/>
    <row r="1923" hidden="1" x14ac:dyDescent="0.2"/>
    <row r="1924" hidden="1" x14ac:dyDescent="0.2"/>
    <row r="1925" hidden="1" x14ac:dyDescent="0.2"/>
    <row r="1926" hidden="1" x14ac:dyDescent="0.2"/>
    <row r="1927" hidden="1" x14ac:dyDescent="0.2"/>
    <row r="1928" hidden="1" x14ac:dyDescent="0.2"/>
    <row r="1929" hidden="1" x14ac:dyDescent="0.2"/>
    <row r="1930" hidden="1" x14ac:dyDescent="0.2"/>
    <row r="1931" hidden="1" x14ac:dyDescent="0.2"/>
    <row r="1932" hidden="1" x14ac:dyDescent="0.2"/>
    <row r="1933" hidden="1" x14ac:dyDescent="0.2"/>
    <row r="1934" hidden="1" x14ac:dyDescent="0.2"/>
    <row r="1935" hidden="1" x14ac:dyDescent="0.2"/>
    <row r="1936" hidden="1" x14ac:dyDescent="0.2"/>
    <row r="1937" hidden="1" x14ac:dyDescent="0.2"/>
    <row r="1938" hidden="1" x14ac:dyDescent="0.2"/>
    <row r="1939" hidden="1" x14ac:dyDescent="0.2"/>
    <row r="1940" hidden="1" x14ac:dyDescent="0.2"/>
    <row r="1941" hidden="1" x14ac:dyDescent="0.2"/>
    <row r="1942" hidden="1" x14ac:dyDescent="0.2"/>
    <row r="1943" hidden="1" x14ac:dyDescent="0.2"/>
    <row r="1944" hidden="1" x14ac:dyDescent="0.2"/>
    <row r="1945" hidden="1" x14ac:dyDescent="0.2"/>
    <row r="1946" hidden="1" x14ac:dyDescent="0.2"/>
    <row r="1947" hidden="1" x14ac:dyDescent="0.2"/>
    <row r="1948" hidden="1" x14ac:dyDescent="0.2"/>
    <row r="1949" hidden="1" x14ac:dyDescent="0.2"/>
    <row r="1950" hidden="1" x14ac:dyDescent="0.2"/>
    <row r="1951" hidden="1" x14ac:dyDescent="0.2"/>
    <row r="1952" hidden="1" x14ac:dyDescent="0.2"/>
    <row r="1953" hidden="1" x14ac:dyDescent="0.2"/>
    <row r="1954" hidden="1" x14ac:dyDescent="0.2"/>
    <row r="1955" hidden="1" x14ac:dyDescent="0.2"/>
    <row r="1956" hidden="1" x14ac:dyDescent="0.2"/>
    <row r="1957" hidden="1" x14ac:dyDescent="0.2"/>
    <row r="1958" hidden="1" x14ac:dyDescent="0.2"/>
    <row r="1959" hidden="1" x14ac:dyDescent="0.2"/>
    <row r="1960" hidden="1" x14ac:dyDescent="0.2"/>
    <row r="1961" hidden="1" x14ac:dyDescent="0.2"/>
    <row r="1962" hidden="1" x14ac:dyDescent="0.2"/>
    <row r="1963" hidden="1" x14ac:dyDescent="0.2"/>
    <row r="1964" hidden="1" x14ac:dyDescent="0.2"/>
    <row r="1965" hidden="1" x14ac:dyDescent="0.2"/>
    <row r="1966" hidden="1" x14ac:dyDescent="0.2"/>
    <row r="1967" hidden="1" x14ac:dyDescent="0.2"/>
    <row r="1968" hidden="1" x14ac:dyDescent="0.2"/>
    <row r="1969" hidden="1" x14ac:dyDescent="0.2"/>
    <row r="1970" hidden="1" x14ac:dyDescent="0.2"/>
    <row r="1971" hidden="1" x14ac:dyDescent="0.2"/>
    <row r="1972" hidden="1" x14ac:dyDescent="0.2"/>
    <row r="1973" hidden="1" x14ac:dyDescent="0.2"/>
    <row r="1974" hidden="1" x14ac:dyDescent="0.2"/>
    <row r="1975" hidden="1" x14ac:dyDescent="0.2"/>
    <row r="1976" hidden="1" x14ac:dyDescent="0.2"/>
    <row r="1977" hidden="1" x14ac:dyDescent="0.2"/>
    <row r="1978" hidden="1" x14ac:dyDescent="0.2"/>
    <row r="1979" hidden="1" x14ac:dyDescent="0.2"/>
    <row r="1980" hidden="1" x14ac:dyDescent="0.2"/>
    <row r="1981" hidden="1" x14ac:dyDescent="0.2"/>
    <row r="1982" hidden="1" x14ac:dyDescent="0.2"/>
    <row r="1983" hidden="1" x14ac:dyDescent="0.2"/>
    <row r="1984" hidden="1" x14ac:dyDescent="0.2"/>
    <row r="1985" hidden="1" x14ac:dyDescent="0.2"/>
    <row r="1986" hidden="1" x14ac:dyDescent="0.2"/>
    <row r="1987" hidden="1" x14ac:dyDescent="0.2"/>
    <row r="1988" hidden="1" x14ac:dyDescent="0.2"/>
    <row r="1989" hidden="1" x14ac:dyDescent="0.2"/>
    <row r="1990" hidden="1" x14ac:dyDescent="0.2"/>
    <row r="1991" hidden="1" x14ac:dyDescent="0.2"/>
    <row r="1992" hidden="1" x14ac:dyDescent="0.2"/>
    <row r="1993" hidden="1" x14ac:dyDescent="0.2"/>
    <row r="1994" hidden="1" x14ac:dyDescent="0.2"/>
    <row r="1995" hidden="1" x14ac:dyDescent="0.2"/>
    <row r="1996" hidden="1" x14ac:dyDescent="0.2"/>
    <row r="1997" hidden="1" x14ac:dyDescent="0.2"/>
    <row r="1998" hidden="1" x14ac:dyDescent="0.2"/>
    <row r="1999" hidden="1" x14ac:dyDescent="0.2"/>
    <row r="2000" hidden="1" x14ac:dyDescent="0.2"/>
    <row r="2001" hidden="1" x14ac:dyDescent="0.2"/>
    <row r="2002" hidden="1" x14ac:dyDescent="0.2"/>
    <row r="2003" hidden="1" x14ac:dyDescent="0.2"/>
    <row r="2004" hidden="1" x14ac:dyDescent="0.2"/>
    <row r="2005" hidden="1" x14ac:dyDescent="0.2"/>
    <row r="2006" hidden="1" x14ac:dyDescent="0.2"/>
    <row r="2007" hidden="1" x14ac:dyDescent="0.2"/>
    <row r="2008" hidden="1" x14ac:dyDescent="0.2"/>
    <row r="2009" hidden="1" x14ac:dyDescent="0.2"/>
    <row r="2010" hidden="1" x14ac:dyDescent="0.2"/>
    <row r="2011" hidden="1" x14ac:dyDescent="0.2"/>
    <row r="2012" hidden="1" x14ac:dyDescent="0.2"/>
    <row r="2013" hidden="1" x14ac:dyDescent="0.2"/>
    <row r="2014" hidden="1" x14ac:dyDescent="0.2"/>
    <row r="2015" hidden="1" x14ac:dyDescent="0.2"/>
    <row r="2016" hidden="1" x14ac:dyDescent="0.2"/>
    <row r="2017" hidden="1" x14ac:dyDescent="0.2"/>
    <row r="2018" hidden="1" x14ac:dyDescent="0.2"/>
    <row r="2019" hidden="1" x14ac:dyDescent="0.2"/>
    <row r="2020" hidden="1" x14ac:dyDescent="0.2"/>
    <row r="2021" hidden="1" x14ac:dyDescent="0.2"/>
    <row r="2022" hidden="1" x14ac:dyDescent="0.2"/>
    <row r="2023" hidden="1" x14ac:dyDescent="0.2"/>
    <row r="2024" hidden="1" x14ac:dyDescent="0.2"/>
    <row r="2025" hidden="1" x14ac:dyDescent="0.2"/>
    <row r="2026" hidden="1" x14ac:dyDescent="0.2"/>
    <row r="2027" hidden="1" x14ac:dyDescent="0.2"/>
    <row r="2028" hidden="1" x14ac:dyDescent="0.2"/>
    <row r="2029" hidden="1" x14ac:dyDescent="0.2"/>
    <row r="2030" hidden="1" x14ac:dyDescent="0.2"/>
    <row r="2031" hidden="1" x14ac:dyDescent="0.2"/>
    <row r="2032" hidden="1" x14ac:dyDescent="0.2"/>
    <row r="2033" hidden="1" x14ac:dyDescent="0.2"/>
    <row r="2034" hidden="1" x14ac:dyDescent="0.2"/>
    <row r="2035" hidden="1" x14ac:dyDescent="0.2"/>
    <row r="2036" hidden="1" x14ac:dyDescent="0.2"/>
    <row r="2037" hidden="1" x14ac:dyDescent="0.2"/>
    <row r="2038" hidden="1" x14ac:dyDescent="0.2"/>
    <row r="2039" hidden="1" x14ac:dyDescent="0.2"/>
    <row r="2040" hidden="1" x14ac:dyDescent="0.2"/>
    <row r="2041" hidden="1" x14ac:dyDescent="0.2"/>
    <row r="2042" hidden="1" x14ac:dyDescent="0.2"/>
    <row r="2043" hidden="1" x14ac:dyDescent="0.2"/>
    <row r="2044" hidden="1" x14ac:dyDescent="0.2"/>
    <row r="2045" hidden="1" x14ac:dyDescent="0.2"/>
    <row r="2046" hidden="1" x14ac:dyDescent="0.2"/>
    <row r="2047" hidden="1" x14ac:dyDescent="0.2"/>
    <row r="2048" hidden="1" x14ac:dyDescent="0.2"/>
    <row r="2049" hidden="1" x14ac:dyDescent="0.2"/>
    <row r="2050" hidden="1" x14ac:dyDescent="0.2"/>
    <row r="2051" hidden="1" x14ac:dyDescent="0.2"/>
    <row r="2052" hidden="1" x14ac:dyDescent="0.2"/>
    <row r="2053" hidden="1" x14ac:dyDescent="0.2"/>
    <row r="2054" hidden="1" x14ac:dyDescent="0.2"/>
    <row r="2055" hidden="1" x14ac:dyDescent="0.2"/>
    <row r="2056" hidden="1" x14ac:dyDescent="0.2"/>
    <row r="2057" hidden="1" x14ac:dyDescent="0.2"/>
    <row r="2058" hidden="1" x14ac:dyDescent="0.2"/>
    <row r="2059" hidden="1" x14ac:dyDescent="0.2"/>
    <row r="2060" hidden="1" x14ac:dyDescent="0.2"/>
    <row r="2061" hidden="1" x14ac:dyDescent="0.2"/>
    <row r="2062" hidden="1" x14ac:dyDescent="0.2"/>
    <row r="2063" hidden="1" x14ac:dyDescent="0.2"/>
    <row r="2064" hidden="1" x14ac:dyDescent="0.2"/>
    <row r="2065" hidden="1" x14ac:dyDescent="0.2"/>
    <row r="2066" hidden="1" x14ac:dyDescent="0.2"/>
    <row r="2067" hidden="1" x14ac:dyDescent="0.2"/>
    <row r="2068" hidden="1" x14ac:dyDescent="0.2"/>
    <row r="2069" hidden="1" x14ac:dyDescent="0.2"/>
    <row r="2070" hidden="1" x14ac:dyDescent="0.2"/>
    <row r="2071" hidden="1" x14ac:dyDescent="0.2"/>
    <row r="2072" hidden="1" x14ac:dyDescent="0.2"/>
    <row r="2073" hidden="1" x14ac:dyDescent="0.2"/>
    <row r="2074" hidden="1" x14ac:dyDescent="0.2"/>
    <row r="2075" hidden="1" x14ac:dyDescent="0.2"/>
    <row r="2076" hidden="1" x14ac:dyDescent="0.2"/>
    <row r="2077" hidden="1" x14ac:dyDescent="0.2"/>
    <row r="2078" hidden="1" x14ac:dyDescent="0.2"/>
    <row r="2079" hidden="1" x14ac:dyDescent="0.2"/>
    <row r="2080" hidden="1" x14ac:dyDescent="0.2"/>
    <row r="2081" hidden="1" x14ac:dyDescent="0.2"/>
    <row r="2082" hidden="1" x14ac:dyDescent="0.2"/>
    <row r="2083" hidden="1" x14ac:dyDescent="0.2"/>
    <row r="2084" hidden="1" x14ac:dyDescent="0.2"/>
    <row r="2085" hidden="1" x14ac:dyDescent="0.2"/>
    <row r="2086" hidden="1" x14ac:dyDescent="0.2"/>
    <row r="2087" hidden="1" x14ac:dyDescent="0.2"/>
    <row r="2088" hidden="1" x14ac:dyDescent="0.2"/>
    <row r="2089" hidden="1" x14ac:dyDescent="0.2"/>
    <row r="2090" hidden="1" x14ac:dyDescent="0.2"/>
    <row r="2091" hidden="1" x14ac:dyDescent="0.2"/>
    <row r="2092" hidden="1" x14ac:dyDescent="0.2"/>
    <row r="2093" hidden="1" x14ac:dyDescent="0.2"/>
    <row r="2094" hidden="1" x14ac:dyDescent="0.2"/>
    <row r="2095" hidden="1" x14ac:dyDescent="0.2"/>
    <row r="2096" hidden="1" x14ac:dyDescent="0.2"/>
    <row r="2097" hidden="1" x14ac:dyDescent="0.2"/>
    <row r="2098" hidden="1" x14ac:dyDescent="0.2"/>
    <row r="2099" hidden="1" x14ac:dyDescent="0.2"/>
    <row r="2100" hidden="1" x14ac:dyDescent="0.2"/>
    <row r="2101" hidden="1" x14ac:dyDescent="0.2"/>
    <row r="2102" hidden="1" x14ac:dyDescent="0.2"/>
    <row r="2103" hidden="1" x14ac:dyDescent="0.2"/>
    <row r="2104" hidden="1" x14ac:dyDescent="0.2"/>
    <row r="2105" hidden="1" x14ac:dyDescent="0.2"/>
    <row r="2106" hidden="1" x14ac:dyDescent="0.2"/>
    <row r="2107" hidden="1" x14ac:dyDescent="0.2"/>
    <row r="2108" hidden="1" x14ac:dyDescent="0.2"/>
    <row r="2109" hidden="1" x14ac:dyDescent="0.2"/>
    <row r="2110" hidden="1" x14ac:dyDescent="0.2"/>
    <row r="2111" hidden="1" x14ac:dyDescent="0.2"/>
    <row r="2112" hidden="1" x14ac:dyDescent="0.2"/>
    <row r="2113" hidden="1" x14ac:dyDescent="0.2"/>
    <row r="2114" hidden="1" x14ac:dyDescent="0.2"/>
    <row r="2115" hidden="1" x14ac:dyDescent="0.2"/>
    <row r="2116" hidden="1" x14ac:dyDescent="0.2"/>
    <row r="2117" hidden="1" x14ac:dyDescent="0.2"/>
    <row r="2118" hidden="1" x14ac:dyDescent="0.2"/>
    <row r="2119" hidden="1" x14ac:dyDescent="0.2"/>
    <row r="2120" hidden="1" x14ac:dyDescent="0.2"/>
    <row r="2121" hidden="1" x14ac:dyDescent="0.2"/>
    <row r="2122" hidden="1" x14ac:dyDescent="0.2"/>
    <row r="2123" hidden="1" x14ac:dyDescent="0.2"/>
    <row r="2124" hidden="1" x14ac:dyDescent="0.2"/>
    <row r="2125" hidden="1" x14ac:dyDescent="0.2"/>
    <row r="2126" hidden="1" x14ac:dyDescent="0.2"/>
    <row r="2127" hidden="1" x14ac:dyDescent="0.2"/>
    <row r="2128" hidden="1" x14ac:dyDescent="0.2"/>
    <row r="2129" hidden="1" x14ac:dyDescent="0.2"/>
    <row r="2130" hidden="1" x14ac:dyDescent="0.2"/>
    <row r="2131" hidden="1" x14ac:dyDescent="0.2"/>
    <row r="2132" hidden="1" x14ac:dyDescent="0.2"/>
    <row r="2133" hidden="1" x14ac:dyDescent="0.2"/>
    <row r="2134" hidden="1" x14ac:dyDescent="0.2"/>
    <row r="2135" hidden="1" x14ac:dyDescent="0.2"/>
    <row r="2136" hidden="1" x14ac:dyDescent="0.2"/>
    <row r="2137" hidden="1" x14ac:dyDescent="0.2"/>
    <row r="2138" hidden="1" x14ac:dyDescent="0.2"/>
    <row r="2139" hidden="1" x14ac:dyDescent="0.2"/>
    <row r="2140" hidden="1" x14ac:dyDescent="0.2"/>
    <row r="2141" hidden="1" x14ac:dyDescent="0.2"/>
    <row r="2142" hidden="1" x14ac:dyDescent="0.2"/>
    <row r="2143" hidden="1" x14ac:dyDescent="0.2"/>
    <row r="2144" hidden="1" x14ac:dyDescent="0.2"/>
    <row r="2145" hidden="1" x14ac:dyDescent="0.2"/>
    <row r="2146" hidden="1" x14ac:dyDescent="0.2"/>
    <row r="2147" hidden="1" x14ac:dyDescent="0.2"/>
    <row r="2148" hidden="1" x14ac:dyDescent="0.2"/>
    <row r="2149" hidden="1" x14ac:dyDescent="0.2"/>
    <row r="2150" hidden="1" x14ac:dyDescent="0.2"/>
    <row r="2151" hidden="1" x14ac:dyDescent="0.2"/>
    <row r="2152" hidden="1" x14ac:dyDescent="0.2"/>
    <row r="2153" hidden="1" x14ac:dyDescent="0.2"/>
    <row r="2154" hidden="1" x14ac:dyDescent="0.2"/>
    <row r="2155" hidden="1" x14ac:dyDescent="0.2"/>
    <row r="2156" hidden="1" x14ac:dyDescent="0.2"/>
    <row r="2157" hidden="1" x14ac:dyDescent="0.2"/>
    <row r="2158" hidden="1" x14ac:dyDescent="0.2"/>
    <row r="2159" hidden="1" x14ac:dyDescent="0.2"/>
    <row r="2160" hidden="1" x14ac:dyDescent="0.2"/>
    <row r="2161" hidden="1" x14ac:dyDescent="0.2"/>
    <row r="2162" hidden="1" x14ac:dyDescent="0.2"/>
    <row r="2163" hidden="1" x14ac:dyDescent="0.2"/>
    <row r="2164" hidden="1" x14ac:dyDescent="0.2"/>
    <row r="2165" hidden="1" x14ac:dyDescent="0.2"/>
    <row r="2166" hidden="1" x14ac:dyDescent="0.2"/>
    <row r="2167" hidden="1" x14ac:dyDescent="0.2"/>
    <row r="2168" hidden="1" x14ac:dyDescent="0.2"/>
    <row r="2169" hidden="1" x14ac:dyDescent="0.2"/>
    <row r="2170" hidden="1" x14ac:dyDescent="0.2"/>
    <row r="2171" hidden="1" x14ac:dyDescent="0.2"/>
    <row r="2172" hidden="1" x14ac:dyDescent="0.2"/>
    <row r="2173" hidden="1" x14ac:dyDescent="0.2"/>
    <row r="2174" hidden="1" x14ac:dyDescent="0.2"/>
    <row r="2175" hidden="1" x14ac:dyDescent="0.2"/>
    <row r="2176" hidden="1" x14ac:dyDescent="0.2"/>
    <row r="2177" hidden="1" x14ac:dyDescent="0.2"/>
    <row r="2178" hidden="1" x14ac:dyDescent="0.2"/>
    <row r="2179" hidden="1" x14ac:dyDescent="0.2"/>
    <row r="2180" hidden="1" x14ac:dyDescent="0.2"/>
    <row r="2181" hidden="1" x14ac:dyDescent="0.2"/>
    <row r="2182" hidden="1" x14ac:dyDescent="0.2"/>
    <row r="2183" hidden="1" x14ac:dyDescent="0.2"/>
    <row r="2184" hidden="1" x14ac:dyDescent="0.2"/>
    <row r="2185" hidden="1" x14ac:dyDescent="0.2"/>
    <row r="2186" hidden="1" x14ac:dyDescent="0.2"/>
    <row r="2187" hidden="1" x14ac:dyDescent="0.2"/>
    <row r="2188" hidden="1" x14ac:dyDescent="0.2"/>
    <row r="2189" hidden="1" x14ac:dyDescent="0.2"/>
    <row r="2190" hidden="1" x14ac:dyDescent="0.2"/>
    <row r="2191" hidden="1" x14ac:dyDescent="0.2"/>
    <row r="2192" hidden="1" x14ac:dyDescent="0.2"/>
    <row r="2193" hidden="1" x14ac:dyDescent="0.2"/>
    <row r="2194" hidden="1" x14ac:dyDescent="0.2"/>
    <row r="2195" hidden="1" x14ac:dyDescent="0.2"/>
    <row r="2196" hidden="1" x14ac:dyDescent="0.2"/>
    <row r="2197" hidden="1" x14ac:dyDescent="0.2"/>
    <row r="2198" hidden="1" x14ac:dyDescent="0.2"/>
    <row r="2199" hidden="1" x14ac:dyDescent="0.2"/>
    <row r="2200" hidden="1" x14ac:dyDescent="0.2"/>
    <row r="2201" hidden="1" x14ac:dyDescent="0.2"/>
    <row r="2202" hidden="1" x14ac:dyDescent="0.2"/>
    <row r="2203" hidden="1" x14ac:dyDescent="0.2"/>
    <row r="2204" hidden="1" x14ac:dyDescent="0.2"/>
    <row r="2205" hidden="1" x14ac:dyDescent="0.2"/>
    <row r="2206" hidden="1" x14ac:dyDescent="0.2"/>
    <row r="2207" hidden="1" x14ac:dyDescent="0.2"/>
    <row r="2208" hidden="1" x14ac:dyDescent="0.2"/>
    <row r="2209" hidden="1" x14ac:dyDescent="0.2"/>
    <row r="2210" hidden="1" x14ac:dyDescent="0.2"/>
    <row r="2211" hidden="1" x14ac:dyDescent="0.2"/>
    <row r="2212" hidden="1" x14ac:dyDescent="0.2"/>
    <row r="2213" hidden="1" x14ac:dyDescent="0.2"/>
    <row r="2214" hidden="1" x14ac:dyDescent="0.2"/>
    <row r="2215" hidden="1" x14ac:dyDescent="0.2"/>
    <row r="2216" hidden="1" x14ac:dyDescent="0.2"/>
    <row r="2217" hidden="1" x14ac:dyDescent="0.2"/>
    <row r="2218" hidden="1" x14ac:dyDescent="0.2"/>
    <row r="2219" hidden="1" x14ac:dyDescent="0.2"/>
    <row r="2220" hidden="1" x14ac:dyDescent="0.2"/>
    <row r="2221" hidden="1" x14ac:dyDescent="0.2"/>
    <row r="2222" hidden="1" x14ac:dyDescent="0.2"/>
    <row r="2223" hidden="1" x14ac:dyDescent="0.2"/>
    <row r="2224" hidden="1" x14ac:dyDescent="0.2"/>
    <row r="2225" hidden="1" x14ac:dyDescent="0.2"/>
    <row r="2226" hidden="1" x14ac:dyDescent="0.2"/>
    <row r="2227" hidden="1" x14ac:dyDescent="0.2"/>
    <row r="2228" hidden="1" x14ac:dyDescent="0.2"/>
    <row r="2229" hidden="1" x14ac:dyDescent="0.2"/>
    <row r="2230" hidden="1" x14ac:dyDescent="0.2"/>
    <row r="2231" hidden="1" x14ac:dyDescent="0.2"/>
    <row r="2232" hidden="1" x14ac:dyDescent="0.2"/>
    <row r="2233" hidden="1" x14ac:dyDescent="0.2"/>
    <row r="2234" hidden="1" x14ac:dyDescent="0.2"/>
    <row r="2235" hidden="1" x14ac:dyDescent="0.2"/>
    <row r="2236" hidden="1" x14ac:dyDescent="0.2"/>
    <row r="2237" hidden="1" x14ac:dyDescent="0.2"/>
    <row r="2238" hidden="1" x14ac:dyDescent="0.2"/>
    <row r="2239" hidden="1" x14ac:dyDescent="0.2"/>
    <row r="2240" hidden="1" x14ac:dyDescent="0.2"/>
    <row r="2241" hidden="1" x14ac:dyDescent="0.2"/>
    <row r="2242" hidden="1" x14ac:dyDescent="0.2"/>
    <row r="2243" hidden="1" x14ac:dyDescent="0.2"/>
    <row r="2244" hidden="1" x14ac:dyDescent="0.2"/>
    <row r="2245" hidden="1" x14ac:dyDescent="0.2"/>
    <row r="2246" hidden="1" x14ac:dyDescent="0.2"/>
    <row r="2247" hidden="1" x14ac:dyDescent="0.2"/>
    <row r="2248" hidden="1" x14ac:dyDescent="0.2"/>
    <row r="2249" hidden="1" x14ac:dyDescent="0.2"/>
    <row r="2250" hidden="1" x14ac:dyDescent="0.2"/>
    <row r="2251" hidden="1" x14ac:dyDescent="0.2"/>
    <row r="2252" hidden="1" x14ac:dyDescent="0.2"/>
    <row r="2253" hidden="1" x14ac:dyDescent="0.2"/>
    <row r="2254" hidden="1" x14ac:dyDescent="0.2"/>
    <row r="2255" hidden="1" x14ac:dyDescent="0.2"/>
    <row r="2256" hidden="1" x14ac:dyDescent="0.2"/>
    <row r="2257" hidden="1" x14ac:dyDescent="0.2"/>
    <row r="2258" hidden="1" x14ac:dyDescent="0.2"/>
    <row r="2259" hidden="1" x14ac:dyDescent="0.2"/>
    <row r="2260" hidden="1" x14ac:dyDescent="0.2"/>
    <row r="2261" hidden="1" x14ac:dyDescent="0.2"/>
    <row r="2262" hidden="1" x14ac:dyDescent="0.2"/>
    <row r="2263" hidden="1" x14ac:dyDescent="0.2"/>
    <row r="2264" hidden="1" x14ac:dyDescent="0.2"/>
    <row r="2265" hidden="1" x14ac:dyDescent="0.2"/>
    <row r="2266" hidden="1" x14ac:dyDescent="0.2"/>
    <row r="2267" hidden="1" x14ac:dyDescent="0.2"/>
    <row r="2268" hidden="1" x14ac:dyDescent="0.2"/>
    <row r="2269" hidden="1" x14ac:dyDescent="0.2"/>
    <row r="2270" hidden="1" x14ac:dyDescent="0.2"/>
    <row r="2271" hidden="1" x14ac:dyDescent="0.2"/>
    <row r="2272" hidden="1" x14ac:dyDescent="0.2"/>
    <row r="2273" hidden="1" x14ac:dyDescent="0.2"/>
    <row r="2274" hidden="1" x14ac:dyDescent="0.2"/>
    <row r="2275" hidden="1" x14ac:dyDescent="0.2"/>
    <row r="2276" hidden="1" x14ac:dyDescent="0.2"/>
    <row r="2277" hidden="1" x14ac:dyDescent="0.2"/>
    <row r="2278" hidden="1" x14ac:dyDescent="0.2"/>
    <row r="2279" hidden="1" x14ac:dyDescent="0.2"/>
    <row r="2280" hidden="1" x14ac:dyDescent="0.2"/>
    <row r="2281" hidden="1" x14ac:dyDescent="0.2"/>
    <row r="2282" hidden="1" x14ac:dyDescent="0.2"/>
    <row r="2283" hidden="1" x14ac:dyDescent="0.2"/>
    <row r="2284" hidden="1" x14ac:dyDescent="0.2"/>
    <row r="2285" hidden="1" x14ac:dyDescent="0.2"/>
    <row r="2286" hidden="1" x14ac:dyDescent="0.2"/>
    <row r="2287" hidden="1" x14ac:dyDescent="0.2"/>
    <row r="2288" hidden="1" x14ac:dyDescent="0.2"/>
    <row r="2289" hidden="1" x14ac:dyDescent="0.2"/>
    <row r="2290" hidden="1" x14ac:dyDescent="0.2"/>
    <row r="2291" hidden="1" x14ac:dyDescent="0.2"/>
    <row r="2292" hidden="1" x14ac:dyDescent="0.2"/>
    <row r="2293" hidden="1" x14ac:dyDescent="0.2"/>
    <row r="2294" hidden="1" x14ac:dyDescent="0.2"/>
    <row r="2295" hidden="1" x14ac:dyDescent="0.2"/>
    <row r="2296" hidden="1" x14ac:dyDescent="0.2"/>
    <row r="2297" hidden="1" x14ac:dyDescent="0.2"/>
    <row r="2298" hidden="1" x14ac:dyDescent="0.2"/>
    <row r="2299" hidden="1" x14ac:dyDescent="0.2"/>
    <row r="2300" hidden="1" x14ac:dyDescent="0.2"/>
    <row r="2301" hidden="1" x14ac:dyDescent="0.2"/>
    <row r="2302" hidden="1" x14ac:dyDescent="0.2"/>
    <row r="2303" hidden="1" x14ac:dyDescent="0.2"/>
    <row r="2304" hidden="1" x14ac:dyDescent="0.2"/>
    <row r="2305" hidden="1" x14ac:dyDescent="0.2"/>
    <row r="2306" hidden="1" x14ac:dyDescent="0.2"/>
    <row r="2307" hidden="1" x14ac:dyDescent="0.2"/>
    <row r="2308" hidden="1" x14ac:dyDescent="0.2"/>
    <row r="2309" hidden="1" x14ac:dyDescent="0.2"/>
    <row r="2310" hidden="1" x14ac:dyDescent="0.2"/>
    <row r="2311" hidden="1" x14ac:dyDescent="0.2"/>
    <row r="2312" hidden="1" x14ac:dyDescent="0.2"/>
    <row r="2313" hidden="1" x14ac:dyDescent="0.2"/>
    <row r="2314" hidden="1" x14ac:dyDescent="0.2"/>
    <row r="2315" hidden="1" x14ac:dyDescent="0.2"/>
    <row r="2316" hidden="1" x14ac:dyDescent="0.2"/>
    <row r="2317" hidden="1" x14ac:dyDescent="0.2"/>
    <row r="2318" hidden="1" x14ac:dyDescent="0.2"/>
    <row r="2319" hidden="1" x14ac:dyDescent="0.2"/>
    <row r="2320" hidden="1" x14ac:dyDescent="0.2"/>
    <row r="2321" hidden="1" x14ac:dyDescent="0.2"/>
    <row r="2322" hidden="1" x14ac:dyDescent="0.2"/>
    <row r="2323" hidden="1" x14ac:dyDescent="0.2"/>
    <row r="2324" hidden="1" x14ac:dyDescent="0.2"/>
    <row r="2325" hidden="1" x14ac:dyDescent="0.2"/>
    <row r="2326" hidden="1" x14ac:dyDescent="0.2"/>
    <row r="2327" hidden="1" x14ac:dyDescent="0.2"/>
    <row r="2328" hidden="1" x14ac:dyDescent="0.2"/>
    <row r="2329" hidden="1" x14ac:dyDescent="0.2"/>
    <row r="2330" hidden="1" x14ac:dyDescent="0.2"/>
    <row r="2331" hidden="1" x14ac:dyDescent="0.2"/>
    <row r="2332" hidden="1" x14ac:dyDescent="0.2"/>
    <row r="2333" hidden="1" x14ac:dyDescent="0.2"/>
    <row r="2334" hidden="1" x14ac:dyDescent="0.2"/>
    <row r="2335" hidden="1" x14ac:dyDescent="0.2"/>
    <row r="2336" hidden="1" x14ac:dyDescent="0.2"/>
    <row r="2337" hidden="1" x14ac:dyDescent="0.2"/>
    <row r="2338" hidden="1" x14ac:dyDescent="0.2"/>
    <row r="2339" hidden="1" x14ac:dyDescent="0.2"/>
    <row r="2340" hidden="1" x14ac:dyDescent="0.2"/>
    <row r="2341" hidden="1" x14ac:dyDescent="0.2"/>
    <row r="2342" hidden="1" x14ac:dyDescent="0.2"/>
    <row r="2343" hidden="1" x14ac:dyDescent="0.2"/>
    <row r="2344" hidden="1" x14ac:dyDescent="0.2"/>
    <row r="2345" hidden="1" x14ac:dyDescent="0.2"/>
    <row r="2346" hidden="1" x14ac:dyDescent="0.2"/>
    <row r="2347" hidden="1" x14ac:dyDescent="0.2"/>
    <row r="2348" hidden="1" x14ac:dyDescent="0.2"/>
    <row r="2349" hidden="1" x14ac:dyDescent="0.2"/>
    <row r="2350" hidden="1" x14ac:dyDescent="0.2"/>
    <row r="2351" hidden="1" x14ac:dyDescent="0.2"/>
    <row r="2352" hidden="1" x14ac:dyDescent="0.2"/>
    <row r="2353" hidden="1" x14ac:dyDescent="0.2"/>
    <row r="2354" hidden="1" x14ac:dyDescent="0.2"/>
    <row r="2355" hidden="1" x14ac:dyDescent="0.2"/>
    <row r="2356" hidden="1" x14ac:dyDescent="0.2"/>
    <row r="2357" hidden="1" x14ac:dyDescent="0.2"/>
    <row r="2358" hidden="1" x14ac:dyDescent="0.2"/>
    <row r="2359" hidden="1" x14ac:dyDescent="0.2"/>
    <row r="2360" hidden="1" x14ac:dyDescent="0.2"/>
    <row r="2361" hidden="1" x14ac:dyDescent="0.2"/>
    <row r="2362" hidden="1" x14ac:dyDescent="0.2"/>
    <row r="2363" hidden="1" x14ac:dyDescent="0.2"/>
    <row r="2364" hidden="1" x14ac:dyDescent="0.2"/>
    <row r="2365" hidden="1" x14ac:dyDescent="0.2"/>
    <row r="2366" hidden="1" x14ac:dyDescent="0.2"/>
    <row r="2367" hidden="1" x14ac:dyDescent="0.2"/>
    <row r="2368" hidden="1" x14ac:dyDescent="0.2"/>
    <row r="2369" hidden="1" x14ac:dyDescent="0.2"/>
    <row r="2370" hidden="1" x14ac:dyDescent="0.2"/>
    <row r="2371" hidden="1" x14ac:dyDescent="0.2"/>
    <row r="2372" hidden="1" x14ac:dyDescent="0.2"/>
    <row r="2373" hidden="1" x14ac:dyDescent="0.2"/>
    <row r="2374" hidden="1" x14ac:dyDescent="0.2"/>
    <row r="2375" hidden="1" x14ac:dyDescent="0.2"/>
    <row r="2376" hidden="1" x14ac:dyDescent="0.2"/>
    <row r="2377" hidden="1" x14ac:dyDescent="0.2"/>
    <row r="2378" hidden="1" x14ac:dyDescent="0.2"/>
    <row r="2379" hidden="1" x14ac:dyDescent="0.2"/>
    <row r="2380" hidden="1" x14ac:dyDescent="0.2"/>
    <row r="2381" hidden="1" x14ac:dyDescent="0.2"/>
    <row r="2382" hidden="1" x14ac:dyDescent="0.2"/>
    <row r="2383" hidden="1" x14ac:dyDescent="0.2"/>
    <row r="2384" hidden="1" x14ac:dyDescent="0.2"/>
    <row r="2385" hidden="1" x14ac:dyDescent="0.2"/>
    <row r="2386" hidden="1" x14ac:dyDescent="0.2"/>
    <row r="2387" hidden="1" x14ac:dyDescent="0.2"/>
    <row r="2388" hidden="1" x14ac:dyDescent="0.2"/>
    <row r="2389" hidden="1" x14ac:dyDescent="0.2"/>
    <row r="2390" hidden="1" x14ac:dyDescent="0.2"/>
    <row r="2391" hidden="1" x14ac:dyDescent="0.2"/>
    <row r="2392" hidden="1" x14ac:dyDescent="0.2"/>
    <row r="2393" hidden="1" x14ac:dyDescent="0.2"/>
    <row r="2394" hidden="1" x14ac:dyDescent="0.2"/>
    <row r="2395" hidden="1" x14ac:dyDescent="0.2"/>
    <row r="2396" hidden="1" x14ac:dyDescent="0.2"/>
    <row r="2397" hidden="1" x14ac:dyDescent="0.2"/>
    <row r="2398" hidden="1" x14ac:dyDescent="0.2"/>
    <row r="2399" hidden="1" x14ac:dyDescent="0.2"/>
    <row r="2400" hidden="1" x14ac:dyDescent="0.2"/>
    <row r="2401" hidden="1" x14ac:dyDescent="0.2"/>
    <row r="2402" hidden="1" x14ac:dyDescent="0.2"/>
    <row r="2403" hidden="1" x14ac:dyDescent="0.2"/>
    <row r="2404" hidden="1" x14ac:dyDescent="0.2"/>
    <row r="2405" hidden="1" x14ac:dyDescent="0.2"/>
    <row r="2406" hidden="1" x14ac:dyDescent="0.2"/>
    <row r="2407" hidden="1" x14ac:dyDescent="0.2"/>
    <row r="2408" hidden="1" x14ac:dyDescent="0.2"/>
    <row r="2409" hidden="1" x14ac:dyDescent="0.2"/>
    <row r="2410" hidden="1" x14ac:dyDescent="0.2"/>
    <row r="2411" hidden="1" x14ac:dyDescent="0.2"/>
    <row r="2412" hidden="1" x14ac:dyDescent="0.2"/>
    <row r="2413" hidden="1" x14ac:dyDescent="0.2"/>
    <row r="2414" hidden="1" x14ac:dyDescent="0.2"/>
    <row r="2415" hidden="1" x14ac:dyDescent="0.2"/>
    <row r="2416" hidden="1" x14ac:dyDescent="0.2"/>
    <row r="2417" hidden="1" x14ac:dyDescent="0.2"/>
    <row r="2418" hidden="1" x14ac:dyDescent="0.2"/>
    <row r="2419" hidden="1" x14ac:dyDescent="0.2"/>
    <row r="2420" hidden="1" x14ac:dyDescent="0.2"/>
    <row r="2421" hidden="1" x14ac:dyDescent="0.2"/>
    <row r="2422" hidden="1" x14ac:dyDescent="0.2"/>
    <row r="2423" hidden="1" x14ac:dyDescent="0.2"/>
    <row r="2424" hidden="1" x14ac:dyDescent="0.2"/>
    <row r="2425" hidden="1" x14ac:dyDescent="0.2"/>
    <row r="2426" hidden="1" x14ac:dyDescent="0.2"/>
    <row r="2427" hidden="1" x14ac:dyDescent="0.2"/>
    <row r="2428" hidden="1" x14ac:dyDescent="0.2"/>
    <row r="2429" hidden="1" x14ac:dyDescent="0.2"/>
    <row r="2430" hidden="1" x14ac:dyDescent="0.2"/>
    <row r="2431" hidden="1" x14ac:dyDescent="0.2"/>
    <row r="2432" hidden="1" x14ac:dyDescent="0.2"/>
    <row r="2433" hidden="1" x14ac:dyDescent="0.2"/>
    <row r="2434" hidden="1" x14ac:dyDescent="0.2"/>
    <row r="2435" hidden="1" x14ac:dyDescent="0.2"/>
    <row r="2436" hidden="1" x14ac:dyDescent="0.2"/>
    <row r="2437" hidden="1" x14ac:dyDescent="0.2"/>
    <row r="2438" hidden="1" x14ac:dyDescent="0.2"/>
    <row r="2439" hidden="1" x14ac:dyDescent="0.2"/>
    <row r="2440" hidden="1" x14ac:dyDescent="0.2"/>
    <row r="2441" hidden="1" x14ac:dyDescent="0.2"/>
    <row r="2442" hidden="1" x14ac:dyDescent="0.2"/>
    <row r="2443" hidden="1" x14ac:dyDescent="0.2"/>
    <row r="2444" hidden="1" x14ac:dyDescent="0.2"/>
    <row r="2445" hidden="1" x14ac:dyDescent="0.2"/>
    <row r="2446" hidden="1" x14ac:dyDescent="0.2"/>
    <row r="2447" hidden="1" x14ac:dyDescent="0.2"/>
    <row r="2448" hidden="1" x14ac:dyDescent="0.2"/>
    <row r="2449" hidden="1" x14ac:dyDescent="0.2"/>
    <row r="2450" hidden="1" x14ac:dyDescent="0.2"/>
    <row r="2451" hidden="1" x14ac:dyDescent="0.2"/>
    <row r="2452" hidden="1" x14ac:dyDescent="0.2"/>
    <row r="2453" hidden="1" x14ac:dyDescent="0.2"/>
    <row r="2454" hidden="1" x14ac:dyDescent="0.2"/>
    <row r="2455" hidden="1" x14ac:dyDescent="0.2"/>
    <row r="2456" hidden="1" x14ac:dyDescent="0.2"/>
    <row r="2457" hidden="1" x14ac:dyDescent="0.2"/>
    <row r="2458" hidden="1" x14ac:dyDescent="0.2"/>
    <row r="2459" hidden="1" x14ac:dyDescent="0.2"/>
    <row r="2460" hidden="1" x14ac:dyDescent="0.2"/>
    <row r="2461" hidden="1" x14ac:dyDescent="0.2"/>
    <row r="2462" hidden="1" x14ac:dyDescent="0.2"/>
    <row r="2463" hidden="1" x14ac:dyDescent="0.2"/>
    <row r="2464" hidden="1" x14ac:dyDescent="0.2"/>
    <row r="2465" hidden="1" x14ac:dyDescent="0.2"/>
    <row r="2466" hidden="1" x14ac:dyDescent="0.2"/>
    <row r="2467" hidden="1" x14ac:dyDescent="0.2"/>
    <row r="2468" hidden="1" x14ac:dyDescent="0.2"/>
    <row r="2469" hidden="1" x14ac:dyDescent="0.2"/>
    <row r="2470" hidden="1" x14ac:dyDescent="0.2"/>
    <row r="2471" hidden="1" x14ac:dyDescent="0.2"/>
    <row r="2472" hidden="1" x14ac:dyDescent="0.2"/>
    <row r="2473" hidden="1" x14ac:dyDescent="0.2"/>
    <row r="2474" hidden="1" x14ac:dyDescent="0.2"/>
    <row r="2475" hidden="1" x14ac:dyDescent="0.2"/>
    <row r="2476" hidden="1" x14ac:dyDescent="0.2"/>
    <row r="2477" hidden="1" x14ac:dyDescent="0.2"/>
    <row r="2478" hidden="1" x14ac:dyDescent="0.2"/>
    <row r="2479" hidden="1" x14ac:dyDescent="0.2"/>
    <row r="2480" hidden="1" x14ac:dyDescent="0.2"/>
    <row r="2481" hidden="1" x14ac:dyDescent="0.2"/>
    <row r="2482" hidden="1" x14ac:dyDescent="0.2"/>
    <row r="2483" hidden="1" x14ac:dyDescent="0.2"/>
    <row r="2484" hidden="1" x14ac:dyDescent="0.2"/>
    <row r="2485" hidden="1" x14ac:dyDescent="0.2"/>
    <row r="2486" hidden="1" x14ac:dyDescent="0.2"/>
    <row r="2487" hidden="1" x14ac:dyDescent="0.2"/>
    <row r="2488" hidden="1" x14ac:dyDescent="0.2"/>
    <row r="2489" hidden="1" x14ac:dyDescent="0.2"/>
    <row r="2490" hidden="1" x14ac:dyDescent="0.2"/>
    <row r="2491" hidden="1" x14ac:dyDescent="0.2"/>
    <row r="2492" hidden="1" x14ac:dyDescent="0.2"/>
    <row r="2493" hidden="1" x14ac:dyDescent="0.2"/>
    <row r="2494" hidden="1" x14ac:dyDescent="0.2"/>
    <row r="2495" hidden="1" x14ac:dyDescent="0.2"/>
    <row r="2496" hidden="1" x14ac:dyDescent="0.2"/>
    <row r="2497" hidden="1" x14ac:dyDescent="0.2"/>
    <row r="2498" hidden="1" x14ac:dyDescent="0.2"/>
    <row r="2499" hidden="1" x14ac:dyDescent="0.2"/>
    <row r="2500" hidden="1" x14ac:dyDescent="0.2"/>
    <row r="2501" hidden="1" x14ac:dyDescent="0.2"/>
    <row r="2502" hidden="1" x14ac:dyDescent="0.2"/>
    <row r="2503" hidden="1" x14ac:dyDescent="0.2"/>
    <row r="2504" hidden="1" x14ac:dyDescent="0.2"/>
    <row r="2505" hidden="1" x14ac:dyDescent="0.2"/>
    <row r="2506" hidden="1" x14ac:dyDescent="0.2"/>
    <row r="2507" hidden="1" x14ac:dyDescent="0.2"/>
    <row r="2508" hidden="1" x14ac:dyDescent="0.2"/>
    <row r="2509" hidden="1" x14ac:dyDescent="0.2"/>
    <row r="2510" hidden="1" x14ac:dyDescent="0.2"/>
    <row r="2511" hidden="1" x14ac:dyDescent="0.2"/>
    <row r="2512" hidden="1" x14ac:dyDescent="0.2"/>
    <row r="2513" hidden="1" x14ac:dyDescent="0.2"/>
    <row r="2514" hidden="1" x14ac:dyDescent="0.2"/>
    <row r="2515" hidden="1" x14ac:dyDescent="0.2"/>
    <row r="2516" hidden="1" x14ac:dyDescent="0.2"/>
    <row r="2517" hidden="1" x14ac:dyDescent="0.2"/>
    <row r="2518" hidden="1" x14ac:dyDescent="0.2"/>
    <row r="2519" hidden="1" x14ac:dyDescent="0.2"/>
    <row r="2520" hidden="1" x14ac:dyDescent="0.2"/>
    <row r="2521" hidden="1" x14ac:dyDescent="0.2"/>
    <row r="2522" hidden="1" x14ac:dyDescent="0.2"/>
    <row r="2523" hidden="1" x14ac:dyDescent="0.2"/>
    <row r="2524" hidden="1" x14ac:dyDescent="0.2"/>
    <row r="2525" hidden="1" x14ac:dyDescent="0.2"/>
    <row r="2526" hidden="1" x14ac:dyDescent="0.2"/>
    <row r="2527" hidden="1" x14ac:dyDescent="0.2"/>
    <row r="2528" hidden="1" x14ac:dyDescent="0.2"/>
    <row r="2529" hidden="1" x14ac:dyDescent="0.2"/>
    <row r="2530" hidden="1" x14ac:dyDescent="0.2"/>
    <row r="2531" hidden="1" x14ac:dyDescent="0.2"/>
    <row r="2532" hidden="1" x14ac:dyDescent="0.2"/>
    <row r="2533" hidden="1" x14ac:dyDescent="0.2"/>
    <row r="2534" hidden="1" x14ac:dyDescent="0.2"/>
    <row r="2535" hidden="1" x14ac:dyDescent="0.2"/>
    <row r="2536" hidden="1" x14ac:dyDescent="0.2"/>
    <row r="2537" hidden="1" x14ac:dyDescent="0.2"/>
    <row r="2538" hidden="1" x14ac:dyDescent="0.2"/>
    <row r="2539" hidden="1" x14ac:dyDescent="0.2"/>
    <row r="2540" hidden="1" x14ac:dyDescent="0.2"/>
    <row r="2541" hidden="1" x14ac:dyDescent="0.2"/>
    <row r="2542" hidden="1" x14ac:dyDescent="0.2"/>
    <row r="2543" hidden="1" x14ac:dyDescent="0.2"/>
    <row r="2544" hidden="1" x14ac:dyDescent="0.2"/>
    <row r="2545" hidden="1" x14ac:dyDescent="0.2"/>
    <row r="2546" hidden="1" x14ac:dyDescent="0.2"/>
    <row r="2547" hidden="1" x14ac:dyDescent="0.2"/>
    <row r="2548" hidden="1" x14ac:dyDescent="0.2"/>
    <row r="2549" hidden="1" x14ac:dyDescent="0.2"/>
    <row r="2550" hidden="1" x14ac:dyDescent="0.2"/>
    <row r="2551" hidden="1" x14ac:dyDescent="0.2"/>
    <row r="2552" hidden="1" x14ac:dyDescent="0.2"/>
    <row r="2553" hidden="1" x14ac:dyDescent="0.2"/>
    <row r="2554" hidden="1" x14ac:dyDescent="0.2"/>
    <row r="2555" hidden="1" x14ac:dyDescent="0.2"/>
    <row r="2556" hidden="1" x14ac:dyDescent="0.2"/>
    <row r="2557" hidden="1" x14ac:dyDescent="0.2"/>
    <row r="2558" hidden="1" x14ac:dyDescent="0.2"/>
    <row r="2559" hidden="1" x14ac:dyDescent="0.2"/>
    <row r="2560" hidden="1" x14ac:dyDescent="0.2"/>
    <row r="2561" hidden="1" x14ac:dyDescent="0.2"/>
    <row r="2562" hidden="1" x14ac:dyDescent="0.2"/>
    <row r="2563" hidden="1" x14ac:dyDescent="0.2"/>
    <row r="2564" hidden="1" x14ac:dyDescent="0.2"/>
    <row r="2565" hidden="1" x14ac:dyDescent="0.2"/>
    <row r="2566" hidden="1" x14ac:dyDescent="0.2"/>
    <row r="2567" hidden="1" x14ac:dyDescent="0.2"/>
    <row r="2568" hidden="1" x14ac:dyDescent="0.2"/>
    <row r="2569" hidden="1" x14ac:dyDescent="0.2"/>
    <row r="2570" hidden="1" x14ac:dyDescent="0.2"/>
    <row r="2571" hidden="1" x14ac:dyDescent="0.2"/>
    <row r="2572" hidden="1" x14ac:dyDescent="0.2"/>
    <row r="2573" hidden="1" x14ac:dyDescent="0.2"/>
    <row r="2574" hidden="1" x14ac:dyDescent="0.2"/>
    <row r="2575" hidden="1" x14ac:dyDescent="0.2"/>
    <row r="2576" hidden="1" x14ac:dyDescent="0.2"/>
    <row r="2577" hidden="1" x14ac:dyDescent="0.2"/>
    <row r="2578" hidden="1" x14ac:dyDescent="0.2"/>
    <row r="2579" hidden="1" x14ac:dyDescent="0.2"/>
    <row r="2580" hidden="1" x14ac:dyDescent="0.2"/>
    <row r="2581" hidden="1" x14ac:dyDescent="0.2"/>
    <row r="2582" hidden="1" x14ac:dyDescent="0.2"/>
    <row r="2583" hidden="1" x14ac:dyDescent="0.2"/>
    <row r="2584" hidden="1" x14ac:dyDescent="0.2"/>
    <row r="2585" hidden="1" x14ac:dyDescent="0.2"/>
    <row r="2586" hidden="1" x14ac:dyDescent="0.2"/>
    <row r="2587" hidden="1" x14ac:dyDescent="0.2"/>
    <row r="2588" hidden="1" x14ac:dyDescent="0.2"/>
    <row r="2589" hidden="1" x14ac:dyDescent="0.2"/>
    <row r="2590" hidden="1" x14ac:dyDescent="0.2"/>
    <row r="2591" hidden="1" x14ac:dyDescent="0.2"/>
    <row r="2592" hidden="1" x14ac:dyDescent="0.2"/>
    <row r="2593" hidden="1" x14ac:dyDescent="0.2"/>
    <row r="2594" hidden="1" x14ac:dyDescent="0.2"/>
    <row r="2595" hidden="1" x14ac:dyDescent="0.2"/>
    <row r="2596" hidden="1" x14ac:dyDescent="0.2"/>
    <row r="2597" hidden="1" x14ac:dyDescent="0.2"/>
    <row r="2598" hidden="1" x14ac:dyDescent="0.2"/>
    <row r="2599" hidden="1" x14ac:dyDescent="0.2"/>
    <row r="2600" hidden="1" x14ac:dyDescent="0.2"/>
    <row r="2601" hidden="1" x14ac:dyDescent="0.2"/>
    <row r="2602" hidden="1" x14ac:dyDescent="0.2"/>
    <row r="2603" hidden="1" x14ac:dyDescent="0.2"/>
    <row r="2604" hidden="1" x14ac:dyDescent="0.2"/>
    <row r="2605" hidden="1" x14ac:dyDescent="0.2"/>
    <row r="2606" hidden="1" x14ac:dyDescent="0.2"/>
    <row r="2607" hidden="1" x14ac:dyDescent="0.2"/>
    <row r="2608" hidden="1" x14ac:dyDescent="0.2"/>
    <row r="2609" hidden="1" x14ac:dyDescent="0.2"/>
    <row r="2610" hidden="1" x14ac:dyDescent="0.2"/>
    <row r="2611" hidden="1" x14ac:dyDescent="0.2"/>
    <row r="2612" hidden="1" x14ac:dyDescent="0.2"/>
    <row r="2613" hidden="1" x14ac:dyDescent="0.2"/>
    <row r="2614" hidden="1" x14ac:dyDescent="0.2"/>
    <row r="2615" hidden="1" x14ac:dyDescent="0.2"/>
    <row r="2616" hidden="1" x14ac:dyDescent="0.2"/>
    <row r="2617" hidden="1" x14ac:dyDescent="0.2"/>
    <row r="2618" hidden="1" x14ac:dyDescent="0.2"/>
    <row r="2619" hidden="1" x14ac:dyDescent="0.2"/>
    <row r="2620" hidden="1" x14ac:dyDescent="0.2"/>
    <row r="2621" hidden="1" x14ac:dyDescent="0.2"/>
    <row r="2622" hidden="1" x14ac:dyDescent="0.2"/>
    <row r="2623" hidden="1" x14ac:dyDescent="0.2"/>
    <row r="2624" hidden="1" x14ac:dyDescent="0.2"/>
    <row r="2625" hidden="1" x14ac:dyDescent="0.2"/>
    <row r="2626" hidden="1" x14ac:dyDescent="0.2"/>
    <row r="2627" hidden="1" x14ac:dyDescent="0.2"/>
    <row r="2628" hidden="1" x14ac:dyDescent="0.2"/>
    <row r="2629" hidden="1" x14ac:dyDescent="0.2"/>
    <row r="2630" hidden="1" x14ac:dyDescent="0.2"/>
    <row r="2631" hidden="1" x14ac:dyDescent="0.2"/>
    <row r="2632" hidden="1" x14ac:dyDescent="0.2"/>
    <row r="2633" hidden="1" x14ac:dyDescent="0.2"/>
    <row r="2634" hidden="1" x14ac:dyDescent="0.2"/>
    <row r="2635" hidden="1" x14ac:dyDescent="0.2"/>
    <row r="2636" hidden="1" x14ac:dyDescent="0.2"/>
    <row r="2637" hidden="1" x14ac:dyDescent="0.2"/>
    <row r="2638" hidden="1" x14ac:dyDescent="0.2"/>
    <row r="2639" hidden="1" x14ac:dyDescent="0.2"/>
    <row r="2640" hidden="1" x14ac:dyDescent="0.2"/>
    <row r="2641" hidden="1" x14ac:dyDescent="0.2"/>
    <row r="2642" hidden="1" x14ac:dyDescent="0.2"/>
    <row r="2643" hidden="1" x14ac:dyDescent="0.2"/>
    <row r="2644" hidden="1" x14ac:dyDescent="0.2"/>
    <row r="2645" hidden="1" x14ac:dyDescent="0.2"/>
    <row r="2646" hidden="1" x14ac:dyDescent="0.2"/>
    <row r="2647" hidden="1" x14ac:dyDescent="0.2"/>
    <row r="2648" hidden="1" x14ac:dyDescent="0.2"/>
    <row r="2649" hidden="1" x14ac:dyDescent="0.2"/>
    <row r="2650" hidden="1" x14ac:dyDescent="0.2"/>
    <row r="2651" hidden="1" x14ac:dyDescent="0.2"/>
    <row r="2652" hidden="1" x14ac:dyDescent="0.2"/>
    <row r="2653" hidden="1" x14ac:dyDescent="0.2"/>
    <row r="2654" hidden="1" x14ac:dyDescent="0.2"/>
    <row r="2655" hidden="1" x14ac:dyDescent="0.2"/>
    <row r="2656" hidden="1" x14ac:dyDescent="0.2"/>
    <row r="2657" hidden="1" x14ac:dyDescent="0.2"/>
    <row r="2658" hidden="1" x14ac:dyDescent="0.2"/>
    <row r="2659" hidden="1" x14ac:dyDescent="0.2"/>
    <row r="2660" hidden="1" x14ac:dyDescent="0.2"/>
    <row r="2661" hidden="1" x14ac:dyDescent="0.2"/>
    <row r="2662" hidden="1" x14ac:dyDescent="0.2"/>
    <row r="2663" hidden="1" x14ac:dyDescent="0.2"/>
    <row r="2664" hidden="1" x14ac:dyDescent="0.2"/>
    <row r="2665" hidden="1" x14ac:dyDescent="0.2"/>
    <row r="2666" hidden="1" x14ac:dyDescent="0.2"/>
    <row r="2667" hidden="1" x14ac:dyDescent="0.2"/>
    <row r="2668" hidden="1" x14ac:dyDescent="0.2"/>
    <row r="2669" hidden="1" x14ac:dyDescent="0.2"/>
    <row r="2670" hidden="1" x14ac:dyDescent="0.2"/>
    <row r="2671" hidden="1" x14ac:dyDescent="0.2"/>
    <row r="2672" hidden="1" x14ac:dyDescent="0.2"/>
    <row r="2673" hidden="1" x14ac:dyDescent="0.2"/>
    <row r="2674" hidden="1" x14ac:dyDescent="0.2"/>
    <row r="2675" hidden="1" x14ac:dyDescent="0.2"/>
    <row r="2676" hidden="1" x14ac:dyDescent="0.2"/>
    <row r="2677" hidden="1" x14ac:dyDescent="0.2"/>
    <row r="2678" hidden="1" x14ac:dyDescent="0.2"/>
    <row r="2679" hidden="1" x14ac:dyDescent="0.2"/>
    <row r="2680" hidden="1" x14ac:dyDescent="0.2"/>
    <row r="2681" hidden="1" x14ac:dyDescent="0.2"/>
    <row r="2682" hidden="1" x14ac:dyDescent="0.2"/>
    <row r="2683" hidden="1" x14ac:dyDescent="0.2"/>
    <row r="2684" hidden="1" x14ac:dyDescent="0.2"/>
    <row r="2685" hidden="1" x14ac:dyDescent="0.2"/>
    <row r="2686" hidden="1" x14ac:dyDescent="0.2"/>
    <row r="2687" hidden="1" x14ac:dyDescent="0.2"/>
    <row r="2688" hidden="1" x14ac:dyDescent="0.2"/>
    <row r="2689" hidden="1" x14ac:dyDescent="0.2"/>
    <row r="2690" hidden="1" x14ac:dyDescent="0.2"/>
    <row r="2691" hidden="1" x14ac:dyDescent="0.2"/>
    <row r="2692" hidden="1" x14ac:dyDescent="0.2"/>
    <row r="2693" hidden="1" x14ac:dyDescent="0.2"/>
    <row r="2694" hidden="1" x14ac:dyDescent="0.2"/>
    <row r="2695" hidden="1" x14ac:dyDescent="0.2"/>
    <row r="2696" hidden="1" x14ac:dyDescent="0.2"/>
    <row r="2697" hidden="1" x14ac:dyDescent="0.2"/>
    <row r="2698" hidden="1" x14ac:dyDescent="0.2"/>
    <row r="2699" hidden="1" x14ac:dyDescent="0.2"/>
    <row r="2700" hidden="1" x14ac:dyDescent="0.2"/>
    <row r="2701" hidden="1" x14ac:dyDescent="0.2"/>
    <row r="2702" hidden="1" x14ac:dyDescent="0.2"/>
    <row r="2703" hidden="1" x14ac:dyDescent="0.2"/>
    <row r="2704" hidden="1" x14ac:dyDescent="0.2"/>
    <row r="2705" hidden="1" x14ac:dyDescent="0.2"/>
    <row r="2706" hidden="1" x14ac:dyDescent="0.2"/>
    <row r="2707" hidden="1" x14ac:dyDescent="0.2"/>
    <row r="2708" hidden="1" x14ac:dyDescent="0.2"/>
    <row r="2709" hidden="1" x14ac:dyDescent="0.2"/>
    <row r="2710" hidden="1" x14ac:dyDescent="0.2"/>
    <row r="2711" hidden="1" x14ac:dyDescent="0.2"/>
    <row r="2712" hidden="1" x14ac:dyDescent="0.2"/>
    <row r="2713" hidden="1" x14ac:dyDescent="0.2"/>
    <row r="2714" hidden="1" x14ac:dyDescent="0.2"/>
    <row r="2715" hidden="1" x14ac:dyDescent="0.2"/>
    <row r="2716" hidden="1" x14ac:dyDescent="0.2"/>
    <row r="2717" hidden="1" x14ac:dyDescent="0.2"/>
    <row r="2718" hidden="1" x14ac:dyDescent="0.2"/>
    <row r="2719" hidden="1" x14ac:dyDescent="0.2"/>
    <row r="2720" hidden="1" x14ac:dyDescent="0.2"/>
    <row r="2721" hidden="1" x14ac:dyDescent="0.2"/>
    <row r="2722" hidden="1" x14ac:dyDescent="0.2"/>
    <row r="2723" hidden="1" x14ac:dyDescent="0.2"/>
    <row r="2724" hidden="1" x14ac:dyDescent="0.2"/>
    <row r="2725" hidden="1" x14ac:dyDescent="0.2"/>
    <row r="2726" hidden="1" x14ac:dyDescent="0.2"/>
    <row r="2727" hidden="1" x14ac:dyDescent="0.2"/>
    <row r="2728" hidden="1" x14ac:dyDescent="0.2"/>
    <row r="2729" hidden="1" x14ac:dyDescent="0.2"/>
    <row r="2730" hidden="1" x14ac:dyDescent="0.2"/>
    <row r="2731" hidden="1" x14ac:dyDescent="0.2"/>
    <row r="2732" hidden="1" x14ac:dyDescent="0.2"/>
    <row r="2733" hidden="1" x14ac:dyDescent="0.2"/>
    <row r="2734" hidden="1" x14ac:dyDescent="0.2"/>
    <row r="2735" hidden="1" x14ac:dyDescent="0.2"/>
    <row r="2736" hidden="1" x14ac:dyDescent="0.2"/>
    <row r="2737" hidden="1" x14ac:dyDescent="0.2"/>
    <row r="2738" hidden="1" x14ac:dyDescent="0.2"/>
    <row r="2739" hidden="1" x14ac:dyDescent="0.2"/>
    <row r="2740" hidden="1" x14ac:dyDescent="0.2"/>
    <row r="2741" hidden="1" x14ac:dyDescent="0.2"/>
    <row r="2742" hidden="1" x14ac:dyDescent="0.2"/>
    <row r="2743" hidden="1" x14ac:dyDescent="0.2"/>
    <row r="2744" hidden="1" x14ac:dyDescent="0.2"/>
    <row r="2745" hidden="1" x14ac:dyDescent="0.2"/>
    <row r="2746" hidden="1" x14ac:dyDescent="0.2"/>
    <row r="2747" hidden="1" x14ac:dyDescent="0.2"/>
    <row r="2748" hidden="1" x14ac:dyDescent="0.2"/>
    <row r="2749" hidden="1" x14ac:dyDescent="0.2"/>
    <row r="2750" hidden="1" x14ac:dyDescent="0.2"/>
    <row r="2751" hidden="1" x14ac:dyDescent="0.2"/>
    <row r="2752" hidden="1" x14ac:dyDescent="0.2"/>
    <row r="2753" hidden="1" x14ac:dyDescent="0.2"/>
    <row r="2754" hidden="1" x14ac:dyDescent="0.2"/>
    <row r="2755" hidden="1" x14ac:dyDescent="0.2"/>
    <row r="2756" hidden="1" x14ac:dyDescent="0.2"/>
    <row r="2757" hidden="1" x14ac:dyDescent="0.2"/>
    <row r="2758" hidden="1" x14ac:dyDescent="0.2"/>
    <row r="2759" hidden="1" x14ac:dyDescent="0.2"/>
    <row r="2760" hidden="1" x14ac:dyDescent="0.2"/>
    <row r="2761" hidden="1" x14ac:dyDescent="0.2"/>
    <row r="2762" hidden="1" x14ac:dyDescent="0.2"/>
    <row r="2763" hidden="1" x14ac:dyDescent="0.2"/>
    <row r="2764" hidden="1" x14ac:dyDescent="0.2"/>
    <row r="2765" hidden="1" x14ac:dyDescent="0.2"/>
    <row r="2766" hidden="1" x14ac:dyDescent="0.2"/>
    <row r="2767" hidden="1" x14ac:dyDescent="0.2"/>
    <row r="2768" hidden="1" x14ac:dyDescent="0.2"/>
    <row r="2769" hidden="1" x14ac:dyDescent="0.2"/>
    <row r="2770" hidden="1" x14ac:dyDescent="0.2"/>
    <row r="2771" hidden="1" x14ac:dyDescent="0.2"/>
    <row r="2772" hidden="1" x14ac:dyDescent="0.2"/>
    <row r="2773" hidden="1" x14ac:dyDescent="0.2"/>
    <row r="2774" hidden="1" x14ac:dyDescent="0.2"/>
    <row r="2775" hidden="1" x14ac:dyDescent="0.2"/>
    <row r="2776" hidden="1" x14ac:dyDescent="0.2"/>
    <row r="2777" hidden="1" x14ac:dyDescent="0.2"/>
    <row r="2778" hidden="1" x14ac:dyDescent="0.2"/>
    <row r="2779" hidden="1" x14ac:dyDescent="0.2"/>
    <row r="2780" hidden="1" x14ac:dyDescent="0.2"/>
    <row r="2781" hidden="1" x14ac:dyDescent="0.2"/>
    <row r="2782" hidden="1" x14ac:dyDescent="0.2"/>
    <row r="2783" hidden="1" x14ac:dyDescent="0.2"/>
    <row r="2784" hidden="1" x14ac:dyDescent="0.2"/>
    <row r="2785" hidden="1" x14ac:dyDescent="0.2"/>
    <row r="2786" hidden="1" x14ac:dyDescent="0.2"/>
    <row r="2787" hidden="1" x14ac:dyDescent="0.2"/>
    <row r="2788" hidden="1" x14ac:dyDescent="0.2"/>
    <row r="2789" hidden="1" x14ac:dyDescent="0.2"/>
    <row r="2790" hidden="1" x14ac:dyDescent="0.2"/>
    <row r="2791" hidden="1" x14ac:dyDescent="0.2"/>
    <row r="2792" hidden="1" x14ac:dyDescent="0.2"/>
    <row r="2793" hidden="1" x14ac:dyDescent="0.2"/>
    <row r="2794" hidden="1" x14ac:dyDescent="0.2"/>
    <row r="2795" hidden="1" x14ac:dyDescent="0.2"/>
    <row r="2796" hidden="1" x14ac:dyDescent="0.2"/>
    <row r="2797" hidden="1" x14ac:dyDescent="0.2"/>
    <row r="2798" hidden="1" x14ac:dyDescent="0.2"/>
    <row r="2799" hidden="1" x14ac:dyDescent="0.2"/>
    <row r="2800" hidden="1" x14ac:dyDescent="0.2"/>
    <row r="2801" hidden="1" x14ac:dyDescent="0.2"/>
    <row r="2802" hidden="1" x14ac:dyDescent="0.2"/>
    <row r="2803" hidden="1" x14ac:dyDescent="0.2"/>
    <row r="2804" hidden="1" x14ac:dyDescent="0.2"/>
    <row r="2805" hidden="1" x14ac:dyDescent="0.2"/>
    <row r="2806" hidden="1" x14ac:dyDescent="0.2"/>
    <row r="2807" hidden="1" x14ac:dyDescent="0.2"/>
    <row r="2808" hidden="1" x14ac:dyDescent="0.2"/>
    <row r="2809" hidden="1" x14ac:dyDescent="0.2"/>
    <row r="2810" hidden="1" x14ac:dyDescent="0.2"/>
    <row r="2811" hidden="1" x14ac:dyDescent="0.2"/>
    <row r="2812" hidden="1" x14ac:dyDescent="0.2"/>
    <row r="2813" hidden="1" x14ac:dyDescent="0.2"/>
    <row r="2814" hidden="1" x14ac:dyDescent="0.2"/>
    <row r="2815" hidden="1" x14ac:dyDescent="0.2"/>
    <row r="2816" hidden="1" x14ac:dyDescent="0.2"/>
    <row r="2817" hidden="1" x14ac:dyDescent="0.2"/>
    <row r="2818" hidden="1" x14ac:dyDescent="0.2"/>
    <row r="2819" hidden="1" x14ac:dyDescent="0.2"/>
    <row r="2820" hidden="1" x14ac:dyDescent="0.2"/>
    <row r="2821" hidden="1" x14ac:dyDescent="0.2"/>
    <row r="2822" hidden="1" x14ac:dyDescent="0.2"/>
    <row r="2823" hidden="1" x14ac:dyDescent="0.2"/>
    <row r="2824" hidden="1" x14ac:dyDescent="0.2"/>
    <row r="2825" hidden="1" x14ac:dyDescent="0.2"/>
    <row r="2826" hidden="1" x14ac:dyDescent="0.2"/>
    <row r="2827" hidden="1" x14ac:dyDescent="0.2"/>
    <row r="2828" hidden="1" x14ac:dyDescent="0.2"/>
    <row r="2829" hidden="1" x14ac:dyDescent="0.2"/>
    <row r="2830" hidden="1" x14ac:dyDescent="0.2"/>
    <row r="2831" hidden="1" x14ac:dyDescent="0.2"/>
    <row r="2832" hidden="1" x14ac:dyDescent="0.2"/>
    <row r="2833" hidden="1" x14ac:dyDescent="0.2"/>
    <row r="2834" hidden="1" x14ac:dyDescent="0.2"/>
    <row r="2835" hidden="1" x14ac:dyDescent="0.2"/>
    <row r="2836" hidden="1" x14ac:dyDescent="0.2"/>
    <row r="2837" hidden="1" x14ac:dyDescent="0.2"/>
    <row r="2838" hidden="1" x14ac:dyDescent="0.2"/>
    <row r="2839" hidden="1" x14ac:dyDescent="0.2"/>
    <row r="2840" hidden="1" x14ac:dyDescent="0.2"/>
    <row r="2841" hidden="1" x14ac:dyDescent="0.2"/>
    <row r="2842" hidden="1" x14ac:dyDescent="0.2"/>
    <row r="2843" hidden="1" x14ac:dyDescent="0.2"/>
    <row r="2844" hidden="1" x14ac:dyDescent="0.2"/>
    <row r="2845" hidden="1" x14ac:dyDescent="0.2"/>
    <row r="2846" hidden="1" x14ac:dyDescent="0.2"/>
    <row r="2847" hidden="1" x14ac:dyDescent="0.2"/>
    <row r="2848" hidden="1" x14ac:dyDescent="0.2"/>
    <row r="2849" hidden="1" x14ac:dyDescent="0.2"/>
    <row r="2850" hidden="1" x14ac:dyDescent="0.2"/>
    <row r="2851" hidden="1" x14ac:dyDescent="0.2"/>
    <row r="2852" hidden="1" x14ac:dyDescent="0.2"/>
    <row r="2853" hidden="1" x14ac:dyDescent="0.2"/>
    <row r="2854" hidden="1" x14ac:dyDescent="0.2"/>
    <row r="2855" hidden="1" x14ac:dyDescent="0.2"/>
    <row r="2856" hidden="1" x14ac:dyDescent="0.2"/>
    <row r="2857" hidden="1" x14ac:dyDescent="0.2"/>
    <row r="2858" hidden="1" x14ac:dyDescent="0.2"/>
    <row r="2859" hidden="1" x14ac:dyDescent="0.2"/>
    <row r="2860" hidden="1" x14ac:dyDescent="0.2"/>
    <row r="2861" hidden="1" x14ac:dyDescent="0.2"/>
    <row r="2862" hidden="1" x14ac:dyDescent="0.2"/>
    <row r="2863" hidden="1" x14ac:dyDescent="0.2"/>
    <row r="2864" hidden="1" x14ac:dyDescent="0.2"/>
    <row r="2865" hidden="1" x14ac:dyDescent="0.2"/>
    <row r="2866" hidden="1" x14ac:dyDescent="0.2"/>
    <row r="2867" hidden="1" x14ac:dyDescent="0.2"/>
    <row r="2868" hidden="1" x14ac:dyDescent="0.2"/>
    <row r="2869" hidden="1" x14ac:dyDescent="0.2"/>
    <row r="2870" hidden="1" x14ac:dyDescent="0.2"/>
    <row r="2871" hidden="1" x14ac:dyDescent="0.2"/>
    <row r="2872" hidden="1" x14ac:dyDescent="0.2"/>
    <row r="2873" hidden="1" x14ac:dyDescent="0.2"/>
    <row r="2874" hidden="1" x14ac:dyDescent="0.2"/>
    <row r="2875" hidden="1" x14ac:dyDescent="0.2"/>
    <row r="2876" hidden="1" x14ac:dyDescent="0.2"/>
    <row r="2877" hidden="1" x14ac:dyDescent="0.2"/>
    <row r="2878" hidden="1" x14ac:dyDescent="0.2"/>
    <row r="2879" hidden="1" x14ac:dyDescent="0.2"/>
    <row r="2880" hidden="1" x14ac:dyDescent="0.2"/>
    <row r="2881" hidden="1" x14ac:dyDescent="0.2"/>
    <row r="2882" hidden="1" x14ac:dyDescent="0.2"/>
    <row r="2883" hidden="1" x14ac:dyDescent="0.2"/>
    <row r="2884" hidden="1" x14ac:dyDescent="0.2"/>
    <row r="2885" hidden="1" x14ac:dyDescent="0.2"/>
    <row r="2886" hidden="1" x14ac:dyDescent="0.2"/>
    <row r="2887" hidden="1" x14ac:dyDescent="0.2"/>
    <row r="2888" hidden="1" x14ac:dyDescent="0.2"/>
    <row r="2889" hidden="1" x14ac:dyDescent="0.2"/>
    <row r="2890" hidden="1" x14ac:dyDescent="0.2"/>
    <row r="2891" hidden="1" x14ac:dyDescent="0.2"/>
    <row r="2892" hidden="1" x14ac:dyDescent="0.2"/>
    <row r="2893" hidden="1" x14ac:dyDescent="0.2"/>
    <row r="2894" hidden="1" x14ac:dyDescent="0.2"/>
    <row r="2895" hidden="1" x14ac:dyDescent="0.2"/>
    <row r="2896" hidden="1" x14ac:dyDescent="0.2"/>
    <row r="2897" hidden="1" x14ac:dyDescent="0.2"/>
    <row r="2898" hidden="1" x14ac:dyDescent="0.2"/>
    <row r="2899" hidden="1" x14ac:dyDescent="0.2"/>
    <row r="2900" hidden="1" x14ac:dyDescent="0.2"/>
    <row r="2901" hidden="1" x14ac:dyDescent="0.2"/>
    <row r="2902" hidden="1" x14ac:dyDescent="0.2"/>
    <row r="2903" hidden="1" x14ac:dyDescent="0.2"/>
    <row r="2904" hidden="1" x14ac:dyDescent="0.2"/>
    <row r="2905" hidden="1" x14ac:dyDescent="0.2"/>
    <row r="2906" hidden="1" x14ac:dyDescent="0.2"/>
    <row r="2907" hidden="1" x14ac:dyDescent="0.2"/>
    <row r="2908" hidden="1" x14ac:dyDescent="0.2"/>
    <row r="2909" hidden="1" x14ac:dyDescent="0.2"/>
    <row r="2910" hidden="1" x14ac:dyDescent="0.2"/>
    <row r="2911" hidden="1" x14ac:dyDescent="0.2"/>
    <row r="2912" hidden="1" x14ac:dyDescent="0.2"/>
    <row r="2913" hidden="1" x14ac:dyDescent="0.2"/>
    <row r="2914" hidden="1" x14ac:dyDescent="0.2"/>
    <row r="2915" hidden="1" x14ac:dyDescent="0.2"/>
    <row r="2916" hidden="1" x14ac:dyDescent="0.2"/>
    <row r="2917" hidden="1" x14ac:dyDescent="0.2"/>
    <row r="2918" hidden="1" x14ac:dyDescent="0.2"/>
    <row r="2919" hidden="1" x14ac:dyDescent="0.2"/>
    <row r="2920" hidden="1" x14ac:dyDescent="0.2"/>
    <row r="2921" hidden="1" x14ac:dyDescent="0.2"/>
    <row r="2922" hidden="1" x14ac:dyDescent="0.2"/>
    <row r="2923" hidden="1" x14ac:dyDescent="0.2"/>
    <row r="2924" hidden="1" x14ac:dyDescent="0.2"/>
    <row r="2925" hidden="1" x14ac:dyDescent="0.2"/>
    <row r="2926" hidden="1" x14ac:dyDescent="0.2"/>
    <row r="2927" hidden="1" x14ac:dyDescent="0.2"/>
    <row r="2928" hidden="1" x14ac:dyDescent="0.2"/>
    <row r="2929" hidden="1" x14ac:dyDescent="0.2"/>
    <row r="2930" hidden="1" x14ac:dyDescent="0.2"/>
    <row r="2931" hidden="1" x14ac:dyDescent="0.2"/>
    <row r="2932" hidden="1" x14ac:dyDescent="0.2"/>
    <row r="2933" hidden="1" x14ac:dyDescent="0.2"/>
    <row r="2934" hidden="1" x14ac:dyDescent="0.2"/>
    <row r="2935" hidden="1" x14ac:dyDescent="0.2"/>
    <row r="2936" hidden="1" x14ac:dyDescent="0.2"/>
    <row r="2937" hidden="1" x14ac:dyDescent="0.2"/>
    <row r="2938" hidden="1" x14ac:dyDescent="0.2"/>
    <row r="2939" hidden="1" x14ac:dyDescent="0.2"/>
    <row r="2940" hidden="1" x14ac:dyDescent="0.2"/>
    <row r="2941" hidden="1" x14ac:dyDescent="0.2"/>
    <row r="2942" hidden="1" x14ac:dyDescent="0.2"/>
    <row r="2943" hidden="1" x14ac:dyDescent="0.2"/>
    <row r="2944" hidden="1" x14ac:dyDescent="0.2"/>
    <row r="2945" hidden="1" x14ac:dyDescent="0.2"/>
    <row r="2946" hidden="1" x14ac:dyDescent="0.2"/>
    <row r="2947" hidden="1" x14ac:dyDescent="0.2"/>
    <row r="2948" hidden="1" x14ac:dyDescent="0.2"/>
    <row r="2949" hidden="1" x14ac:dyDescent="0.2"/>
    <row r="2950" hidden="1" x14ac:dyDescent="0.2"/>
    <row r="2951" hidden="1" x14ac:dyDescent="0.2"/>
    <row r="2952" hidden="1" x14ac:dyDescent="0.2"/>
    <row r="2953" hidden="1" x14ac:dyDescent="0.2"/>
    <row r="2954" hidden="1" x14ac:dyDescent="0.2"/>
    <row r="2955" hidden="1" x14ac:dyDescent="0.2"/>
    <row r="2956" hidden="1" x14ac:dyDescent="0.2"/>
    <row r="2957" hidden="1" x14ac:dyDescent="0.2"/>
    <row r="2958" hidden="1" x14ac:dyDescent="0.2"/>
    <row r="2959" hidden="1" x14ac:dyDescent="0.2"/>
    <row r="2960" hidden="1" x14ac:dyDescent="0.2"/>
    <row r="2961" hidden="1" x14ac:dyDescent="0.2"/>
    <row r="2962" hidden="1" x14ac:dyDescent="0.2"/>
    <row r="2963" hidden="1" x14ac:dyDescent="0.2"/>
    <row r="2964" hidden="1" x14ac:dyDescent="0.2"/>
    <row r="2965" hidden="1" x14ac:dyDescent="0.2"/>
    <row r="2966" hidden="1" x14ac:dyDescent="0.2"/>
    <row r="2967" hidden="1" x14ac:dyDescent="0.2"/>
    <row r="2968" hidden="1" x14ac:dyDescent="0.2"/>
    <row r="2969" hidden="1" x14ac:dyDescent="0.2"/>
    <row r="2970" hidden="1" x14ac:dyDescent="0.2"/>
    <row r="2971" hidden="1" x14ac:dyDescent="0.2"/>
    <row r="2972" hidden="1" x14ac:dyDescent="0.2"/>
    <row r="2973" hidden="1" x14ac:dyDescent="0.2"/>
    <row r="2974" hidden="1" x14ac:dyDescent="0.2"/>
    <row r="2975" hidden="1" x14ac:dyDescent="0.2"/>
    <row r="2976" hidden="1" x14ac:dyDescent="0.2"/>
    <row r="2977" hidden="1" x14ac:dyDescent="0.2"/>
    <row r="2978" hidden="1" x14ac:dyDescent="0.2"/>
    <row r="2979" hidden="1" x14ac:dyDescent="0.2"/>
    <row r="2980" hidden="1" x14ac:dyDescent="0.2"/>
    <row r="2981" hidden="1" x14ac:dyDescent="0.2"/>
    <row r="2982" hidden="1" x14ac:dyDescent="0.2"/>
    <row r="2983" hidden="1" x14ac:dyDescent="0.2"/>
    <row r="2984" hidden="1" x14ac:dyDescent="0.2"/>
    <row r="2985" hidden="1" x14ac:dyDescent="0.2"/>
    <row r="2986" hidden="1" x14ac:dyDescent="0.2"/>
    <row r="2987" hidden="1" x14ac:dyDescent="0.2"/>
    <row r="2988" hidden="1" x14ac:dyDescent="0.2"/>
    <row r="2989" hidden="1" x14ac:dyDescent="0.2"/>
    <row r="2990" hidden="1" x14ac:dyDescent="0.2"/>
    <row r="2991" hidden="1" x14ac:dyDescent="0.2"/>
    <row r="2992" hidden="1" x14ac:dyDescent="0.2"/>
    <row r="2993" hidden="1" x14ac:dyDescent="0.2"/>
    <row r="2994" hidden="1" x14ac:dyDescent="0.2"/>
    <row r="2995" hidden="1" x14ac:dyDescent="0.2"/>
    <row r="2996" hidden="1" x14ac:dyDescent="0.2"/>
    <row r="2997" hidden="1" x14ac:dyDescent="0.2"/>
    <row r="2998" hidden="1" x14ac:dyDescent="0.2"/>
    <row r="2999" hidden="1" x14ac:dyDescent="0.2"/>
    <row r="3000" hidden="1" x14ac:dyDescent="0.2"/>
    <row r="3001" hidden="1" x14ac:dyDescent="0.2"/>
    <row r="3002" hidden="1" x14ac:dyDescent="0.2"/>
    <row r="3003" hidden="1" x14ac:dyDescent="0.2"/>
    <row r="3004" hidden="1" x14ac:dyDescent="0.2"/>
    <row r="3005" hidden="1" x14ac:dyDescent="0.2"/>
    <row r="3006" hidden="1" x14ac:dyDescent="0.2"/>
    <row r="3007" hidden="1" x14ac:dyDescent="0.2"/>
    <row r="3008" hidden="1" x14ac:dyDescent="0.2"/>
    <row r="3009" hidden="1" x14ac:dyDescent="0.2"/>
    <row r="3010" hidden="1" x14ac:dyDescent="0.2"/>
    <row r="3011" hidden="1" x14ac:dyDescent="0.2"/>
    <row r="3012" hidden="1" x14ac:dyDescent="0.2"/>
    <row r="3013" hidden="1" x14ac:dyDescent="0.2"/>
    <row r="3014" hidden="1" x14ac:dyDescent="0.2"/>
    <row r="3015" hidden="1" x14ac:dyDescent="0.2"/>
    <row r="3016" hidden="1" x14ac:dyDescent="0.2"/>
    <row r="3017" hidden="1" x14ac:dyDescent="0.2"/>
    <row r="3018" hidden="1" x14ac:dyDescent="0.2"/>
    <row r="3019" hidden="1" x14ac:dyDescent="0.2"/>
    <row r="3020" hidden="1" x14ac:dyDescent="0.2"/>
    <row r="3021" hidden="1" x14ac:dyDescent="0.2"/>
    <row r="3022" hidden="1" x14ac:dyDescent="0.2"/>
    <row r="3023" hidden="1" x14ac:dyDescent="0.2"/>
    <row r="3024" hidden="1" x14ac:dyDescent="0.2"/>
    <row r="3025" hidden="1" x14ac:dyDescent="0.2"/>
    <row r="3026" hidden="1" x14ac:dyDescent="0.2"/>
    <row r="3027" hidden="1" x14ac:dyDescent="0.2"/>
    <row r="3028" hidden="1" x14ac:dyDescent="0.2"/>
    <row r="3029" hidden="1" x14ac:dyDescent="0.2"/>
    <row r="3030" hidden="1" x14ac:dyDescent="0.2"/>
    <row r="3031" hidden="1" x14ac:dyDescent="0.2"/>
    <row r="3032" hidden="1" x14ac:dyDescent="0.2"/>
    <row r="3033" hidden="1" x14ac:dyDescent="0.2"/>
    <row r="3034" hidden="1" x14ac:dyDescent="0.2"/>
    <row r="3035" hidden="1" x14ac:dyDescent="0.2"/>
    <row r="3036" hidden="1" x14ac:dyDescent="0.2"/>
    <row r="3037" hidden="1" x14ac:dyDescent="0.2"/>
    <row r="3038" hidden="1" x14ac:dyDescent="0.2"/>
    <row r="3039" hidden="1" x14ac:dyDescent="0.2"/>
    <row r="3040" hidden="1" x14ac:dyDescent="0.2"/>
    <row r="3041" hidden="1" x14ac:dyDescent="0.2"/>
    <row r="3042" hidden="1" x14ac:dyDescent="0.2"/>
    <row r="3043" hidden="1" x14ac:dyDescent="0.2"/>
    <row r="3044" hidden="1" x14ac:dyDescent="0.2"/>
    <row r="3045" hidden="1" x14ac:dyDescent="0.2"/>
    <row r="3046" hidden="1" x14ac:dyDescent="0.2"/>
    <row r="3047" hidden="1" x14ac:dyDescent="0.2"/>
    <row r="3048" hidden="1" x14ac:dyDescent="0.2"/>
    <row r="3049" hidden="1" x14ac:dyDescent="0.2"/>
    <row r="3050" hidden="1" x14ac:dyDescent="0.2"/>
    <row r="3051" hidden="1" x14ac:dyDescent="0.2"/>
    <row r="3052" hidden="1" x14ac:dyDescent="0.2"/>
    <row r="3053" hidden="1" x14ac:dyDescent="0.2"/>
    <row r="3054" hidden="1" x14ac:dyDescent="0.2"/>
    <row r="3055" hidden="1" x14ac:dyDescent="0.2"/>
    <row r="3056" hidden="1" x14ac:dyDescent="0.2"/>
    <row r="3057" hidden="1" x14ac:dyDescent="0.2"/>
    <row r="3058" hidden="1" x14ac:dyDescent="0.2"/>
    <row r="3059" hidden="1" x14ac:dyDescent="0.2"/>
    <row r="3060" hidden="1" x14ac:dyDescent="0.2"/>
    <row r="3061" hidden="1" x14ac:dyDescent="0.2"/>
    <row r="3062" hidden="1" x14ac:dyDescent="0.2"/>
    <row r="3063" hidden="1" x14ac:dyDescent="0.2"/>
    <row r="3064" hidden="1" x14ac:dyDescent="0.2"/>
    <row r="3065" hidden="1" x14ac:dyDescent="0.2"/>
    <row r="3066" hidden="1" x14ac:dyDescent="0.2"/>
    <row r="3067" hidden="1" x14ac:dyDescent="0.2"/>
    <row r="3068" hidden="1" x14ac:dyDescent="0.2"/>
    <row r="3069" hidden="1" x14ac:dyDescent="0.2"/>
    <row r="3070" hidden="1" x14ac:dyDescent="0.2"/>
    <row r="3071" hidden="1" x14ac:dyDescent="0.2"/>
    <row r="3072" hidden="1" x14ac:dyDescent="0.2"/>
    <row r="3073" hidden="1" x14ac:dyDescent="0.2"/>
    <row r="3074" hidden="1" x14ac:dyDescent="0.2"/>
    <row r="3075" hidden="1" x14ac:dyDescent="0.2"/>
    <row r="3076" hidden="1" x14ac:dyDescent="0.2"/>
    <row r="3077" hidden="1" x14ac:dyDescent="0.2"/>
    <row r="3078" hidden="1" x14ac:dyDescent="0.2"/>
    <row r="3079" hidden="1" x14ac:dyDescent="0.2"/>
    <row r="3080" hidden="1" x14ac:dyDescent="0.2"/>
    <row r="3081" hidden="1" x14ac:dyDescent="0.2"/>
    <row r="3082" hidden="1" x14ac:dyDescent="0.2"/>
    <row r="3083" hidden="1" x14ac:dyDescent="0.2"/>
    <row r="3084" hidden="1" x14ac:dyDescent="0.2"/>
    <row r="3085" hidden="1" x14ac:dyDescent="0.2"/>
    <row r="3086" hidden="1" x14ac:dyDescent="0.2"/>
    <row r="3087" hidden="1" x14ac:dyDescent="0.2"/>
    <row r="3088" hidden="1" x14ac:dyDescent="0.2"/>
    <row r="3089" hidden="1" x14ac:dyDescent="0.2"/>
    <row r="3090" hidden="1" x14ac:dyDescent="0.2"/>
    <row r="3091" hidden="1" x14ac:dyDescent="0.2"/>
    <row r="3092" hidden="1" x14ac:dyDescent="0.2"/>
    <row r="3093" hidden="1" x14ac:dyDescent="0.2"/>
    <row r="3094" hidden="1" x14ac:dyDescent="0.2"/>
    <row r="3095" hidden="1" x14ac:dyDescent="0.2"/>
    <row r="3096" hidden="1" x14ac:dyDescent="0.2"/>
    <row r="3097" hidden="1" x14ac:dyDescent="0.2"/>
    <row r="3098" hidden="1" x14ac:dyDescent="0.2"/>
    <row r="3099" hidden="1" x14ac:dyDescent="0.2"/>
    <row r="3100" hidden="1" x14ac:dyDescent="0.2"/>
    <row r="3101" hidden="1" x14ac:dyDescent="0.2"/>
    <row r="3102" hidden="1" x14ac:dyDescent="0.2"/>
    <row r="3103" hidden="1" x14ac:dyDescent="0.2"/>
    <row r="3104" hidden="1" x14ac:dyDescent="0.2"/>
    <row r="3105" hidden="1" x14ac:dyDescent="0.2"/>
    <row r="3106" hidden="1" x14ac:dyDescent="0.2"/>
    <row r="3107" hidden="1" x14ac:dyDescent="0.2"/>
    <row r="3108" hidden="1" x14ac:dyDescent="0.2"/>
    <row r="3109" hidden="1" x14ac:dyDescent="0.2"/>
    <row r="3110" hidden="1" x14ac:dyDescent="0.2"/>
    <row r="3111" hidden="1" x14ac:dyDescent="0.2"/>
    <row r="3112" hidden="1" x14ac:dyDescent="0.2"/>
    <row r="3113" hidden="1" x14ac:dyDescent="0.2"/>
    <row r="3114" hidden="1" x14ac:dyDescent="0.2"/>
    <row r="3115" hidden="1" x14ac:dyDescent="0.2"/>
    <row r="3116" hidden="1" x14ac:dyDescent="0.2"/>
    <row r="3117" hidden="1" x14ac:dyDescent="0.2"/>
    <row r="3118" hidden="1" x14ac:dyDescent="0.2"/>
    <row r="3119" hidden="1" x14ac:dyDescent="0.2"/>
    <row r="3120" hidden="1" x14ac:dyDescent="0.2"/>
    <row r="3121" hidden="1" x14ac:dyDescent="0.2"/>
    <row r="3122" hidden="1" x14ac:dyDescent="0.2"/>
    <row r="3123" hidden="1" x14ac:dyDescent="0.2"/>
    <row r="3124" hidden="1" x14ac:dyDescent="0.2"/>
    <row r="3125" hidden="1" x14ac:dyDescent="0.2"/>
    <row r="3126" hidden="1" x14ac:dyDescent="0.2"/>
    <row r="3127" hidden="1" x14ac:dyDescent="0.2"/>
    <row r="3128" hidden="1" x14ac:dyDescent="0.2"/>
    <row r="3129" hidden="1" x14ac:dyDescent="0.2"/>
    <row r="3130" hidden="1" x14ac:dyDescent="0.2"/>
    <row r="3131" hidden="1" x14ac:dyDescent="0.2"/>
    <row r="3132" hidden="1" x14ac:dyDescent="0.2"/>
    <row r="3133" hidden="1" x14ac:dyDescent="0.2"/>
    <row r="3134" hidden="1" x14ac:dyDescent="0.2"/>
    <row r="3135" hidden="1" x14ac:dyDescent="0.2"/>
    <row r="3136" hidden="1" x14ac:dyDescent="0.2"/>
    <row r="3137" hidden="1" x14ac:dyDescent="0.2"/>
    <row r="3138" hidden="1" x14ac:dyDescent="0.2"/>
    <row r="3139" hidden="1" x14ac:dyDescent="0.2"/>
    <row r="3140" hidden="1" x14ac:dyDescent="0.2"/>
    <row r="3141" hidden="1" x14ac:dyDescent="0.2"/>
    <row r="3142" hidden="1" x14ac:dyDescent="0.2"/>
    <row r="3143" hidden="1" x14ac:dyDescent="0.2"/>
    <row r="3144" hidden="1" x14ac:dyDescent="0.2"/>
    <row r="3145" hidden="1" x14ac:dyDescent="0.2"/>
    <row r="3146" hidden="1" x14ac:dyDescent="0.2"/>
    <row r="3147" hidden="1" x14ac:dyDescent="0.2"/>
    <row r="3148" hidden="1" x14ac:dyDescent="0.2"/>
    <row r="3149" hidden="1" x14ac:dyDescent="0.2"/>
    <row r="3150" hidden="1" x14ac:dyDescent="0.2"/>
    <row r="3151" hidden="1" x14ac:dyDescent="0.2"/>
    <row r="3152" hidden="1" x14ac:dyDescent="0.2"/>
    <row r="3153" hidden="1" x14ac:dyDescent="0.2"/>
    <row r="3154" hidden="1" x14ac:dyDescent="0.2"/>
    <row r="3155" hidden="1" x14ac:dyDescent="0.2"/>
    <row r="3156" hidden="1" x14ac:dyDescent="0.2"/>
    <row r="3157" hidden="1" x14ac:dyDescent="0.2"/>
    <row r="3158" hidden="1" x14ac:dyDescent="0.2"/>
    <row r="3159" hidden="1" x14ac:dyDescent="0.2"/>
    <row r="3160" hidden="1" x14ac:dyDescent="0.2"/>
    <row r="3161" hidden="1" x14ac:dyDescent="0.2"/>
    <row r="3162" hidden="1" x14ac:dyDescent="0.2"/>
    <row r="3163" hidden="1" x14ac:dyDescent="0.2"/>
    <row r="3164" hidden="1" x14ac:dyDescent="0.2"/>
    <row r="3165" hidden="1" x14ac:dyDescent="0.2"/>
    <row r="3166" hidden="1" x14ac:dyDescent="0.2"/>
    <row r="3167" hidden="1" x14ac:dyDescent="0.2"/>
    <row r="3168" hidden="1" x14ac:dyDescent="0.2"/>
    <row r="3169" hidden="1" x14ac:dyDescent="0.2"/>
    <row r="3170" hidden="1" x14ac:dyDescent="0.2"/>
    <row r="3171" hidden="1" x14ac:dyDescent="0.2"/>
    <row r="3172" hidden="1" x14ac:dyDescent="0.2"/>
    <row r="3173" hidden="1" x14ac:dyDescent="0.2"/>
    <row r="3174" hidden="1" x14ac:dyDescent="0.2"/>
    <row r="3175" hidden="1" x14ac:dyDescent="0.2"/>
    <row r="3176" hidden="1" x14ac:dyDescent="0.2"/>
    <row r="3177" hidden="1" x14ac:dyDescent="0.2"/>
    <row r="3178" hidden="1" x14ac:dyDescent="0.2"/>
    <row r="3179" hidden="1" x14ac:dyDescent="0.2"/>
    <row r="3180" hidden="1" x14ac:dyDescent="0.2"/>
    <row r="3181" hidden="1" x14ac:dyDescent="0.2"/>
    <row r="3182" hidden="1" x14ac:dyDescent="0.2"/>
    <row r="3183" hidden="1" x14ac:dyDescent="0.2"/>
    <row r="3184" hidden="1" x14ac:dyDescent="0.2"/>
    <row r="3185" hidden="1" x14ac:dyDescent="0.2"/>
    <row r="3186" hidden="1" x14ac:dyDescent="0.2"/>
    <row r="3187" hidden="1" x14ac:dyDescent="0.2"/>
    <row r="3188" hidden="1" x14ac:dyDescent="0.2"/>
    <row r="3189" hidden="1" x14ac:dyDescent="0.2"/>
    <row r="3190" hidden="1" x14ac:dyDescent="0.2"/>
    <row r="3191" hidden="1" x14ac:dyDescent="0.2"/>
    <row r="3192" hidden="1" x14ac:dyDescent="0.2"/>
    <row r="3193" hidden="1" x14ac:dyDescent="0.2"/>
    <row r="3194" hidden="1" x14ac:dyDescent="0.2"/>
    <row r="3195" hidden="1" x14ac:dyDescent="0.2"/>
    <row r="3196" hidden="1" x14ac:dyDescent="0.2"/>
    <row r="3197" hidden="1" x14ac:dyDescent="0.2"/>
    <row r="3198" hidden="1" x14ac:dyDescent="0.2"/>
    <row r="3199" hidden="1" x14ac:dyDescent="0.2"/>
    <row r="3200" hidden="1" x14ac:dyDescent="0.2"/>
    <row r="3201" hidden="1" x14ac:dyDescent="0.2"/>
    <row r="3202" hidden="1" x14ac:dyDescent="0.2"/>
    <row r="3203" hidden="1" x14ac:dyDescent="0.2"/>
    <row r="3204" hidden="1" x14ac:dyDescent="0.2"/>
    <row r="3205" hidden="1" x14ac:dyDescent="0.2"/>
    <row r="3206" hidden="1" x14ac:dyDescent="0.2"/>
    <row r="3207" hidden="1" x14ac:dyDescent="0.2"/>
    <row r="3208" hidden="1" x14ac:dyDescent="0.2"/>
    <row r="3209" hidden="1" x14ac:dyDescent="0.2"/>
    <row r="3210" hidden="1" x14ac:dyDescent="0.2"/>
    <row r="3211" hidden="1" x14ac:dyDescent="0.2"/>
    <row r="3212" hidden="1" x14ac:dyDescent="0.2"/>
    <row r="3213" hidden="1" x14ac:dyDescent="0.2"/>
    <row r="3214" hidden="1" x14ac:dyDescent="0.2"/>
    <row r="3215" hidden="1" x14ac:dyDescent="0.2"/>
    <row r="3216" hidden="1" x14ac:dyDescent="0.2"/>
    <row r="3217" hidden="1" x14ac:dyDescent="0.2"/>
    <row r="3218" hidden="1" x14ac:dyDescent="0.2"/>
    <row r="3219" hidden="1" x14ac:dyDescent="0.2"/>
    <row r="3220" hidden="1" x14ac:dyDescent="0.2"/>
    <row r="3221" hidden="1" x14ac:dyDescent="0.2"/>
    <row r="3222" hidden="1" x14ac:dyDescent="0.2"/>
    <row r="3223" hidden="1" x14ac:dyDescent="0.2"/>
    <row r="3224" hidden="1" x14ac:dyDescent="0.2"/>
    <row r="3225" hidden="1" x14ac:dyDescent="0.2"/>
    <row r="3226" hidden="1" x14ac:dyDescent="0.2"/>
    <row r="3227" hidden="1" x14ac:dyDescent="0.2"/>
    <row r="3228" hidden="1" x14ac:dyDescent="0.2"/>
    <row r="3229" hidden="1" x14ac:dyDescent="0.2"/>
    <row r="3230" hidden="1" x14ac:dyDescent="0.2"/>
    <row r="3231" hidden="1" x14ac:dyDescent="0.2"/>
    <row r="3232" hidden="1" x14ac:dyDescent="0.2"/>
    <row r="3233" hidden="1" x14ac:dyDescent="0.2"/>
    <row r="3234" hidden="1" x14ac:dyDescent="0.2"/>
    <row r="3235" hidden="1" x14ac:dyDescent="0.2"/>
    <row r="3236" hidden="1" x14ac:dyDescent="0.2"/>
    <row r="3237" hidden="1" x14ac:dyDescent="0.2"/>
    <row r="3238" hidden="1" x14ac:dyDescent="0.2"/>
    <row r="3239" hidden="1" x14ac:dyDescent="0.2"/>
    <row r="3240" hidden="1" x14ac:dyDescent="0.2"/>
    <row r="3241" hidden="1" x14ac:dyDescent="0.2"/>
    <row r="3242" hidden="1" x14ac:dyDescent="0.2"/>
    <row r="3243" hidden="1" x14ac:dyDescent="0.2"/>
    <row r="3244" hidden="1" x14ac:dyDescent="0.2"/>
    <row r="3245" hidden="1" x14ac:dyDescent="0.2"/>
    <row r="3246" hidden="1" x14ac:dyDescent="0.2"/>
    <row r="3247" hidden="1" x14ac:dyDescent="0.2"/>
    <row r="3248" hidden="1" x14ac:dyDescent="0.2"/>
    <row r="3249" hidden="1" x14ac:dyDescent="0.2"/>
    <row r="3250" hidden="1" x14ac:dyDescent="0.2"/>
    <row r="3251" hidden="1" x14ac:dyDescent="0.2"/>
    <row r="3252" hidden="1" x14ac:dyDescent="0.2"/>
    <row r="3253" hidden="1" x14ac:dyDescent="0.2"/>
    <row r="3254" hidden="1" x14ac:dyDescent="0.2"/>
    <row r="3255" hidden="1" x14ac:dyDescent="0.2"/>
    <row r="3256" hidden="1" x14ac:dyDescent="0.2"/>
    <row r="3257" hidden="1" x14ac:dyDescent="0.2"/>
    <row r="3258" hidden="1" x14ac:dyDescent="0.2"/>
    <row r="3259" hidden="1" x14ac:dyDescent="0.2"/>
    <row r="3260" hidden="1" x14ac:dyDescent="0.2"/>
    <row r="3261" hidden="1" x14ac:dyDescent="0.2"/>
    <row r="3262" hidden="1" x14ac:dyDescent="0.2"/>
    <row r="3263" hidden="1" x14ac:dyDescent="0.2"/>
    <row r="3264" hidden="1" x14ac:dyDescent="0.2"/>
    <row r="3265" hidden="1" x14ac:dyDescent="0.2"/>
    <row r="3266" hidden="1" x14ac:dyDescent="0.2"/>
    <row r="3267" hidden="1" x14ac:dyDescent="0.2"/>
    <row r="3268" hidden="1" x14ac:dyDescent="0.2"/>
    <row r="3269" hidden="1" x14ac:dyDescent="0.2"/>
    <row r="3270" hidden="1" x14ac:dyDescent="0.2"/>
    <row r="3271" hidden="1" x14ac:dyDescent="0.2"/>
    <row r="3272" hidden="1" x14ac:dyDescent="0.2"/>
    <row r="3273" hidden="1" x14ac:dyDescent="0.2"/>
    <row r="3274" hidden="1" x14ac:dyDescent="0.2"/>
    <row r="3275" hidden="1" x14ac:dyDescent="0.2"/>
    <row r="3276" hidden="1" x14ac:dyDescent="0.2"/>
    <row r="3277" hidden="1" x14ac:dyDescent="0.2"/>
    <row r="3278" hidden="1" x14ac:dyDescent="0.2"/>
    <row r="3279" hidden="1" x14ac:dyDescent="0.2"/>
    <row r="3280" hidden="1" x14ac:dyDescent="0.2"/>
    <row r="3281" hidden="1" x14ac:dyDescent="0.2"/>
    <row r="3282" hidden="1" x14ac:dyDescent="0.2"/>
    <row r="3283" hidden="1" x14ac:dyDescent="0.2"/>
    <row r="3284" hidden="1" x14ac:dyDescent="0.2"/>
    <row r="3285" hidden="1" x14ac:dyDescent="0.2"/>
    <row r="3286" hidden="1" x14ac:dyDescent="0.2"/>
    <row r="3287" hidden="1" x14ac:dyDescent="0.2"/>
    <row r="3288" hidden="1" x14ac:dyDescent="0.2"/>
    <row r="3289" hidden="1" x14ac:dyDescent="0.2"/>
    <row r="3290" hidden="1" x14ac:dyDescent="0.2"/>
    <row r="3291" hidden="1" x14ac:dyDescent="0.2"/>
    <row r="3292" hidden="1" x14ac:dyDescent="0.2"/>
    <row r="3293" hidden="1" x14ac:dyDescent="0.2"/>
    <row r="3294" hidden="1" x14ac:dyDescent="0.2"/>
    <row r="3295" hidden="1" x14ac:dyDescent="0.2"/>
    <row r="3296" hidden="1" x14ac:dyDescent="0.2"/>
    <row r="3297" hidden="1" x14ac:dyDescent="0.2"/>
    <row r="3298" hidden="1" x14ac:dyDescent="0.2"/>
    <row r="3299" hidden="1" x14ac:dyDescent="0.2"/>
    <row r="3300" hidden="1" x14ac:dyDescent="0.2"/>
    <row r="3301" hidden="1" x14ac:dyDescent="0.2"/>
    <row r="3302" hidden="1" x14ac:dyDescent="0.2"/>
    <row r="3303" hidden="1" x14ac:dyDescent="0.2"/>
    <row r="3304" hidden="1" x14ac:dyDescent="0.2"/>
    <row r="3305" hidden="1" x14ac:dyDescent="0.2"/>
    <row r="3306" hidden="1" x14ac:dyDescent="0.2"/>
    <row r="3307" hidden="1" x14ac:dyDescent="0.2"/>
    <row r="3308" hidden="1" x14ac:dyDescent="0.2"/>
    <row r="3309" hidden="1" x14ac:dyDescent="0.2"/>
    <row r="3310" hidden="1" x14ac:dyDescent="0.2"/>
    <row r="3311" hidden="1" x14ac:dyDescent="0.2"/>
    <row r="3312" hidden="1" x14ac:dyDescent="0.2"/>
    <row r="3313" hidden="1" x14ac:dyDescent="0.2"/>
    <row r="3314" hidden="1" x14ac:dyDescent="0.2"/>
    <row r="3315" hidden="1" x14ac:dyDescent="0.2"/>
    <row r="3316" hidden="1" x14ac:dyDescent="0.2"/>
    <row r="3317" hidden="1" x14ac:dyDescent="0.2"/>
    <row r="3318" hidden="1" x14ac:dyDescent="0.2"/>
    <row r="3319" hidden="1" x14ac:dyDescent="0.2"/>
    <row r="3320" hidden="1" x14ac:dyDescent="0.2"/>
    <row r="3321" hidden="1" x14ac:dyDescent="0.2"/>
    <row r="3322" hidden="1" x14ac:dyDescent="0.2"/>
    <row r="3323" hidden="1" x14ac:dyDescent="0.2"/>
    <row r="3324" hidden="1" x14ac:dyDescent="0.2"/>
    <row r="3325" hidden="1" x14ac:dyDescent="0.2"/>
    <row r="3326" hidden="1" x14ac:dyDescent="0.2"/>
    <row r="3327" hidden="1" x14ac:dyDescent="0.2"/>
    <row r="3328" hidden="1" x14ac:dyDescent="0.2"/>
    <row r="3329" hidden="1" x14ac:dyDescent="0.2"/>
    <row r="3330" hidden="1" x14ac:dyDescent="0.2"/>
    <row r="3331" hidden="1" x14ac:dyDescent="0.2"/>
    <row r="3332" hidden="1" x14ac:dyDescent="0.2"/>
    <row r="3333" hidden="1" x14ac:dyDescent="0.2"/>
    <row r="3334" hidden="1" x14ac:dyDescent="0.2"/>
    <row r="3335" hidden="1" x14ac:dyDescent="0.2"/>
    <row r="3336" hidden="1" x14ac:dyDescent="0.2"/>
    <row r="3337" hidden="1" x14ac:dyDescent="0.2"/>
    <row r="3338" hidden="1" x14ac:dyDescent="0.2"/>
    <row r="3339" hidden="1" x14ac:dyDescent="0.2"/>
    <row r="3340" hidden="1" x14ac:dyDescent="0.2"/>
    <row r="3341" hidden="1" x14ac:dyDescent="0.2"/>
    <row r="3342" hidden="1" x14ac:dyDescent="0.2"/>
    <row r="3343" hidden="1" x14ac:dyDescent="0.2"/>
    <row r="3344" hidden="1" x14ac:dyDescent="0.2"/>
    <row r="3345" hidden="1" x14ac:dyDescent="0.2"/>
    <row r="3346" hidden="1" x14ac:dyDescent="0.2"/>
    <row r="3347" hidden="1" x14ac:dyDescent="0.2"/>
    <row r="3348" hidden="1" x14ac:dyDescent="0.2"/>
    <row r="3349" hidden="1" x14ac:dyDescent="0.2"/>
    <row r="3350" hidden="1" x14ac:dyDescent="0.2"/>
    <row r="3351" hidden="1" x14ac:dyDescent="0.2"/>
    <row r="3352" hidden="1" x14ac:dyDescent="0.2"/>
    <row r="3353" hidden="1" x14ac:dyDescent="0.2"/>
    <row r="3354" hidden="1" x14ac:dyDescent="0.2"/>
    <row r="3355" hidden="1" x14ac:dyDescent="0.2"/>
    <row r="3356" hidden="1" x14ac:dyDescent="0.2"/>
    <row r="3357" hidden="1" x14ac:dyDescent="0.2"/>
    <row r="3358" hidden="1" x14ac:dyDescent="0.2"/>
    <row r="3359" hidden="1" x14ac:dyDescent="0.2"/>
    <row r="3360" hidden="1" x14ac:dyDescent="0.2"/>
    <row r="3361" hidden="1" x14ac:dyDescent="0.2"/>
    <row r="3362" hidden="1" x14ac:dyDescent="0.2"/>
    <row r="3363" hidden="1" x14ac:dyDescent="0.2"/>
    <row r="3364" hidden="1" x14ac:dyDescent="0.2"/>
    <row r="3365" hidden="1" x14ac:dyDescent="0.2"/>
    <row r="3366" hidden="1" x14ac:dyDescent="0.2"/>
    <row r="3367" hidden="1" x14ac:dyDescent="0.2"/>
    <row r="3368" hidden="1" x14ac:dyDescent="0.2"/>
    <row r="3369" hidden="1" x14ac:dyDescent="0.2"/>
    <row r="3370" hidden="1" x14ac:dyDescent="0.2"/>
    <row r="3371" hidden="1" x14ac:dyDescent="0.2"/>
    <row r="3372" hidden="1" x14ac:dyDescent="0.2"/>
    <row r="3373" hidden="1" x14ac:dyDescent="0.2"/>
    <row r="3374" hidden="1" x14ac:dyDescent="0.2"/>
    <row r="3375" hidden="1" x14ac:dyDescent="0.2"/>
    <row r="3376" hidden="1" x14ac:dyDescent="0.2"/>
    <row r="3377" hidden="1" x14ac:dyDescent="0.2"/>
    <row r="3378" hidden="1" x14ac:dyDescent="0.2"/>
    <row r="3379" hidden="1" x14ac:dyDescent="0.2"/>
    <row r="3380" hidden="1" x14ac:dyDescent="0.2"/>
    <row r="3381" hidden="1" x14ac:dyDescent="0.2"/>
    <row r="3382" hidden="1" x14ac:dyDescent="0.2"/>
    <row r="3383" hidden="1" x14ac:dyDescent="0.2"/>
    <row r="3384" hidden="1" x14ac:dyDescent="0.2"/>
    <row r="3385" hidden="1" x14ac:dyDescent="0.2"/>
    <row r="3386" hidden="1" x14ac:dyDescent="0.2"/>
    <row r="3387" hidden="1" x14ac:dyDescent="0.2"/>
    <row r="3388" hidden="1" x14ac:dyDescent="0.2"/>
    <row r="3389" hidden="1" x14ac:dyDescent="0.2"/>
    <row r="3390" hidden="1" x14ac:dyDescent="0.2"/>
    <row r="3391" hidden="1" x14ac:dyDescent="0.2"/>
    <row r="3392" hidden="1" x14ac:dyDescent="0.2"/>
    <row r="3393" hidden="1" x14ac:dyDescent="0.2"/>
    <row r="3394" hidden="1" x14ac:dyDescent="0.2"/>
    <row r="3395" hidden="1" x14ac:dyDescent="0.2"/>
    <row r="3396" hidden="1" x14ac:dyDescent="0.2"/>
    <row r="3397" hidden="1" x14ac:dyDescent="0.2"/>
    <row r="3398" hidden="1" x14ac:dyDescent="0.2"/>
    <row r="3399" hidden="1" x14ac:dyDescent="0.2"/>
    <row r="3400" hidden="1" x14ac:dyDescent="0.2"/>
    <row r="3401" hidden="1" x14ac:dyDescent="0.2"/>
    <row r="3402" hidden="1" x14ac:dyDescent="0.2"/>
    <row r="3403" hidden="1" x14ac:dyDescent="0.2"/>
    <row r="3404" hidden="1" x14ac:dyDescent="0.2"/>
    <row r="3405" hidden="1" x14ac:dyDescent="0.2"/>
    <row r="3406" hidden="1" x14ac:dyDescent="0.2"/>
    <row r="3407" hidden="1" x14ac:dyDescent="0.2"/>
    <row r="3408" hidden="1" x14ac:dyDescent="0.2"/>
    <row r="3409" hidden="1" x14ac:dyDescent="0.2"/>
    <row r="3410" hidden="1" x14ac:dyDescent="0.2"/>
    <row r="3411" hidden="1" x14ac:dyDescent="0.2"/>
    <row r="3412" hidden="1" x14ac:dyDescent="0.2"/>
    <row r="3413" hidden="1" x14ac:dyDescent="0.2"/>
    <row r="3414" hidden="1" x14ac:dyDescent="0.2"/>
    <row r="3415" hidden="1" x14ac:dyDescent="0.2"/>
    <row r="3416" hidden="1" x14ac:dyDescent="0.2"/>
    <row r="3417" hidden="1" x14ac:dyDescent="0.2"/>
    <row r="3418" hidden="1" x14ac:dyDescent="0.2"/>
    <row r="3419" hidden="1" x14ac:dyDescent="0.2"/>
    <row r="3420" hidden="1" x14ac:dyDescent="0.2"/>
    <row r="3421" hidden="1" x14ac:dyDescent="0.2"/>
    <row r="3422" hidden="1" x14ac:dyDescent="0.2"/>
    <row r="3423" hidden="1" x14ac:dyDescent="0.2"/>
    <row r="3424" hidden="1" x14ac:dyDescent="0.2"/>
    <row r="3425" hidden="1" x14ac:dyDescent="0.2"/>
    <row r="3426" hidden="1" x14ac:dyDescent="0.2"/>
    <row r="3427" hidden="1" x14ac:dyDescent="0.2"/>
    <row r="3428" hidden="1" x14ac:dyDescent="0.2"/>
    <row r="3429" hidden="1" x14ac:dyDescent="0.2"/>
    <row r="3430" hidden="1" x14ac:dyDescent="0.2"/>
    <row r="3431" hidden="1" x14ac:dyDescent="0.2"/>
    <row r="3432" hidden="1" x14ac:dyDescent="0.2"/>
    <row r="3433" hidden="1" x14ac:dyDescent="0.2"/>
    <row r="3434" hidden="1" x14ac:dyDescent="0.2"/>
    <row r="3435" hidden="1" x14ac:dyDescent="0.2"/>
    <row r="3436" hidden="1" x14ac:dyDescent="0.2"/>
    <row r="3437" hidden="1" x14ac:dyDescent="0.2"/>
    <row r="3438" hidden="1" x14ac:dyDescent="0.2"/>
    <row r="3439" hidden="1" x14ac:dyDescent="0.2"/>
    <row r="3440" hidden="1" x14ac:dyDescent="0.2"/>
    <row r="3441" hidden="1" x14ac:dyDescent="0.2"/>
    <row r="3442" hidden="1" x14ac:dyDescent="0.2"/>
    <row r="3443" hidden="1" x14ac:dyDescent="0.2"/>
    <row r="3444" hidden="1" x14ac:dyDescent="0.2"/>
    <row r="3445" hidden="1" x14ac:dyDescent="0.2"/>
    <row r="3446" hidden="1" x14ac:dyDescent="0.2"/>
    <row r="3447" hidden="1" x14ac:dyDescent="0.2"/>
    <row r="3448" hidden="1" x14ac:dyDescent="0.2"/>
    <row r="3449" hidden="1" x14ac:dyDescent="0.2"/>
    <row r="3450" hidden="1" x14ac:dyDescent="0.2"/>
    <row r="3451" hidden="1" x14ac:dyDescent="0.2"/>
    <row r="3452" hidden="1" x14ac:dyDescent="0.2"/>
    <row r="3453" hidden="1" x14ac:dyDescent="0.2"/>
    <row r="3454" hidden="1" x14ac:dyDescent="0.2"/>
    <row r="3455" hidden="1" x14ac:dyDescent="0.2"/>
    <row r="3456" hidden="1" x14ac:dyDescent="0.2"/>
    <row r="3457" hidden="1" x14ac:dyDescent="0.2"/>
    <row r="3458" hidden="1" x14ac:dyDescent="0.2"/>
    <row r="3459" hidden="1" x14ac:dyDescent="0.2"/>
    <row r="3460" hidden="1" x14ac:dyDescent="0.2"/>
    <row r="3461" hidden="1" x14ac:dyDescent="0.2"/>
    <row r="3462" hidden="1" x14ac:dyDescent="0.2"/>
    <row r="3463" hidden="1" x14ac:dyDescent="0.2"/>
    <row r="3464" hidden="1" x14ac:dyDescent="0.2"/>
    <row r="3465" hidden="1" x14ac:dyDescent="0.2"/>
    <row r="3466" hidden="1" x14ac:dyDescent="0.2"/>
    <row r="3467" hidden="1" x14ac:dyDescent="0.2"/>
    <row r="3468" hidden="1" x14ac:dyDescent="0.2"/>
    <row r="3469" hidden="1" x14ac:dyDescent="0.2"/>
    <row r="3470" hidden="1" x14ac:dyDescent="0.2"/>
    <row r="3471" hidden="1" x14ac:dyDescent="0.2"/>
    <row r="3472" hidden="1" x14ac:dyDescent="0.2"/>
    <row r="3473" hidden="1" x14ac:dyDescent="0.2"/>
    <row r="3474" hidden="1" x14ac:dyDescent="0.2"/>
    <row r="3475" hidden="1" x14ac:dyDescent="0.2"/>
    <row r="3476" hidden="1" x14ac:dyDescent="0.2"/>
    <row r="3477" hidden="1" x14ac:dyDescent="0.2"/>
    <row r="3478" hidden="1" x14ac:dyDescent="0.2"/>
    <row r="3479" hidden="1" x14ac:dyDescent="0.2"/>
    <row r="3480" hidden="1" x14ac:dyDescent="0.2"/>
    <row r="3481" hidden="1" x14ac:dyDescent="0.2"/>
    <row r="3482" hidden="1" x14ac:dyDescent="0.2"/>
    <row r="3483" hidden="1" x14ac:dyDescent="0.2"/>
    <row r="3484" hidden="1" x14ac:dyDescent="0.2"/>
    <row r="3485" hidden="1" x14ac:dyDescent="0.2"/>
    <row r="3486" hidden="1" x14ac:dyDescent="0.2"/>
    <row r="3487" hidden="1" x14ac:dyDescent="0.2"/>
    <row r="3488" hidden="1" x14ac:dyDescent="0.2"/>
    <row r="3489" hidden="1" x14ac:dyDescent="0.2"/>
    <row r="3490" hidden="1" x14ac:dyDescent="0.2"/>
    <row r="3491" hidden="1" x14ac:dyDescent="0.2"/>
    <row r="3492" hidden="1" x14ac:dyDescent="0.2"/>
    <row r="3493" hidden="1" x14ac:dyDescent="0.2"/>
    <row r="3494" hidden="1" x14ac:dyDescent="0.2"/>
    <row r="3495" hidden="1" x14ac:dyDescent="0.2"/>
    <row r="3496" hidden="1" x14ac:dyDescent="0.2"/>
    <row r="3497" hidden="1" x14ac:dyDescent="0.2"/>
    <row r="3498" hidden="1" x14ac:dyDescent="0.2"/>
    <row r="3499" hidden="1" x14ac:dyDescent="0.2"/>
    <row r="3500" hidden="1" x14ac:dyDescent="0.2"/>
    <row r="3501" hidden="1" x14ac:dyDescent="0.2"/>
    <row r="3502" hidden="1" x14ac:dyDescent="0.2"/>
    <row r="3503" hidden="1" x14ac:dyDescent="0.2"/>
    <row r="3504" hidden="1" x14ac:dyDescent="0.2"/>
    <row r="3505" hidden="1" x14ac:dyDescent="0.2"/>
    <row r="3506" hidden="1" x14ac:dyDescent="0.2"/>
    <row r="3507" hidden="1" x14ac:dyDescent="0.2"/>
    <row r="3508" hidden="1" x14ac:dyDescent="0.2"/>
    <row r="3509" hidden="1" x14ac:dyDescent="0.2"/>
    <row r="3510" hidden="1" x14ac:dyDescent="0.2"/>
    <row r="3511" hidden="1" x14ac:dyDescent="0.2"/>
    <row r="3512" hidden="1" x14ac:dyDescent="0.2"/>
    <row r="3513" hidden="1" x14ac:dyDescent="0.2"/>
    <row r="3514" hidden="1" x14ac:dyDescent="0.2"/>
    <row r="3515" hidden="1" x14ac:dyDescent="0.2"/>
    <row r="3516" hidden="1" x14ac:dyDescent="0.2"/>
    <row r="3517" hidden="1" x14ac:dyDescent="0.2"/>
    <row r="3518" hidden="1" x14ac:dyDescent="0.2"/>
    <row r="3519" hidden="1" x14ac:dyDescent="0.2"/>
    <row r="3520" hidden="1" x14ac:dyDescent="0.2"/>
    <row r="3521" hidden="1" x14ac:dyDescent="0.2"/>
    <row r="3522" hidden="1" x14ac:dyDescent="0.2"/>
    <row r="3523" hidden="1" x14ac:dyDescent="0.2"/>
    <row r="3524" hidden="1" x14ac:dyDescent="0.2"/>
    <row r="3525" hidden="1" x14ac:dyDescent="0.2"/>
    <row r="3526" hidden="1" x14ac:dyDescent="0.2"/>
    <row r="3527" hidden="1" x14ac:dyDescent="0.2"/>
    <row r="3528" hidden="1" x14ac:dyDescent="0.2"/>
    <row r="3529" hidden="1" x14ac:dyDescent="0.2"/>
    <row r="3530" hidden="1" x14ac:dyDescent="0.2"/>
    <row r="3531" hidden="1" x14ac:dyDescent="0.2"/>
    <row r="3532" hidden="1" x14ac:dyDescent="0.2"/>
    <row r="3533" hidden="1" x14ac:dyDescent="0.2"/>
    <row r="3534" hidden="1" x14ac:dyDescent="0.2"/>
    <row r="3535" hidden="1" x14ac:dyDescent="0.2"/>
    <row r="3536" hidden="1" x14ac:dyDescent="0.2"/>
    <row r="3537" hidden="1" x14ac:dyDescent="0.2"/>
    <row r="3538" hidden="1" x14ac:dyDescent="0.2"/>
    <row r="3539" hidden="1" x14ac:dyDescent="0.2"/>
    <row r="3540" hidden="1" x14ac:dyDescent="0.2"/>
    <row r="3541" hidden="1" x14ac:dyDescent="0.2"/>
    <row r="3542" hidden="1" x14ac:dyDescent="0.2"/>
    <row r="3543" hidden="1" x14ac:dyDescent="0.2"/>
    <row r="3544" hidden="1" x14ac:dyDescent="0.2"/>
    <row r="3545" hidden="1" x14ac:dyDescent="0.2"/>
    <row r="3546" hidden="1" x14ac:dyDescent="0.2"/>
    <row r="3547" hidden="1" x14ac:dyDescent="0.2"/>
    <row r="3548" hidden="1" x14ac:dyDescent="0.2"/>
    <row r="3549" hidden="1" x14ac:dyDescent="0.2"/>
    <row r="3550" hidden="1" x14ac:dyDescent="0.2"/>
    <row r="3551" hidden="1" x14ac:dyDescent="0.2"/>
    <row r="3552" hidden="1" x14ac:dyDescent="0.2"/>
    <row r="3553" hidden="1" x14ac:dyDescent="0.2"/>
    <row r="3554" hidden="1" x14ac:dyDescent="0.2"/>
    <row r="3555" hidden="1" x14ac:dyDescent="0.2"/>
    <row r="3556" hidden="1" x14ac:dyDescent="0.2"/>
    <row r="3557" hidden="1" x14ac:dyDescent="0.2"/>
    <row r="3558" hidden="1" x14ac:dyDescent="0.2"/>
    <row r="3559" hidden="1" x14ac:dyDescent="0.2"/>
    <row r="3560" hidden="1" x14ac:dyDescent="0.2"/>
    <row r="3561" hidden="1" x14ac:dyDescent="0.2"/>
    <row r="3562" hidden="1" x14ac:dyDescent="0.2"/>
    <row r="3563" hidden="1" x14ac:dyDescent="0.2"/>
    <row r="3564" hidden="1" x14ac:dyDescent="0.2"/>
    <row r="3565" hidden="1" x14ac:dyDescent="0.2"/>
    <row r="3566" hidden="1" x14ac:dyDescent="0.2"/>
    <row r="3567" hidden="1" x14ac:dyDescent="0.2"/>
    <row r="3568" hidden="1" x14ac:dyDescent="0.2"/>
    <row r="3569" hidden="1" x14ac:dyDescent="0.2"/>
    <row r="3570" hidden="1" x14ac:dyDescent="0.2"/>
    <row r="3571" hidden="1" x14ac:dyDescent="0.2"/>
    <row r="3572" hidden="1" x14ac:dyDescent="0.2"/>
    <row r="3573" hidden="1" x14ac:dyDescent="0.2"/>
    <row r="3574" hidden="1" x14ac:dyDescent="0.2"/>
    <row r="3575" hidden="1" x14ac:dyDescent="0.2"/>
    <row r="3576" hidden="1" x14ac:dyDescent="0.2"/>
    <row r="3577" hidden="1" x14ac:dyDescent="0.2"/>
    <row r="3578" hidden="1" x14ac:dyDescent="0.2"/>
    <row r="3579" hidden="1" x14ac:dyDescent="0.2"/>
    <row r="3580" hidden="1" x14ac:dyDescent="0.2"/>
    <row r="3581" hidden="1" x14ac:dyDescent="0.2"/>
    <row r="3582" hidden="1" x14ac:dyDescent="0.2"/>
    <row r="3583" hidden="1" x14ac:dyDescent="0.2"/>
    <row r="3584" hidden="1" x14ac:dyDescent="0.2"/>
    <row r="3585" hidden="1" x14ac:dyDescent="0.2"/>
    <row r="3586" hidden="1" x14ac:dyDescent="0.2"/>
    <row r="3587" hidden="1" x14ac:dyDescent="0.2"/>
    <row r="3588" hidden="1" x14ac:dyDescent="0.2"/>
    <row r="3589" hidden="1" x14ac:dyDescent="0.2"/>
    <row r="3590" hidden="1" x14ac:dyDescent="0.2"/>
    <row r="3591" hidden="1" x14ac:dyDescent="0.2"/>
    <row r="3592" hidden="1" x14ac:dyDescent="0.2"/>
    <row r="3593" hidden="1" x14ac:dyDescent="0.2"/>
    <row r="3594" hidden="1" x14ac:dyDescent="0.2"/>
    <row r="3595" hidden="1" x14ac:dyDescent="0.2"/>
    <row r="3596" hidden="1" x14ac:dyDescent="0.2"/>
    <row r="3597" hidden="1" x14ac:dyDescent="0.2"/>
    <row r="3598" hidden="1" x14ac:dyDescent="0.2"/>
    <row r="3599" hidden="1" x14ac:dyDescent="0.2"/>
    <row r="3600" hidden="1" x14ac:dyDescent="0.2"/>
    <row r="3601" hidden="1" x14ac:dyDescent="0.2"/>
    <row r="3602" hidden="1" x14ac:dyDescent="0.2"/>
    <row r="3603" hidden="1" x14ac:dyDescent="0.2"/>
    <row r="3604" hidden="1" x14ac:dyDescent="0.2"/>
    <row r="3605" hidden="1" x14ac:dyDescent="0.2"/>
    <row r="3606" hidden="1" x14ac:dyDescent="0.2"/>
    <row r="3607" hidden="1" x14ac:dyDescent="0.2"/>
    <row r="3608" hidden="1" x14ac:dyDescent="0.2"/>
    <row r="3609" hidden="1" x14ac:dyDescent="0.2"/>
    <row r="3610" hidden="1" x14ac:dyDescent="0.2"/>
    <row r="3611" hidden="1" x14ac:dyDescent="0.2"/>
    <row r="3612" hidden="1" x14ac:dyDescent="0.2"/>
    <row r="3613" hidden="1" x14ac:dyDescent="0.2"/>
    <row r="3614" hidden="1" x14ac:dyDescent="0.2"/>
    <row r="3615" hidden="1" x14ac:dyDescent="0.2"/>
    <row r="3616" hidden="1" x14ac:dyDescent="0.2"/>
    <row r="3617" hidden="1" x14ac:dyDescent="0.2"/>
    <row r="3618" hidden="1" x14ac:dyDescent="0.2"/>
    <row r="3619" hidden="1" x14ac:dyDescent="0.2"/>
    <row r="3620" hidden="1" x14ac:dyDescent="0.2"/>
    <row r="3621" hidden="1" x14ac:dyDescent="0.2"/>
    <row r="3622" hidden="1" x14ac:dyDescent="0.2"/>
    <row r="3623" hidden="1" x14ac:dyDescent="0.2"/>
    <row r="3624" hidden="1" x14ac:dyDescent="0.2"/>
    <row r="3625" hidden="1" x14ac:dyDescent="0.2"/>
    <row r="3626" hidden="1" x14ac:dyDescent="0.2"/>
    <row r="3627" hidden="1" x14ac:dyDescent="0.2"/>
    <row r="3628" hidden="1" x14ac:dyDescent="0.2"/>
    <row r="3629" hidden="1" x14ac:dyDescent="0.2"/>
    <row r="3630" hidden="1" x14ac:dyDescent="0.2"/>
    <row r="3631" hidden="1" x14ac:dyDescent="0.2"/>
    <row r="3632" hidden="1" x14ac:dyDescent="0.2"/>
    <row r="3633" hidden="1" x14ac:dyDescent="0.2"/>
    <row r="3634" hidden="1" x14ac:dyDescent="0.2"/>
    <row r="3635" hidden="1" x14ac:dyDescent="0.2"/>
    <row r="3636" hidden="1" x14ac:dyDescent="0.2"/>
    <row r="3637" hidden="1" x14ac:dyDescent="0.2"/>
    <row r="3638" hidden="1" x14ac:dyDescent="0.2"/>
    <row r="3639" hidden="1" x14ac:dyDescent="0.2"/>
    <row r="3640" hidden="1" x14ac:dyDescent="0.2"/>
    <row r="3641" hidden="1" x14ac:dyDescent="0.2"/>
    <row r="3642" hidden="1" x14ac:dyDescent="0.2"/>
    <row r="3643" hidden="1" x14ac:dyDescent="0.2"/>
    <row r="3644" hidden="1" x14ac:dyDescent="0.2"/>
    <row r="3645" hidden="1" x14ac:dyDescent="0.2"/>
    <row r="3646" hidden="1" x14ac:dyDescent="0.2"/>
    <row r="3647" hidden="1" x14ac:dyDescent="0.2"/>
    <row r="3648" hidden="1" x14ac:dyDescent="0.2"/>
    <row r="3649" hidden="1" x14ac:dyDescent="0.2"/>
    <row r="3650" hidden="1" x14ac:dyDescent="0.2"/>
    <row r="3651" hidden="1" x14ac:dyDescent="0.2"/>
    <row r="3652" hidden="1" x14ac:dyDescent="0.2"/>
    <row r="3653" hidden="1" x14ac:dyDescent="0.2"/>
    <row r="3654" hidden="1" x14ac:dyDescent="0.2"/>
    <row r="3655" hidden="1" x14ac:dyDescent="0.2"/>
    <row r="3656" hidden="1" x14ac:dyDescent="0.2"/>
    <row r="3657" hidden="1" x14ac:dyDescent="0.2"/>
    <row r="3658" hidden="1" x14ac:dyDescent="0.2"/>
    <row r="3659" hidden="1" x14ac:dyDescent="0.2"/>
    <row r="3660" hidden="1" x14ac:dyDescent="0.2"/>
    <row r="3661" hidden="1" x14ac:dyDescent="0.2"/>
    <row r="3662" hidden="1" x14ac:dyDescent="0.2"/>
    <row r="3663" hidden="1" x14ac:dyDescent="0.2"/>
    <row r="3664" hidden="1" x14ac:dyDescent="0.2"/>
    <row r="3665" hidden="1" x14ac:dyDescent="0.2"/>
    <row r="3666" hidden="1" x14ac:dyDescent="0.2"/>
    <row r="3667" hidden="1" x14ac:dyDescent="0.2"/>
    <row r="3668" hidden="1" x14ac:dyDescent="0.2"/>
    <row r="3669" hidden="1" x14ac:dyDescent="0.2"/>
    <row r="3670" hidden="1" x14ac:dyDescent="0.2"/>
    <row r="3671" hidden="1" x14ac:dyDescent="0.2"/>
    <row r="3672" hidden="1" x14ac:dyDescent="0.2"/>
    <row r="3673" hidden="1" x14ac:dyDescent="0.2"/>
    <row r="3674" hidden="1" x14ac:dyDescent="0.2"/>
    <row r="3675" hidden="1" x14ac:dyDescent="0.2"/>
    <row r="3676" hidden="1" x14ac:dyDescent="0.2"/>
    <row r="3677" hidden="1" x14ac:dyDescent="0.2"/>
    <row r="3678" hidden="1" x14ac:dyDescent="0.2"/>
    <row r="3679" hidden="1" x14ac:dyDescent="0.2"/>
    <row r="3680" hidden="1" x14ac:dyDescent="0.2"/>
    <row r="3681" hidden="1" x14ac:dyDescent="0.2"/>
    <row r="3682" hidden="1" x14ac:dyDescent="0.2"/>
    <row r="3683" hidden="1" x14ac:dyDescent="0.2"/>
    <row r="3684" hidden="1" x14ac:dyDescent="0.2"/>
    <row r="3685" hidden="1" x14ac:dyDescent="0.2"/>
    <row r="3686" hidden="1" x14ac:dyDescent="0.2"/>
    <row r="3687" hidden="1" x14ac:dyDescent="0.2"/>
    <row r="3688" hidden="1" x14ac:dyDescent="0.2"/>
    <row r="3689" hidden="1" x14ac:dyDescent="0.2"/>
    <row r="3690" hidden="1" x14ac:dyDescent="0.2"/>
    <row r="3691" hidden="1" x14ac:dyDescent="0.2"/>
    <row r="3692" hidden="1" x14ac:dyDescent="0.2"/>
    <row r="3693" hidden="1" x14ac:dyDescent="0.2"/>
    <row r="3694" hidden="1" x14ac:dyDescent="0.2"/>
    <row r="3695" hidden="1" x14ac:dyDescent="0.2"/>
    <row r="3696" hidden="1" x14ac:dyDescent="0.2"/>
    <row r="3697" hidden="1" x14ac:dyDescent="0.2"/>
    <row r="3698" hidden="1" x14ac:dyDescent="0.2"/>
    <row r="3699" hidden="1" x14ac:dyDescent="0.2"/>
    <row r="3700" hidden="1" x14ac:dyDescent="0.2"/>
    <row r="3701" hidden="1" x14ac:dyDescent="0.2"/>
    <row r="3702" hidden="1" x14ac:dyDescent="0.2"/>
    <row r="3703" hidden="1" x14ac:dyDescent="0.2"/>
    <row r="3704" hidden="1" x14ac:dyDescent="0.2"/>
    <row r="3705" hidden="1" x14ac:dyDescent="0.2"/>
    <row r="3706" hidden="1" x14ac:dyDescent="0.2"/>
    <row r="3707" hidden="1" x14ac:dyDescent="0.2"/>
    <row r="3708" hidden="1" x14ac:dyDescent="0.2"/>
    <row r="3709" hidden="1" x14ac:dyDescent="0.2"/>
    <row r="3710" hidden="1" x14ac:dyDescent="0.2"/>
    <row r="3711" hidden="1" x14ac:dyDescent="0.2"/>
    <row r="3712" hidden="1" x14ac:dyDescent="0.2"/>
    <row r="3713" hidden="1" x14ac:dyDescent="0.2"/>
    <row r="3714" hidden="1" x14ac:dyDescent="0.2"/>
    <row r="3715" hidden="1" x14ac:dyDescent="0.2"/>
    <row r="3716" hidden="1" x14ac:dyDescent="0.2"/>
    <row r="3717" hidden="1" x14ac:dyDescent="0.2"/>
    <row r="3718" hidden="1" x14ac:dyDescent="0.2"/>
    <row r="3719" hidden="1" x14ac:dyDescent="0.2"/>
    <row r="3720" hidden="1" x14ac:dyDescent="0.2"/>
    <row r="3721" hidden="1" x14ac:dyDescent="0.2"/>
    <row r="3722" hidden="1" x14ac:dyDescent="0.2"/>
    <row r="3723" hidden="1" x14ac:dyDescent="0.2"/>
    <row r="3724" hidden="1" x14ac:dyDescent="0.2"/>
    <row r="3725" hidden="1" x14ac:dyDescent="0.2"/>
    <row r="3726" hidden="1" x14ac:dyDescent="0.2"/>
    <row r="3727" hidden="1" x14ac:dyDescent="0.2"/>
    <row r="3728" hidden="1" x14ac:dyDescent="0.2"/>
    <row r="3729" hidden="1" x14ac:dyDescent="0.2"/>
    <row r="3730" hidden="1" x14ac:dyDescent="0.2"/>
    <row r="3731" hidden="1" x14ac:dyDescent="0.2"/>
    <row r="3732" hidden="1" x14ac:dyDescent="0.2"/>
    <row r="3733" hidden="1" x14ac:dyDescent="0.2"/>
    <row r="3734" hidden="1" x14ac:dyDescent="0.2"/>
    <row r="3735" hidden="1" x14ac:dyDescent="0.2"/>
    <row r="3736" hidden="1" x14ac:dyDescent="0.2"/>
    <row r="3737" hidden="1" x14ac:dyDescent="0.2"/>
    <row r="3738" hidden="1" x14ac:dyDescent="0.2"/>
    <row r="3739" hidden="1" x14ac:dyDescent="0.2"/>
    <row r="3740" hidden="1" x14ac:dyDescent="0.2"/>
    <row r="3741" hidden="1" x14ac:dyDescent="0.2"/>
    <row r="3742" hidden="1" x14ac:dyDescent="0.2"/>
    <row r="3743" hidden="1" x14ac:dyDescent="0.2"/>
    <row r="3744" hidden="1" x14ac:dyDescent="0.2"/>
    <row r="3745" hidden="1" x14ac:dyDescent="0.2"/>
    <row r="3746" hidden="1" x14ac:dyDescent="0.2"/>
    <row r="3747" hidden="1" x14ac:dyDescent="0.2"/>
    <row r="3748" hidden="1" x14ac:dyDescent="0.2"/>
    <row r="3749" hidden="1" x14ac:dyDescent="0.2"/>
    <row r="3750" hidden="1" x14ac:dyDescent="0.2"/>
    <row r="3751" hidden="1" x14ac:dyDescent="0.2"/>
    <row r="3752" hidden="1" x14ac:dyDescent="0.2"/>
    <row r="3753" hidden="1" x14ac:dyDescent="0.2"/>
    <row r="3754" hidden="1" x14ac:dyDescent="0.2"/>
    <row r="3755" hidden="1" x14ac:dyDescent="0.2"/>
    <row r="3756" hidden="1" x14ac:dyDescent="0.2"/>
    <row r="3757" hidden="1" x14ac:dyDescent="0.2"/>
    <row r="3758" hidden="1" x14ac:dyDescent="0.2"/>
    <row r="3759" hidden="1" x14ac:dyDescent="0.2"/>
    <row r="3760" hidden="1" x14ac:dyDescent="0.2"/>
    <row r="3761" hidden="1" x14ac:dyDescent="0.2"/>
    <row r="3762" hidden="1" x14ac:dyDescent="0.2"/>
    <row r="3763" hidden="1" x14ac:dyDescent="0.2"/>
    <row r="3764" hidden="1" x14ac:dyDescent="0.2"/>
    <row r="3765" hidden="1" x14ac:dyDescent="0.2"/>
    <row r="3766" hidden="1" x14ac:dyDescent="0.2"/>
    <row r="3767" hidden="1" x14ac:dyDescent="0.2"/>
    <row r="3768" hidden="1" x14ac:dyDescent="0.2"/>
    <row r="3769" hidden="1" x14ac:dyDescent="0.2"/>
    <row r="3770" hidden="1" x14ac:dyDescent="0.2"/>
    <row r="3771" hidden="1" x14ac:dyDescent="0.2"/>
    <row r="3772" hidden="1" x14ac:dyDescent="0.2"/>
    <row r="3773" hidden="1" x14ac:dyDescent="0.2"/>
    <row r="3774" hidden="1" x14ac:dyDescent="0.2"/>
    <row r="3775" hidden="1" x14ac:dyDescent="0.2"/>
    <row r="3776" hidden="1" x14ac:dyDescent="0.2"/>
    <row r="3777" hidden="1" x14ac:dyDescent="0.2"/>
    <row r="3778" hidden="1" x14ac:dyDescent="0.2"/>
    <row r="3779" hidden="1" x14ac:dyDescent="0.2"/>
    <row r="3780" hidden="1" x14ac:dyDescent="0.2"/>
    <row r="3781" hidden="1" x14ac:dyDescent="0.2"/>
    <row r="3782" hidden="1" x14ac:dyDescent="0.2"/>
    <row r="3783" hidden="1" x14ac:dyDescent="0.2"/>
    <row r="3784" hidden="1" x14ac:dyDescent="0.2"/>
    <row r="3785" hidden="1" x14ac:dyDescent="0.2"/>
    <row r="3786" hidden="1" x14ac:dyDescent="0.2"/>
    <row r="3787" hidden="1" x14ac:dyDescent="0.2"/>
    <row r="3788" hidden="1" x14ac:dyDescent="0.2"/>
    <row r="3789" hidden="1" x14ac:dyDescent="0.2"/>
    <row r="3790" hidden="1" x14ac:dyDescent="0.2"/>
    <row r="3791" hidden="1" x14ac:dyDescent="0.2"/>
    <row r="3792" hidden="1" x14ac:dyDescent="0.2"/>
    <row r="3793" hidden="1" x14ac:dyDescent="0.2"/>
    <row r="3794" hidden="1" x14ac:dyDescent="0.2"/>
    <row r="3795" hidden="1" x14ac:dyDescent="0.2"/>
    <row r="3796" hidden="1" x14ac:dyDescent="0.2"/>
    <row r="3797" hidden="1" x14ac:dyDescent="0.2"/>
    <row r="3798" hidden="1" x14ac:dyDescent="0.2"/>
    <row r="3799" hidden="1" x14ac:dyDescent="0.2"/>
    <row r="3800" hidden="1" x14ac:dyDescent="0.2"/>
    <row r="3801" hidden="1" x14ac:dyDescent="0.2"/>
    <row r="3802" hidden="1" x14ac:dyDescent="0.2"/>
    <row r="3803" hidden="1" x14ac:dyDescent="0.2"/>
    <row r="3804" hidden="1" x14ac:dyDescent="0.2"/>
    <row r="3805" hidden="1" x14ac:dyDescent="0.2"/>
    <row r="3806" hidden="1" x14ac:dyDescent="0.2"/>
    <row r="3807" hidden="1" x14ac:dyDescent="0.2"/>
    <row r="3808" hidden="1" x14ac:dyDescent="0.2"/>
    <row r="3809" hidden="1" x14ac:dyDescent="0.2"/>
    <row r="3810" hidden="1" x14ac:dyDescent="0.2"/>
    <row r="3811" hidden="1" x14ac:dyDescent="0.2"/>
    <row r="3812" hidden="1" x14ac:dyDescent="0.2"/>
    <row r="3813" hidden="1" x14ac:dyDescent="0.2"/>
    <row r="3814" hidden="1" x14ac:dyDescent="0.2"/>
    <row r="3815" hidden="1" x14ac:dyDescent="0.2"/>
    <row r="3816" hidden="1" x14ac:dyDescent="0.2"/>
    <row r="3817" hidden="1" x14ac:dyDescent="0.2"/>
    <row r="3818" hidden="1" x14ac:dyDescent="0.2"/>
    <row r="3819" hidden="1" x14ac:dyDescent="0.2"/>
    <row r="3820" hidden="1" x14ac:dyDescent="0.2"/>
    <row r="3821" hidden="1" x14ac:dyDescent="0.2"/>
    <row r="3822" hidden="1" x14ac:dyDescent="0.2"/>
    <row r="3823" hidden="1" x14ac:dyDescent="0.2"/>
    <row r="3824" hidden="1" x14ac:dyDescent="0.2"/>
    <row r="3825" hidden="1" x14ac:dyDescent="0.2"/>
    <row r="3826" hidden="1" x14ac:dyDescent="0.2"/>
    <row r="3827" hidden="1" x14ac:dyDescent="0.2"/>
    <row r="3828" hidden="1" x14ac:dyDescent="0.2"/>
    <row r="3829" hidden="1" x14ac:dyDescent="0.2"/>
    <row r="3830" hidden="1" x14ac:dyDescent="0.2"/>
    <row r="3831" hidden="1" x14ac:dyDescent="0.2"/>
    <row r="3832" hidden="1" x14ac:dyDescent="0.2"/>
    <row r="3833" hidden="1" x14ac:dyDescent="0.2"/>
    <row r="3834" hidden="1" x14ac:dyDescent="0.2"/>
    <row r="3835" hidden="1" x14ac:dyDescent="0.2"/>
    <row r="3836" hidden="1" x14ac:dyDescent="0.2"/>
    <row r="3837" hidden="1" x14ac:dyDescent="0.2"/>
    <row r="3838" hidden="1" x14ac:dyDescent="0.2"/>
    <row r="3839" hidden="1" x14ac:dyDescent="0.2"/>
    <row r="3840" hidden="1" x14ac:dyDescent="0.2"/>
    <row r="3841" hidden="1" x14ac:dyDescent="0.2"/>
    <row r="3842" hidden="1" x14ac:dyDescent="0.2"/>
    <row r="3843" hidden="1" x14ac:dyDescent="0.2"/>
    <row r="3844" hidden="1" x14ac:dyDescent="0.2"/>
    <row r="3845" hidden="1" x14ac:dyDescent="0.2"/>
    <row r="3846" hidden="1" x14ac:dyDescent="0.2"/>
    <row r="3847" hidden="1" x14ac:dyDescent="0.2"/>
    <row r="3848" hidden="1" x14ac:dyDescent="0.2"/>
    <row r="3849" hidden="1" x14ac:dyDescent="0.2"/>
    <row r="3850" hidden="1" x14ac:dyDescent="0.2"/>
    <row r="3851" hidden="1" x14ac:dyDescent="0.2"/>
    <row r="3852" hidden="1" x14ac:dyDescent="0.2"/>
    <row r="3853" hidden="1" x14ac:dyDescent="0.2"/>
    <row r="3854" hidden="1" x14ac:dyDescent="0.2"/>
    <row r="3855" hidden="1" x14ac:dyDescent="0.2"/>
    <row r="3856" hidden="1" x14ac:dyDescent="0.2"/>
    <row r="3857" hidden="1" x14ac:dyDescent="0.2"/>
    <row r="3858" hidden="1" x14ac:dyDescent="0.2"/>
    <row r="3859" hidden="1" x14ac:dyDescent="0.2"/>
    <row r="3860" hidden="1" x14ac:dyDescent="0.2"/>
    <row r="3861" hidden="1" x14ac:dyDescent="0.2"/>
    <row r="3862" hidden="1" x14ac:dyDescent="0.2"/>
    <row r="3863" hidden="1" x14ac:dyDescent="0.2"/>
    <row r="3864" hidden="1" x14ac:dyDescent="0.2"/>
    <row r="3865" hidden="1" x14ac:dyDescent="0.2"/>
    <row r="3866" hidden="1" x14ac:dyDescent="0.2"/>
    <row r="3867" hidden="1" x14ac:dyDescent="0.2"/>
    <row r="3868" hidden="1" x14ac:dyDescent="0.2"/>
    <row r="3869" hidden="1" x14ac:dyDescent="0.2"/>
    <row r="3870" hidden="1" x14ac:dyDescent="0.2"/>
    <row r="3871" hidden="1" x14ac:dyDescent="0.2"/>
    <row r="3872" hidden="1" x14ac:dyDescent="0.2"/>
    <row r="3873" hidden="1" x14ac:dyDescent="0.2"/>
    <row r="3874" hidden="1" x14ac:dyDescent="0.2"/>
    <row r="3875" hidden="1" x14ac:dyDescent="0.2"/>
    <row r="3876" hidden="1" x14ac:dyDescent="0.2"/>
    <row r="3877" hidden="1" x14ac:dyDescent="0.2"/>
    <row r="3878" hidden="1" x14ac:dyDescent="0.2"/>
    <row r="3879" hidden="1" x14ac:dyDescent="0.2"/>
    <row r="3880" hidden="1" x14ac:dyDescent="0.2"/>
    <row r="3881" hidden="1" x14ac:dyDescent="0.2"/>
    <row r="3882" hidden="1" x14ac:dyDescent="0.2"/>
    <row r="3883" hidden="1" x14ac:dyDescent="0.2"/>
    <row r="3884" hidden="1" x14ac:dyDescent="0.2"/>
    <row r="3885" hidden="1" x14ac:dyDescent="0.2"/>
    <row r="3886" hidden="1" x14ac:dyDescent="0.2"/>
    <row r="3887" hidden="1" x14ac:dyDescent="0.2"/>
    <row r="3888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  <row r="3894" hidden="1" x14ac:dyDescent="0.2"/>
    <row r="3895" hidden="1" x14ac:dyDescent="0.2"/>
    <row r="3896" hidden="1" x14ac:dyDescent="0.2"/>
    <row r="3897" hidden="1" x14ac:dyDescent="0.2"/>
    <row r="3898" hidden="1" x14ac:dyDescent="0.2"/>
    <row r="3899" hidden="1" x14ac:dyDescent="0.2"/>
    <row r="3900" hidden="1" x14ac:dyDescent="0.2"/>
    <row r="3901" hidden="1" x14ac:dyDescent="0.2"/>
    <row r="3902" hidden="1" x14ac:dyDescent="0.2"/>
    <row r="3903" hidden="1" x14ac:dyDescent="0.2"/>
    <row r="3904" hidden="1" x14ac:dyDescent="0.2"/>
    <row r="3905" hidden="1" x14ac:dyDescent="0.2"/>
    <row r="3906" hidden="1" x14ac:dyDescent="0.2"/>
    <row r="3907" hidden="1" x14ac:dyDescent="0.2"/>
    <row r="3908" hidden="1" x14ac:dyDescent="0.2"/>
    <row r="3909" hidden="1" x14ac:dyDescent="0.2"/>
    <row r="3910" hidden="1" x14ac:dyDescent="0.2"/>
    <row r="3911" hidden="1" x14ac:dyDescent="0.2"/>
    <row r="3912" hidden="1" x14ac:dyDescent="0.2"/>
    <row r="3913" hidden="1" x14ac:dyDescent="0.2"/>
    <row r="3914" hidden="1" x14ac:dyDescent="0.2"/>
    <row r="3915" hidden="1" x14ac:dyDescent="0.2"/>
    <row r="3916" hidden="1" x14ac:dyDescent="0.2"/>
    <row r="3917" hidden="1" x14ac:dyDescent="0.2"/>
    <row r="3918" hidden="1" x14ac:dyDescent="0.2"/>
    <row r="3919" hidden="1" x14ac:dyDescent="0.2"/>
    <row r="3920" hidden="1" x14ac:dyDescent="0.2"/>
    <row r="3921" hidden="1" x14ac:dyDescent="0.2"/>
    <row r="3922" hidden="1" x14ac:dyDescent="0.2"/>
    <row r="3923" hidden="1" x14ac:dyDescent="0.2"/>
    <row r="3924" hidden="1" x14ac:dyDescent="0.2"/>
    <row r="3925" hidden="1" x14ac:dyDescent="0.2"/>
    <row r="3926" hidden="1" x14ac:dyDescent="0.2"/>
    <row r="3927" hidden="1" x14ac:dyDescent="0.2"/>
    <row r="3928" hidden="1" x14ac:dyDescent="0.2"/>
    <row r="3929" hidden="1" x14ac:dyDescent="0.2"/>
    <row r="3930" hidden="1" x14ac:dyDescent="0.2"/>
    <row r="3931" hidden="1" x14ac:dyDescent="0.2"/>
    <row r="3932" hidden="1" x14ac:dyDescent="0.2"/>
    <row r="3933" hidden="1" x14ac:dyDescent="0.2"/>
    <row r="3934" hidden="1" x14ac:dyDescent="0.2"/>
    <row r="3935" hidden="1" x14ac:dyDescent="0.2"/>
    <row r="3936" hidden="1" x14ac:dyDescent="0.2"/>
    <row r="3937" hidden="1" x14ac:dyDescent="0.2"/>
    <row r="3938" hidden="1" x14ac:dyDescent="0.2"/>
    <row r="3939" hidden="1" x14ac:dyDescent="0.2"/>
    <row r="3940" hidden="1" x14ac:dyDescent="0.2"/>
    <row r="3941" hidden="1" x14ac:dyDescent="0.2"/>
    <row r="3942" hidden="1" x14ac:dyDescent="0.2"/>
    <row r="3943" hidden="1" x14ac:dyDescent="0.2"/>
    <row r="3944" hidden="1" x14ac:dyDescent="0.2"/>
    <row r="3945" hidden="1" x14ac:dyDescent="0.2"/>
    <row r="3946" hidden="1" x14ac:dyDescent="0.2"/>
    <row r="3947" hidden="1" x14ac:dyDescent="0.2"/>
    <row r="3948" hidden="1" x14ac:dyDescent="0.2"/>
    <row r="3949" hidden="1" x14ac:dyDescent="0.2"/>
    <row r="3950" hidden="1" x14ac:dyDescent="0.2"/>
    <row r="3951" hidden="1" x14ac:dyDescent="0.2"/>
    <row r="3952" hidden="1" x14ac:dyDescent="0.2"/>
    <row r="3953" hidden="1" x14ac:dyDescent="0.2"/>
    <row r="3954" hidden="1" x14ac:dyDescent="0.2"/>
    <row r="3955" hidden="1" x14ac:dyDescent="0.2"/>
    <row r="3956" hidden="1" x14ac:dyDescent="0.2"/>
    <row r="3957" hidden="1" x14ac:dyDescent="0.2"/>
    <row r="3958" hidden="1" x14ac:dyDescent="0.2"/>
    <row r="3959" hidden="1" x14ac:dyDescent="0.2"/>
    <row r="3960" hidden="1" x14ac:dyDescent="0.2"/>
    <row r="3961" hidden="1" x14ac:dyDescent="0.2"/>
    <row r="3962" hidden="1" x14ac:dyDescent="0.2"/>
    <row r="3963" hidden="1" x14ac:dyDescent="0.2"/>
    <row r="3964" hidden="1" x14ac:dyDescent="0.2"/>
    <row r="3965" hidden="1" x14ac:dyDescent="0.2"/>
    <row r="3966" hidden="1" x14ac:dyDescent="0.2"/>
    <row r="3967" hidden="1" x14ac:dyDescent="0.2"/>
    <row r="3968" hidden="1" x14ac:dyDescent="0.2"/>
    <row r="3969" hidden="1" x14ac:dyDescent="0.2"/>
    <row r="3970" hidden="1" x14ac:dyDescent="0.2"/>
    <row r="3971" hidden="1" x14ac:dyDescent="0.2"/>
    <row r="3972" hidden="1" x14ac:dyDescent="0.2"/>
    <row r="3973" hidden="1" x14ac:dyDescent="0.2"/>
    <row r="3974" hidden="1" x14ac:dyDescent="0.2"/>
    <row r="3975" hidden="1" x14ac:dyDescent="0.2"/>
    <row r="3976" hidden="1" x14ac:dyDescent="0.2"/>
    <row r="3977" hidden="1" x14ac:dyDescent="0.2"/>
    <row r="3978" hidden="1" x14ac:dyDescent="0.2"/>
    <row r="3979" hidden="1" x14ac:dyDescent="0.2"/>
    <row r="3980" hidden="1" x14ac:dyDescent="0.2"/>
    <row r="3981" hidden="1" x14ac:dyDescent="0.2"/>
    <row r="3982" hidden="1" x14ac:dyDescent="0.2"/>
    <row r="3983" hidden="1" x14ac:dyDescent="0.2"/>
    <row r="3984" hidden="1" x14ac:dyDescent="0.2"/>
    <row r="3985" hidden="1" x14ac:dyDescent="0.2"/>
    <row r="3986" hidden="1" x14ac:dyDescent="0.2"/>
    <row r="3987" hidden="1" x14ac:dyDescent="0.2"/>
    <row r="3988" hidden="1" x14ac:dyDescent="0.2"/>
    <row r="3989" hidden="1" x14ac:dyDescent="0.2"/>
    <row r="3990" hidden="1" x14ac:dyDescent="0.2"/>
    <row r="3991" hidden="1" x14ac:dyDescent="0.2"/>
    <row r="3992" hidden="1" x14ac:dyDescent="0.2"/>
    <row r="3993" hidden="1" x14ac:dyDescent="0.2"/>
    <row r="3994" hidden="1" x14ac:dyDescent="0.2"/>
    <row r="3995" hidden="1" x14ac:dyDescent="0.2"/>
    <row r="3996" hidden="1" x14ac:dyDescent="0.2"/>
    <row r="3997" hidden="1" x14ac:dyDescent="0.2"/>
    <row r="3998" hidden="1" x14ac:dyDescent="0.2"/>
    <row r="3999" hidden="1" x14ac:dyDescent="0.2"/>
    <row r="4000" hidden="1" x14ac:dyDescent="0.2"/>
    <row r="4001" hidden="1" x14ac:dyDescent="0.2"/>
    <row r="4002" hidden="1" x14ac:dyDescent="0.2"/>
    <row r="4003" hidden="1" x14ac:dyDescent="0.2"/>
    <row r="4004" hidden="1" x14ac:dyDescent="0.2"/>
    <row r="4005" hidden="1" x14ac:dyDescent="0.2"/>
    <row r="4006" hidden="1" x14ac:dyDescent="0.2"/>
    <row r="4007" hidden="1" x14ac:dyDescent="0.2"/>
    <row r="4008" hidden="1" x14ac:dyDescent="0.2"/>
    <row r="4009" hidden="1" x14ac:dyDescent="0.2"/>
    <row r="4010" hidden="1" x14ac:dyDescent="0.2"/>
    <row r="4011" hidden="1" x14ac:dyDescent="0.2"/>
    <row r="4012" hidden="1" x14ac:dyDescent="0.2"/>
    <row r="4013" hidden="1" x14ac:dyDescent="0.2"/>
    <row r="4014" hidden="1" x14ac:dyDescent="0.2"/>
    <row r="4015" hidden="1" x14ac:dyDescent="0.2"/>
    <row r="4016" hidden="1" x14ac:dyDescent="0.2"/>
    <row r="4017" hidden="1" x14ac:dyDescent="0.2"/>
    <row r="4018" hidden="1" x14ac:dyDescent="0.2"/>
    <row r="4019" hidden="1" x14ac:dyDescent="0.2"/>
    <row r="4020" hidden="1" x14ac:dyDescent="0.2"/>
    <row r="4021" hidden="1" x14ac:dyDescent="0.2"/>
    <row r="4022" hidden="1" x14ac:dyDescent="0.2"/>
    <row r="4023" hidden="1" x14ac:dyDescent="0.2"/>
    <row r="4024" hidden="1" x14ac:dyDescent="0.2"/>
    <row r="4025" hidden="1" x14ac:dyDescent="0.2"/>
    <row r="4026" hidden="1" x14ac:dyDescent="0.2"/>
    <row r="4027" hidden="1" x14ac:dyDescent="0.2"/>
    <row r="4028" hidden="1" x14ac:dyDescent="0.2"/>
    <row r="4029" hidden="1" x14ac:dyDescent="0.2"/>
    <row r="4030" hidden="1" x14ac:dyDescent="0.2"/>
    <row r="4031" hidden="1" x14ac:dyDescent="0.2"/>
    <row r="4032" hidden="1" x14ac:dyDescent="0.2"/>
    <row r="4033" hidden="1" x14ac:dyDescent="0.2"/>
    <row r="4034" hidden="1" x14ac:dyDescent="0.2"/>
    <row r="4035" hidden="1" x14ac:dyDescent="0.2"/>
    <row r="4036" hidden="1" x14ac:dyDescent="0.2"/>
    <row r="4037" hidden="1" x14ac:dyDescent="0.2"/>
    <row r="4038" hidden="1" x14ac:dyDescent="0.2"/>
    <row r="4039" hidden="1" x14ac:dyDescent="0.2"/>
    <row r="4040" hidden="1" x14ac:dyDescent="0.2"/>
    <row r="4041" hidden="1" x14ac:dyDescent="0.2"/>
    <row r="4042" hidden="1" x14ac:dyDescent="0.2"/>
    <row r="4043" hidden="1" x14ac:dyDescent="0.2"/>
    <row r="4044" hidden="1" x14ac:dyDescent="0.2"/>
    <row r="4045" hidden="1" x14ac:dyDescent="0.2"/>
    <row r="4046" hidden="1" x14ac:dyDescent="0.2"/>
    <row r="4047" hidden="1" x14ac:dyDescent="0.2"/>
    <row r="4048" hidden="1" x14ac:dyDescent="0.2"/>
    <row r="4049" hidden="1" x14ac:dyDescent="0.2"/>
    <row r="4050" hidden="1" x14ac:dyDescent="0.2"/>
    <row r="4051" hidden="1" x14ac:dyDescent="0.2"/>
    <row r="4052" hidden="1" x14ac:dyDescent="0.2"/>
    <row r="4053" hidden="1" x14ac:dyDescent="0.2"/>
    <row r="4054" hidden="1" x14ac:dyDescent="0.2"/>
    <row r="4055" hidden="1" x14ac:dyDescent="0.2"/>
    <row r="4056" hidden="1" x14ac:dyDescent="0.2"/>
    <row r="4057" hidden="1" x14ac:dyDescent="0.2"/>
    <row r="4058" hidden="1" x14ac:dyDescent="0.2"/>
    <row r="4059" hidden="1" x14ac:dyDescent="0.2"/>
    <row r="4060" hidden="1" x14ac:dyDescent="0.2"/>
    <row r="4061" hidden="1" x14ac:dyDescent="0.2"/>
    <row r="4062" hidden="1" x14ac:dyDescent="0.2"/>
    <row r="4063" hidden="1" x14ac:dyDescent="0.2"/>
    <row r="4064" hidden="1" x14ac:dyDescent="0.2"/>
    <row r="4065" hidden="1" x14ac:dyDescent="0.2"/>
    <row r="4066" hidden="1" x14ac:dyDescent="0.2"/>
    <row r="4067" hidden="1" x14ac:dyDescent="0.2"/>
    <row r="4068" hidden="1" x14ac:dyDescent="0.2"/>
    <row r="4069" hidden="1" x14ac:dyDescent="0.2"/>
    <row r="4070" hidden="1" x14ac:dyDescent="0.2"/>
    <row r="4071" hidden="1" x14ac:dyDescent="0.2"/>
    <row r="4072" hidden="1" x14ac:dyDescent="0.2"/>
    <row r="4073" hidden="1" x14ac:dyDescent="0.2"/>
    <row r="4074" hidden="1" x14ac:dyDescent="0.2"/>
    <row r="4075" hidden="1" x14ac:dyDescent="0.2"/>
    <row r="4076" hidden="1" x14ac:dyDescent="0.2"/>
    <row r="4077" hidden="1" x14ac:dyDescent="0.2"/>
    <row r="4078" hidden="1" x14ac:dyDescent="0.2"/>
    <row r="4079" hidden="1" x14ac:dyDescent="0.2"/>
    <row r="4080" hidden="1" x14ac:dyDescent="0.2"/>
    <row r="4081" hidden="1" x14ac:dyDescent="0.2"/>
    <row r="4082" hidden="1" x14ac:dyDescent="0.2"/>
    <row r="4083" hidden="1" x14ac:dyDescent="0.2"/>
    <row r="4084" hidden="1" x14ac:dyDescent="0.2"/>
    <row r="4085" hidden="1" x14ac:dyDescent="0.2"/>
    <row r="4086" hidden="1" x14ac:dyDescent="0.2"/>
    <row r="4087" hidden="1" x14ac:dyDescent="0.2"/>
    <row r="4088" hidden="1" x14ac:dyDescent="0.2"/>
    <row r="4089" hidden="1" x14ac:dyDescent="0.2"/>
    <row r="4090" hidden="1" x14ac:dyDescent="0.2"/>
    <row r="4091" hidden="1" x14ac:dyDescent="0.2"/>
    <row r="4092" hidden="1" x14ac:dyDescent="0.2"/>
    <row r="4093" hidden="1" x14ac:dyDescent="0.2"/>
    <row r="4094" hidden="1" x14ac:dyDescent="0.2"/>
    <row r="4095" hidden="1" x14ac:dyDescent="0.2"/>
    <row r="4096" hidden="1" x14ac:dyDescent="0.2"/>
    <row r="4097" hidden="1" x14ac:dyDescent="0.2"/>
    <row r="4098" hidden="1" x14ac:dyDescent="0.2"/>
    <row r="4099" hidden="1" x14ac:dyDescent="0.2"/>
    <row r="4100" hidden="1" x14ac:dyDescent="0.2"/>
    <row r="4101" hidden="1" x14ac:dyDescent="0.2"/>
    <row r="4102" hidden="1" x14ac:dyDescent="0.2"/>
    <row r="4103" hidden="1" x14ac:dyDescent="0.2"/>
    <row r="4104" hidden="1" x14ac:dyDescent="0.2"/>
    <row r="4105" hidden="1" x14ac:dyDescent="0.2"/>
    <row r="4106" hidden="1" x14ac:dyDescent="0.2"/>
    <row r="4107" hidden="1" x14ac:dyDescent="0.2"/>
    <row r="4108" hidden="1" x14ac:dyDescent="0.2"/>
    <row r="4109" hidden="1" x14ac:dyDescent="0.2"/>
    <row r="4110" hidden="1" x14ac:dyDescent="0.2"/>
    <row r="4111" hidden="1" x14ac:dyDescent="0.2"/>
    <row r="4112" hidden="1" x14ac:dyDescent="0.2"/>
    <row r="4113" hidden="1" x14ac:dyDescent="0.2"/>
    <row r="4114" hidden="1" x14ac:dyDescent="0.2"/>
    <row r="4115" hidden="1" x14ac:dyDescent="0.2"/>
    <row r="4116" hidden="1" x14ac:dyDescent="0.2"/>
    <row r="4117" hidden="1" x14ac:dyDescent="0.2"/>
    <row r="4118" hidden="1" x14ac:dyDescent="0.2"/>
    <row r="4119" hidden="1" x14ac:dyDescent="0.2"/>
    <row r="4120" hidden="1" x14ac:dyDescent="0.2"/>
    <row r="4121" hidden="1" x14ac:dyDescent="0.2"/>
    <row r="4122" hidden="1" x14ac:dyDescent="0.2"/>
    <row r="4123" hidden="1" x14ac:dyDescent="0.2"/>
    <row r="4124" hidden="1" x14ac:dyDescent="0.2"/>
    <row r="4125" hidden="1" x14ac:dyDescent="0.2"/>
    <row r="4126" hidden="1" x14ac:dyDescent="0.2"/>
    <row r="4127" hidden="1" x14ac:dyDescent="0.2"/>
    <row r="4128" hidden="1" x14ac:dyDescent="0.2"/>
    <row r="4129" hidden="1" x14ac:dyDescent="0.2"/>
    <row r="4130" hidden="1" x14ac:dyDescent="0.2"/>
    <row r="4131" hidden="1" x14ac:dyDescent="0.2"/>
    <row r="4132" hidden="1" x14ac:dyDescent="0.2"/>
    <row r="4133" hidden="1" x14ac:dyDescent="0.2"/>
    <row r="4134" hidden="1" x14ac:dyDescent="0.2"/>
    <row r="4135" hidden="1" x14ac:dyDescent="0.2"/>
    <row r="4136" hidden="1" x14ac:dyDescent="0.2"/>
    <row r="4137" hidden="1" x14ac:dyDescent="0.2"/>
    <row r="4138" hidden="1" x14ac:dyDescent="0.2"/>
    <row r="4139" hidden="1" x14ac:dyDescent="0.2"/>
    <row r="4140" hidden="1" x14ac:dyDescent="0.2"/>
    <row r="4141" hidden="1" x14ac:dyDescent="0.2"/>
    <row r="4142" hidden="1" x14ac:dyDescent="0.2"/>
    <row r="4143" hidden="1" x14ac:dyDescent="0.2"/>
    <row r="4144" hidden="1" x14ac:dyDescent="0.2"/>
    <row r="4145" hidden="1" x14ac:dyDescent="0.2"/>
    <row r="4146" hidden="1" x14ac:dyDescent="0.2"/>
    <row r="4147" hidden="1" x14ac:dyDescent="0.2"/>
    <row r="4148" hidden="1" x14ac:dyDescent="0.2"/>
    <row r="4149" hidden="1" x14ac:dyDescent="0.2"/>
    <row r="4150" hidden="1" x14ac:dyDescent="0.2"/>
    <row r="4151" hidden="1" x14ac:dyDescent="0.2"/>
    <row r="4152" hidden="1" x14ac:dyDescent="0.2"/>
    <row r="4153" hidden="1" x14ac:dyDescent="0.2"/>
    <row r="4154" hidden="1" x14ac:dyDescent="0.2"/>
    <row r="4155" hidden="1" x14ac:dyDescent="0.2"/>
    <row r="4156" hidden="1" x14ac:dyDescent="0.2"/>
    <row r="4157" hidden="1" x14ac:dyDescent="0.2"/>
    <row r="4158" hidden="1" x14ac:dyDescent="0.2"/>
    <row r="4159" hidden="1" x14ac:dyDescent="0.2"/>
    <row r="4160" hidden="1" x14ac:dyDescent="0.2"/>
    <row r="4161" hidden="1" x14ac:dyDescent="0.2"/>
    <row r="4162" hidden="1" x14ac:dyDescent="0.2"/>
    <row r="4163" hidden="1" x14ac:dyDescent="0.2"/>
    <row r="4164" hidden="1" x14ac:dyDescent="0.2"/>
    <row r="4165" hidden="1" x14ac:dyDescent="0.2"/>
    <row r="4166" hidden="1" x14ac:dyDescent="0.2"/>
    <row r="4167" hidden="1" x14ac:dyDescent="0.2"/>
    <row r="4168" hidden="1" x14ac:dyDescent="0.2"/>
    <row r="4169" hidden="1" x14ac:dyDescent="0.2"/>
    <row r="4170" hidden="1" x14ac:dyDescent="0.2"/>
    <row r="4171" hidden="1" x14ac:dyDescent="0.2"/>
    <row r="4172" hidden="1" x14ac:dyDescent="0.2"/>
    <row r="4173" hidden="1" x14ac:dyDescent="0.2"/>
    <row r="4174" hidden="1" x14ac:dyDescent="0.2"/>
    <row r="4175" hidden="1" x14ac:dyDescent="0.2"/>
    <row r="4176" hidden="1" x14ac:dyDescent="0.2"/>
    <row r="4177" hidden="1" x14ac:dyDescent="0.2"/>
    <row r="4178" hidden="1" x14ac:dyDescent="0.2"/>
    <row r="4179" hidden="1" x14ac:dyDescent="0.2"/>
    <row r="4180" hidden="1" x14ac:dyDescent="0.2"/>
    <row r="4181" hidden="1" x14ac:dyDescent="0.2"/>
    <row r="4182" hidden="1" x14ac:dyDescent="0.2"/>
    <row r="4183" hidden="1" x14ac:dyDescent="0.2"/>
    <row r="4184" hidden="1" x14ac:dyDescent="0.2"/>
    <row r="4185" hidden="1" x14ac:dyDescent="0.2"/>
    <row r="4186" hidden="1" x14ac:dyDescent="0.2"/>
    <row r="4187" hidden="1" x14ac:dyDescent="0.2"/>
    <row r="4188" hidden="1" x14ac:dyDescent="0.2"/>
    <row r="4189" hidden="1" x14ac:dyDescent="0.2"/>
    <row r="4190" hidden="1" x14ac:dyDescent="0.2"/>
    <row r="4191" hidden="1" x14ac:dyDescent="0.2"/>
    <row r="4192" hidden="1" x14ac:dyDescent="0.2"/>
    <row r="4193" hidden="1" x14ac:dyDescent="0.2"/>
    <row r="4194" hidden="1" x14ac:dyDescent="0.2"/>
    <row r="4195" hidden="1" x14ac:dyDescent="0.2"/>
    <row r="4196" hidden="1" x14ac:dyDescent="0.2"/>
    <row r="4197" hidden="1" x14ac:dyDescent="0.2"/>
    <row r="4198" hidden="1" x14ac:dyDescent="0.2"/>
    <row r="4199" hidden="1" x14ac:dyDescent="0.2"/>
    <row r="4200" hidden="1" x14ac:dyDescent="0.2"/>
    <row r="4201" hidden="1" x14ac:dyDescent="0.2"/>
    <row r="4202" hidden="1" x14ac:dyDescent="0.2"/>
    <row r="4203" hidden="1" x14ac:dyDescent="0.2"/>
    <row r="4204" hidden="1" x14ac:dyDescent="0.2"/>
    <row r="4205" hidden="1" x14ac:dyDescent="0.2"/>
    <row r="4206" hidden="1" x14ac:dyDescent="0.2"/>
    <row r="4207" hidden="1" x14ac:dyDescent="0.2"/>
    <row r="4208" hidden="1" x14ac:dyDescent="0.2"/>
    <row r="4209" hidden="1" x14ac:dyDescent="0.2"/>
    <row r="4210" hidden="1" x14ac:dyDescent="0.2"/>
    <row r="4211" hidden="1" x14ac:dyDescent="0.2"/>
    <row r="4212" hidden="1" x14ac:dyDescent="0.2"/>
    <row r="4213" hidden="1" x14ac:dyDescent="0.2"/>
    <row r="4214" hidden="1" x14ac:dyDescent="0.2"/>
    <row r="4215" hidden="1" x14ac:dyDescent="0.2"/>
    <row r="4216" hidden="1" x14ac:dyDescent="0.2"/>
    <row r="4217" hidden="1" x14ac:dyDescent="0.2"/>
    <row r="4218" hidden="1" x14ac:dyDescent="0.2"/>
    <row r="4219" hidden="1" x14ac:dyDescent="0.2"/>
    <row r="4220" hidden="1" x14ac:dyDescent="0.2"/>
    <row r="4221" hidden="1" x14ac:dyDescent="0.2"/>
    <row r="4222" hidden="1" x14ac:dyDescent="0.2"/>
    <row r="4223" hidden="1" x14ac:dyDescent="0.2"/>
    <row r="4224" hidden="1" x14ac:dyDescent="0.2"/>
    <row r="4225" hidden="1" x14ac:dyDescent="0.2"/>
    <row r="4226" hidden="1" x14ac:dyDescent="0.2"/>
    <row r="4227" hidden="1" x14ac:dyDescent="0.2"/>
    <row r="4228" hidden="1" x14ac:dyDescent="0.2"/>
    <row r="4229" hidden="1" x14ac:dyDescent="0.2"/>
    <row r="4230" hidden="1" x14ac:dyDescent="0.2"/>
    <row r="4231" hidden="1" x14ac:dyDescent="0.2"/>
    <row r="4232" hidden="1" x14ac:dyDescent="0.2"/>
    <row r="4233" hidden="1" x14ac:dyDescent="0.2"/>
    <row r="4234" hidden="1" x14ac:dyDescent="0.2"/>
    <row r="4235" hidden="1" x14ac:dyDescent="0.2"/>
    <row r="4236" hidden="1" x14ac:dyDescent="0.2"/>
    <row r="4237" hidden="1" x14ac:dyDescent="0.2"/>
    <row r="4238" hidden="1" x14ac:dyDescent="0.2"/>
    <row r="4239" hidden="1" x14ac:dyDescent="0.2"/>
    <row r="4240" hidden="1" x14ac:dyDescent="0.2"/>
    <row r="4241" hidden="1" x14ac:dyDescent="0.2"/>
    <row r="4242" hidden="1" x14ac:dyDescent="0.2"/>
    <row r="4243" hidden="1" x14ac:dyDescent="0.2"/>
    <row r="4244" hidden="1" x14ac:dyDescent="0.2"/>
    <row r="4245" hidden="1" x14ac:dyDescent="0.2"/>
    <row r="4246" hidden="1" x14ac:dyDescent="0.2"/>
    <row r="4247" hidden="1" x14ac:dyDescent="0.2"/>
    <row r="4248" hidden="1" x14ac:dyDescent="0.2"/>
    <row r="4249" hidden="1" x14ac:dyDescent="0.2"/>
    <row r="4250" hidden="1" x14ac:dyDescent="0.2"/>
    <row r="4251" hidden="1" x14ac:dyDescent="0.2"/>
    <row r="4252" hidden="1" x14ac:dyDescent="0.2"/>
    <row r="4253" hidden="1" x14ac:dyDescent="0.2"/>
    <row r="4254" hidden="1" x14ac:dyDescent="0.2"/>
    <row r="4255" hidden="1" x14ac:dyDescent="0.2"/>
    <row r="4256" hidden="1" x14ac:dyDescent="0.2"/>
    <row r="4257" hidden="1" x14ac:dyDescent="0.2"/>
    <row r="4258" hidden="1" x14ac:dyDescent="0.2"/>
    <row r="4259" hidden="1" x14ac:dyDescent="0.2"/>
    <row r="4260" hidden="1" x14ac:dyDescent="0.2"/>
    <row r="4261" hidden="1" x14ac:dyDescent="0.2"/>
    <row r="4262" hidden="1" x14ac:dyDescent="0.2"/>
    <row r="4263" hidden="1" x14ac:dyDescent="0.2"/>
    <row r="4264" hidden="1" x14ac:dyDescent="0.2"/>
    <row r="4265" hidden="1" x14ac:dyDescent="0.2"/>
    <row r="4266" hidden="1" x14ac:dyDescent="0.2"/>
    <row r="4267" hidden="1" x14ac:dyDescent="0.2"/>
    <row r="4268" hidden="1" x14ac:dyDescent="0.2"/>
    <row r="4269" hidden="1" x14ac:dyDescent="0.2"/>
    <row r="4270" hidden="1" x14ac:dyDescent="0.2"/>
    <row r="4271" hidden="1" x14ac:dyDescent="0.2"/>
    <row r="4272" hidden="1" x14ac:dyDescent="0.2"/>
    <row r="4273" hidden="1" x14ac:dyDescent="0.2"/>
    <row r="4274" hidden="1" x14ac:dyDescent="0.2"/>
    <row r="4275" hidden="1" x14ac:dyDescent="0.2"/>
    <row r="4276" hidden="1" x14ac:dyDescent="0.2"/>
    <row r="4277" hidden="1" x14ac:dyDescent="0.2"/>
    <row r="4278" hidden="1" x14ac:dyDescent="0.2"/>
    <row r="4279" hidden="1" x14ac:dyDescent="0.2"/>
    <row r="4280" hidden="1" x14ac:dyDescent="0.2"/>
    <row r="4281" hidden="1" x14ac:dyDescent="0.2"/>
    <row r="4282" hidden="1" x14ac:dyDescent="0.2"/>
    <row r="4283" hidden="1" x14ac:dyDescent="0.2"/>
    <row r="4284" hidden="1" x14ac:dyDescent="0.2"/>
    <row r="4285" hidden="1" x14ac:dyDescent="0.2"/>
    <row r="4286" hidden="1" x14ac:dyDescent="0.2"/>
    <row r="4287" hidden="1" x14ac:dyDescent="0.2"/>
    <row r="4288" hidden="1" x14ac:dyDescent="0.2"/>
    <row r="4289" hidden="1" x14ac:dyDescent="0.2"/>
    <row r="4290" hidden="1" x14ac:dyDescent="0.2"/>
    <row r="4291" hidden="1" x14ac:dyDescent="0.2"/>
    <row r="4292" hidden="1" x14ac:dyDescent="0.2"/>
    <row r="4293" hidden="1" x14ac:dyDescent="0.2"/>
    <row r="4294" hidden="1" x14ac:dyDescent="0.2"/>
    <row r="4295" hidden="1" x14ac:dyDescent="0.2"/>
    <row r="4296" hidden="1" x14ac:dyDescent="0.2"/>
    <row r="4297" hidden="1" x14ac:dyDescent="0.2"/>
    <row r="4298" hidden="1" x14ac:dyDescent="0.2"/>
    <row r="4299" hidden="1" x14ac:dyDescent="0.2"/>
    <row r="4300" hidden="1" x14ac:dyDescent="0.2"/>
    <row r="4301" hidden="1" x14ac:dyDescent="0.2"/>
    <row r="4302" hidden="1" x14ac:dyDescent="0.2"/>
    <row r="4303" hidden="1" x14ac:dyDescent="0.2"/>
    <row r="4304" hidden="1" x14ac:dyDescent="0.2"/>
    <row r="4305" hidden="1" x14ac:dyDescent="0.2"/>
    <row r="4306" hidden="1" x14ac:dyDescent="0.2"/>
    <row r="4307" hidden="1" x14ac:dyDescent="0.2"/>
    <row r="4308" hidden="1" x14ac:dyDescent="0.2"/>
    <row r="4309" hidden="1" x14ac:dyDescent="0.2"/>
    <row r="4310" hidden="1" x14ac:dyDescent="0.2"/>
    <row r="4311" hidden="1" x14ac:dyDescent="0.2"/>
    <row r="4312" hidden="1" x14ac:dyDescent="0.2"/>
    <row r="4313" hidden="1" x14ac:dyDescent="0.2"/>
    <row r="4314" hidden="1" x14ac:dyDescent="0.2"/>
    <row r="4315" hidden="1" x14ac:dyDescent="0.2"/>
    <row r="4316" hidden="1" x14ac:dyDescent="0.2"/>
    <row r="4317" hidden="1" x14ac:dyDescent="0.2"/>
    <row r="4318" hidden="1" x14ac:dyDescent="0.2"/>
    <row r="4319" hidden="1" x14ac:dyDescent="0.2"/>
    <row r="4320" hidden="1" x14ac:dyDescent="0.2"/>
    <row r="4321" hidden="1" x14ac:dyDescent="0.2"/>
    <row r="4322" hidden="1" x14ac:dyDescent="0.2"/>
    <row r="4323" hidden="1" x14ac:dyDescent="0.2"/>
    <row r="4324" hidden="1" x14ac:dyDescent="0.2"/>
    <row r="4325" hidden="1" x14ac:dyDescent="0.2"/>
    <row r="4326" hidden="1" x14ac:dyDescent="0.2"/>
    <row r="4327" hidden="1" x14ac:dyDescent="0.2"/>
    <row r="4328" hidden="1" x14ac:dyDescent="0.2"/>
    <row r="4329" hidden="1" x14ac:dyDescent="0.2"/>
    <row r="4330" hidden="1" x14ac:dyDescent="0.2"/>
    <row r="4331" hidden="1" x14ac:dyDescent="0.2"/>
    <row r="4332" hidden="1" x14ac:dyDescent="0.2"/>
    <row r="4333" hidden="1" x14ac:dyDescent="0.2"/>
    <row r="4334" hidden="1" x14ac:dyDescent="0.2"/>
    <row r="4335" hidden="1" x14ac:dyDescent="0.2"/>
    <row r="4336" hidden="1" x14ac:dyDescent="0.2"/>
    <row r="4337" hidden="1" x14ac:dyDescent="0.2"/>
    <row r="4338" hidden="1" x14ac:dyDescent="0.2"/>
    <row r="4339" hidden="1" x14ac:dyDescent="0.2"/>
    <row r="4340" hidden="1" x14ac:dyDescent="0.2"/>
    <row r="4341" hidden="1" x14ac:dyDescent="0.2"/>
    <row r="4342" hidden="1" x14ac:dyDescent="0.2"/>
    <row r="4343" hidden="1" x14ac:dyDescent="0.2"/>
    <row r="4344" hidden="1" x14ac:dyDescent="0.2"/>
    <row r="4345" hidden="1" x14ac:dyDescent="0.2"/>
    <row r="4346" hidden="1" x14ac:dyDescent="0.2"/>
    <row r="4347" hidden="1" x14ac:dyDescent="0.2"/>
    <row r="4348" hidden="1" x14ac:dyDescent="0.2"/>
    <row r="4349" hidden="1" x14ac:dyDescent="0.2"/>
    <row r="4350" hidden="1" x14ac:dyDescent="0.2"/>
    <row r="4351" hidden="1" x14ac:dyDescent="0.2"/>
    <row r="4352" hidden="1" x14ac:dyDescent="0.2"/>
    <row r="4353" hidden="1" x14ac:dyDescent="0.2"/>
    <row r="4354" hidden="1" x14ac:dyDescent="0.2"/>
    <row r="4355" hidden="1" x14ac:dyDescent="0.2"/>
    <row r="4356" hidden="1" x14ac:dyDescent="0.2"/>
    <row r="4357" hidden="1" x14ac:dyDescent="0.2"/>
    <row r="4358" hidden="1" x14ac:dyDescent="0.2"/>
    <row r="4359" hidden="1" x14ac:dyDescent="0.2"/>
    <row r="4360" hidden="1" x14ac:dyDescent="0.2"/>
    <row r="4361" hidden="1" x14ac:dyDescent="0.2"/>
    <row r="4362" hidden="1" x14ac:dyDescent="0.2"/>
    <row r="4363" hidden="1" x14ac:dyDescent="0.2"/>
    <row r="4364" hidden="1" x14ac:dyDescent="0.2"/>
    <row r="4365" hidden="1" x14ac:dyDescent="0.2"/>
    <row r="4366" hidden="1" x14ac:dyDescent="0.2"/>
    <row r="4367" hidden="1" x14ac:dyDescent="0.2"/>
    <row r="4368" hidden="1" x14ac:dyDescent="0.2"/>
    <row r="4369" hidden="1" x14ac:dyDescent="0.2"/>
    <row r="4370" hidden="1" x14ac:dyDescent="0.2"/>
    <row r="4371" hidden="1" x14ac:dyDescent="0.2"/>
    <row r="4372" hidden="1" x14ac:dyDescent="0.2"/>
    <row r="4373" hidden="1" x14ac:dyDescent="0.2"/>
    <row r="4374" hidden="1" x14ac:dyDescent="0.2"/>
    <row r="4375" hidden="1" x14ac:dyDescent="0.2"/>
    <row r="4376" hidden="1" x14ac:dyDescent="0.2"/>
    <row r="4377" hidden="1" x14ac:dyDescent="0.2"/>
    <row r="4378" hidden="1" x14ac:dyDescent="0.2"/>
    <row r="4379" hidden="1" x14ac:dyDescent="0.2"/>
    <row r="4380" hidden="1" x14ac:dyDescent="0.2"/>
    <row r="4381" hidden="1" x14ac:dyDescent="0.2"/>
    <row r="4382" hidden="1" x14ac:dyDescent="0.2"/>
    <row r="4383" hidden="1" x14ac:dyDescent="0.2"/>
    <row r="4384" hidden="1" x14ac:dyDescent="0.2"/>
    <row r="4385" hidden="1" x14ac:dyDescent="0.2"/>
    <row r="4386" hidden="1" x14ac:dyDescent="0.2"/>
    <row r="4387" hidden="1" x14ac:dyDescent="0.2"/>
    <row r="4388" hidden="1" x14ac:dyDescent="0.2"/>
    <row r="4389" hidden="1" x14ac:dyDescent="0.2"/>
    <row r="4390" hidden="1" x14ac:dyDescent="0.2"/>
    <row r="4391" hidden="1" x14ac:dyDescent="0.2"/>
    <row r="4392" hidden="1" x14ac:dyDescent="0.2"/>
    <row r="4393" hidden="1" x14ac:dyDescent="0.2"/>
    <row r="4394" hidden="1" x14ac:dyDescent="0.2"/>
    <row r="4395" hidden="1" x14ac:dyDescent="0.2"/>
    <row r="4396" hidden="1" x14ac:dyDescent="0.2"/>
    <row r="4397" hidden="1" x14ac:dyDescent="0.2"/>
    <row r="4398" hidden="1" x14ac:dyDescent="0.2"/>
    <row r="4399" hidden="1" x14ac:dyDescent="0.2"/>
    <row r="4400" hidden="1" x14ac:dyDescent="0.2"/>
    <row r="4401" hidden="1" x14ac:dyDescent="0.2"/>
    <row r="4402" hidden="1" x14ac:dyDescent="0.2"/>
    <row r="4403" hidden="1" x14ac:dyDescent="0.2"/>
    <row r="4404" hidden="1" x14ac:dyDescent="0.2"/>
    <row r="4405" hidden="1" x14ac:dyDescent="0.2"/>
    <row r="4406" hidden="1" x14ac:dyDescent="0.2"/>
    <row r="4407" hidden="1" x14ac:dyDescent="0.2"/>
    <row r="4408" hidden="1" x14ac:dyDescent="0.2"/>
    <row r="4409" hidden="1" x14ac:dyDescent="0.2"/>
    <row r="4410" hidden="1" x14ac:dyDescent="0.2"/>
    <row r="4411" hidden="1" x14ac:dyDescent="0.2"/>
    <row r="4412" hidden="1" x14ac:dyDescent="0.2"/>
    <row r="4413" hidden="1" x14ac:dyDescent="0.2"/>
    <row r="4414" hidden="1" x14ac:dyDescent="0.2"/>
    <row r="4415" hidden="1" x14ac:dyDescent="0.2"/>
    <row r="4416" hidden="1" x14ac:dyDescent="0.2"/>
    <row r="4417" hidden="1" x14ac:dyDescent="0.2"/>
    <row r="4418" hidden="1" x14ac:dyDescent="0.2"/>
    <row r="4419" hidden="1" x14ac:dyDescent="0.2"/>
    <row r="4420" hidden="1" x14ac:dyDescent="0.2"/>
    <row r="4421" hidden="1" x14ac:dyDescent="0.2"/>
    <row r="4422" hidden="1" x14ac:dyDescent="0.2"/>
    <row r="4423" hidden="1" x14ac:dyDescent="0.2"/>
    <row r="4424" hidden="1" x14ac:dyDescent="0.2"/>
    <row r="4425" hidden="1" x14ac:dyDescent="0.2"/>
    <row r="4426" hidden="1" x14ac:dyDescent="0.2"/>
    <row r="4427" hidden="1" x14ac:dyDescent="0.2"/>
    <row r="4428" hidden="1" x14ac:dyDescent="0.2"/>
    <row r="4429" hidden="1" x14ac:dyDescent="0.2"/>
    <row r="4430" hidden="1" x14ac:dyDescent="0.2"/>
    <row r="4431" hidden="1" x14ac:dyDescent="0.2"/>
    <row r="4432" hidden="1" x14ac:dyDescent="0.2"/>
    <row r="4433" hidden="1" x14ac:dyDescent="0.2"/>
    <row r="4434" hidden="1" x14ac:dyDescent="0.2"/>
    <row r="4435" hidden="1" x14ac:dyDescent="0.2"/>
    <row r="4436" hidden="1" x14ac:dyDescent="0.2"/>
    <row r="4437" hidden="1" x14ac:dyDescent="0.2"/>
    <row r="4438" hidden="1" x14ac:dyDescent="0.2"/>
    <row r="4439" hidden="1" x14ac:dyDescent="0.2"/>
    <row r="4440" hidden="1" x14ac:dyDescent="0.2"/>
    <row r="4441" hidden="1" x14ac:dyDescent="0.2"/>
    <row r="4442" hidden="1" x14ac:dyDescent="0.2"/>
    <row r="4443" hidden="1" x14ac:dyDescent="0.2"/>
    <row r="4444" hidden="1" x14ac:dyDescent="0.2"/>
    <row r="4445" hidden="1" x14ac:dyDescent="0.2"/>
    <row r="4446" hidden="1" x14ac:dyDescent="0.2"/>
    <row r="4447" hidden="1" x14ac:dyDescent="0.2"/>
    <row r="4448" hidden="1" x14ac:dyDescent="0.2"/>
    <row r="4449" hidden="1" x14ac:dyDescent="0.2"/>
    <row r="4450" hidden="1" x14ac:dyDescent="0.2"/>
    <row r="4451" hidden="1" x14ac:dyDescent="0.2"/>
    <row r="4452" hidden="1" x14ac:dyDescent="0.2"/>
    <row r="4453" hidden="1" x14ac:dyDescent="0.2"/>
    <row r="4454" hidden="1" x14ac:dyDescent="0.2"/>
    <row r="4455" hidden="1" x14ac:dyDescent="0.2"/>
    <row r="4456" hidden="1" x14ac:dyDescent="0.2"/>
    <row r="4457" hidden="1" x14ac:dyDescent="0.2"/>
    <row r="4458" hidden="1" x14ac:dyDescent="0.2"/>
    <row r="4459" hidden="1" x14ac:dyDescent="0.2"/>
    <row r="4460" hidden="1" x14ac:dyDescent="0.2"/>
    <row r="4461" hidden="1" x14ac:dyDescent="0.2"/>
    <row r="4462" hidden="1" x14ac:dyDescent="0.2"/>
    <row r="4463" hidden="1" x14ac:dyDescent="0.2"/>
    <row r="4464" hidden="1" x14ac:dyDescent="0.2"/>
    <row r="4465" hidden="1" x14ac:dyDescent="0.2"/>
    <row r="4466" hidden="1" x14ac:dyDescent="0.2"/>
    <row r="4467" hidden="1" x14ac:dyDescent="0.2"/>
    <row r="4468" hidden="1" x14ac:dyDescent="0.2"/>
    <row r="4469" hidden="1" x14ac:dyDescent="0.2"/>
    <row r="4470" hidden="1" x14ac:dyDescent="0.2"/>
    <row r="4471" hidden="1" x14ac:dyDescent="0.2"/>
    <row r="4472" hidden="1" x14ac:dyDescent="0.2"/>
    <row r="4473" hidden="1" x14ac:dyDescent="0.2"/>
    <row r="4474" hidden="1" x14ac:dyDescent="0.2"/>
    <row r="4475" hidden="1" x14ac:dyDescent="0.2"/>
    <row r="4476" hidden="1" x14ac:dyDescent="0.2"/>
    <row r="4477" hidden="1" x14ac:dyDescent="0.2"/>
    <row r="4478" hidden="1" x14ac:dyDescent="0.2"/>
    <row r="4479" hidden="1" x14ac:dyDescent="0.2"/>
    <row r="4480" hidden="1" x14ac:dyDescent="0.2"/>
    <row r="4481" hidden="1" x14ac:dyDescent="0.2"/>
    <row r="4482" hidden="1" x14ac:dyDescent="0.2"/>
    <row r="4483" hidden="1" x14ac:dyDescent="0.2"/>
    <row r="4484" hidden="1" x14ac:dyDescent="0.2"/>
    <row r="4485" hidden="1" x14ac:dyDescent="0.2"/>
    <row r="4486" hidden="1" x14ac:dyDescent="0.2"/>
    <row r="4487" hidden="1" x14ac:dyDescent="0.2"/>
    <row r="4488" hidden="1" x14ac:dyDescent="0.2"/>
    <row r="4489" hidden="1" x14ac:dyDescent="0.2"/>
    <row r="4490" hidden="1" x14ac:dyDescent="0.2"/>
    <row r="4491" hidden="1" x14ac:dyDescent="0.2"/>
    <row r="4492" hidden="1" x14ac:dyDescent="0.2"/>
    <row r="4493" hidden="1" x14ac:dyDescent="0.2"/>
    <row r="4494" hidden="1" x14ac:dyDescent="0.2"/>
    <row r="4495" hidden="1" x14ac:dyDescent="0.2"/>
    <row r="4496" hidden="1" x14ac:dyDescent="0.2"/>
    <row r="4497" hidden="1" x14ac:dyDescent="0.2"/>
    <row r="4498" hidden="1" x14ac:dyDescent="0.2"/>
    <row r="4499" hidden="1" x14ac:dyDescent="0.2"/>
    <row r="4500" hidden="1" x14ac:dyDescent="0.2"/>
    <row r="4501" hidden="1" x14ac:dyDescent="0.2"/>
    <row r="4502" hidden="1" x14ac:dyDescent="0.2"/>
    <row r="4503" hidden="1" x14ac:dyDescent="0.2"/>
    <row r="4504" hidden="1" x14ac:dyDescent="0.2"/>
    <row r="4505" hidden="1" x14ac:dyDescent="0.2"/>
    <row r="4506" hidden="1" x14ac:dyDescent="0.2"/>
    <row r="4507" hidden="1" x14ac:dyDescent="0.2"/>
    <row r="4508" hidden="1" x14ac:dyDescent="0.2"/>
    <row r="4509" hidden="1" x14ac:dyDescent="0.2"/>
    <row r="4510" hidden="1" x14ac:dyDescent="0.2"/>
    <row r="4511" hidden="1" x14ac:dyDescent="0.2"/>
    <row r="4512" hidden="1" x14ac:dyDescent="0.2"/>
    <row r="4513" hidden="1" x14ac:dyDescent="0.2"/>
    <row r="4514" hidden="1" x14ac:dyDescent="0.2"/>
    <row r="4515" hidden="1" x14ac:dyDescent="0.2"/>
    <row r="4516" hidden="1" x14ac:dyDescent="0.2"/>
    <row r="4517" hidden="1" x14ac:dyDescent="0.2"/>
    <row r="4518" hidden="1" x14ac:dyDescent="0.2"/>
    <row r="4519" hidden="1" x14ac:dyDescent="0.2"/>
    <row r="4520" hidden="1" x14ac:dyDescent="0.2"/>
    <row r="4521" hidden="1" x14ac:dyDescent="0.2"/>
    <row r="4522" hidden="1" x14ac:dyDescent="0.2"/>
    <row r="4523" hidden="1" x14ac:dyDescent="0.2"/>
    <row r="4524" hidden="1" x14ac:dyDescent="0.2"/>
    <row r="4525" hidden="1" x14ac:dyDescent="0.2"/>
    <row r="4526" hidden="1" x14ac:dyDescent="0.2"/>
    <row r="4527" hidden="1" x14ac:dyDescent="0.2"/>
    <row r="4528" hidden="1" x14ac:dyDescent="0.2"/>
    <row r="4529" hidden="1" x14ac:dyDescent="0.2"/>
    <row r="4530" hidden="1" x14ac:dyDescent="0.2"/>
    <row r="4531" hidden="1" x14ac:dyDescent="0.2"/>
    <row r="4532" hidden="1" x14ac:dyDescent="0.2"/>
    <row r="4533" hidden="1" x14ac:dyDescent="0.2"/>
    <row r="4534" hidden="1" x14ac:dyDescent="0.2"/>
    <row r="4535" hidden="1" x14ac:dyDescent="0.2"/>
    <row r="4536" hidden="1" x14ac:dyDescent="0.2"/>
    <row r="4537" hidden="1" x14ac:dyDescent="0.2"/>
    <row r="4538" hidden="1" x14ac:dyDescent="0.2"/>
    <row r="4539" hidden="1" x14ac:dyDescent="0.2"/>
    <row r="4540" hidden="1" x14ac:dyDescent="0.2"/>
    <row r="4541" hidden="1" x14ac:dyDescent="0.2"/>
    <row r="4542" hidden="1" x14ac:dyDescent="0.2"/>
    <row r="4543" hidden="1" x14ac:dyDescent="0.2"/>
    <row r="4544" hidden="1" x14ac:dyDescent="0.2"/>
    <row r="4545" hidden="1" x14ac:dyDescent="0.2"/>
    <row r="4546" hidden="1" x14ac:dyDescent="0.2"/>
    <row r="4547" hidden="1" x14ac:dyDescent="0.2"/>
    <row r="4548" hidden="1" x14ac:dyDescent="0.2"/>
    <row r="4549" hidden="1" x14ac:dyDescent="0.2"/>
    <row r="4550" hidden="1" x14ac:dyDescent="0.2"/>
    <row r="4551" hidden="1" x14ac:dyDescent="0.2"/>
    <row r="4552" hidden="1" x14ac:dyDescent="0.2"/>
    <row r="4553" hidden="1" x14ac:dyDescent="0.2"/>
    <row r="4554" hidden="1" x14ac:dyDescent="0.2"/>
    <row r="4555" hidden="1" x14ac:dyDescent="0.2"/>
    <row r="4556" hidden="1" x14ac:dyDescent="0.2"/>
    <row r="4557" hidden="1" x14ac:dyDescent="0.2"/>
    <row r="4558" hidden="1" x14ac:dyDescent="0.2"/>
    <row r="4559" hidden="1" x14ac:dyDescent="0.2"/>
    <row r="4560" hidden="1" x14ac:dyDescent="0.2"/>
    <row r="4561" hidden="1" x14ac:dyDescent="0.2"/>
    <row r="4562" hidden="1" x14ac:dyDescent="0.2"/>
    <row r="4563" hidden="1" x14ac:dyDescent="0.2"/>
    <row r="4564" hidden="1" x14ac:dyDescent="0.2"/>
    <row r="4565" hidden="1" x14ac:dyDescent="0.2"/>
    <row r="4566" hidden="1" x14ac:dyDescent="0.2"/>
    <row r="4567" hidden="1" x14ac:dyDescent="0.2"/>
    <row r="4568" hidden="1" x14ac:dyDescent="0.2"/>
    <row r="4569" hidden="1" x14ac:dyDescent="0.2"/>
    <row r="4570" hidden="1" x14ac:dyDescent="0.2"/>
    <row r="4571" hidden="1" x14ac:dyDescent="0.2"/>
    <row r="4572" hidden="1" x14ac:dyDescent="0.2"/>
    <row r="4573" hidden="1" x14ac:dyDescent="0.2"/>
    <row r="4574" hidden="1" x14ac:dyDescent="0.2"/>
    <row r="4575" hidden="1" x14ac:dyDescent="0.2"/>
    <row r="4576" hidden="1" x14ac:dyDescent="0.2"/>
    <row r="4577" hidden="1" x14ac:dyDescent="0.2"/>
    <row r="4578" hidden="1" x14ac:dyDescent="0.2"/>
    <row r="4579" hidden="1" x14ac:dyDescent="0.2"/>
    <row r="4580" hidden="1" x14ac:dyDescent="0.2"/>
    <row r="4581" hidden="1" x14ac:dyDescent="0.2"/>
    <row r="4582" hidden="1" x14ac:dyDescent="0.2"/>
    <row r="4583" hidden="1" x14ac:dyDescent="0.2"/>
    <row r="4584" hidden="1" x14ac:dyDescent="0.2"/>
    <row r="4585" hidden="1" x14ac:dyDescent="0.2"/>
    <row r="4586" hidden="1" x14ac:dyDescent="0.2"/>
    <row r="4587" hidden="1" x14ac:dyDescent="0.2"/>
    <row r="4588" hidden="1" x14ac:dyDescent="0.2"/>
    <row r="4589" hidden="1" x14ac:dyDescent="0.2"/>
    <row r="4590" hidden="1" x14ac:dyDescent="0.2"/>
    <row r="4591" hidden="1" x14ac:dyDescent="0.2"/>
    <row r="4592" hidden="1" x14ac:dyDescent="0.2"/>
    <row r="4593" hidden="1" x14ac:dyDescent="0.2"/>
    <row r="4594" hidden="1" x14ac:dyDescent="0.2"/>
    <row r="4595" hidden="1" x14ac:dyDescent="0.2"/>
    <row r="4596" hidden="1" x14ac:dyDescent="0.2"/>
    <row r="4597" hidden="1" x14ac:dyDescent="0.2"/>
    <row r="4598" hidden="1" x14ac:dyDescent="0.2"/>
    <row r="4599" hidden="1" x14ac:dyDescent="0.2"/>
    <row r="4600" hidden="1" x14ac:dyDescent="0.2"/>
    <row r="4601" hidden="1" x14ac:dyDescent="0.2"/>
    <row r="4602" hidden="1" x14ac:dyDescent="0.2"/>
    <row r="4603" hidden="1" x14ac:dyDescent="0.2"/>
    <row r="4604" hidden="1" x14ac:dyDescent="0.2"/>
    <row r="4605" hidden="1" x14ac:dyDescent="0.2"/>
    <row r="4606" hidden="1" x14ac:dyDescent="0.2"/>
    <row r="4607" hidden="1" x14ac:dyDescent="0.2"/>
    <row r="4608" hidden="1" x14ac:dyDescent="0.2"/>
    <row r="4609" hidden="1" x14ac:dyDescent="0.2"/>
    <row r="4610" hidden="1" x14ac:dyDescent="0.2"/>
    <row r="4611" hidden="1" x14ac:dyDescent="0.2"/>
    <row r="4612" hidden="1" x14ac:dyDescent="0.2"/>
    <row r="4613" hidden="1" x14ac:dyDescent="0.2"/>
    <row r="4614" hidden="1" x14ac:dyDescent="0.2"/>
    <row r="4615" hidden="1" x14ac:dyDescent="0.2"/>
    <row r="4616" hidden="1" x14ac:dyDescent="0.2"/>
    <row r="4617" hidden="1" x14ac:dyDescent="0.2"/>
    <row r="4618" hidden="1" x14ac:dyDescent="0.2"/>
    <row r="4619" hidden="1" x14ac:dyDescent="0.2"/>
    <row r="4620" hidden="1" x14ac:dyDescent="0.2"/>
    <row r="4621" hidden="1" x14ac:dyDescent="0.2"/>
    <row r="4622" hidden="1" x14ac:dyDescent="0.2"/>
    <row r="4623" hidden="1" x14ac:dyDescent="0.2"/>
    <row r="4624" hidden="1" x14ac:dyDescent="0.2"/>
    <row r="4625" hidden="1" x14ac:dyDescent="0.2"/>
    <row r="4626" hidden="1" x14ac:dyDescent="0.2"/>
    <row r="4627" hidden="1" x14ac:dyDescent="0.2"/>
    <row r="4628" hidden="1" x14ac:dyDescent="0.2"/>
    <row r="4629" hidden="1" x14ac:dyDescent="0.2"/>
    <row r="4630" hidden="1" x14ac:dyDescent="0.2"/>
    <row r="4631" hidden="1" x14ac:dyDescent="0.2"/>
    <row r="4632" hidden="1" x14ac:dyDescent="0.2"/>
    <row r="4633" hidden="1" x14ac:dyDescent="0.2"/>
    <row r="4634" hidden="1" x14ac:dyDescent="0.2"/>
    <row r="4635" hidden="1" x14ac:dyDescent="0.2"/>
    <row r="4636" hidden="1" x14ac:dyDescent="0.2"/>
    <row r="4637" hidden="1" x14ac:dyDescent="0.2"/>
    <row r="4638" hidden="1" x14ac:dyDescent="0.2"/>
    <row r="4639" hidden="1" x14ac:dyDescent="0.2"/>
    <row r="4640" hidden="1" x14ac:dyDescent="0.2"/>
    <row r="4641" hidden="1" x14ac:dyDescent="0.2"/>
    <row r="4642" hidden="1" x14ac:dyDescent="0.2"/>
    <row r="4643" hidden="1" x14ac:dyDescent="0.2"/>
    <row r="4644" hidden="1" x14ac:dyDescent="0.2"/>
    <row r="4645" hidden="1" x14ac:dyDescent="0.2"/>
    <row r="4646" hidden="1" x14ac:dyDescent="0.2"/>
    <row r="4647" hidden="1" x14ac:dyDescent="0.2"/>
    <row r="4648" hidden="1" x14ac:dyDescent="0.2"/>
    <row r="4649" hidden="1" x14ac:dyDescent="0.2"/>
    <row r="4650" hidden="1" x14ac:dyDescent="0.2"/>
    <row r="4651" hidden="1" x14ac:dyDescent="0.2"/>
    <row r="4652" hidden="1" x14ac:dyDescent="0.2"/>
    <row r="4653" hidden="1" x14ac:dyDescent="0.2"/>
    <row r="4654" hidden="1" x14ac:dyDescent="0.2"/>
    <row r="4655" hidden="1" x14ac:dyDescent="0.2"/>
    <row r="4656" hidden="1" x14ac:dyDescent="0.2"/>
    <row r="4657" hidden="1" x14ac:dyDescent="0.2"/>
    <row r="4658" hidden="1" x14ac:dyDescent="0.2"/>
    <row r="4659" hidden="1" x14ac:dyDescent="0.2"/>
    <row r="4660" hidden="1" x14ac:dyDescent="0.2"/>
    <row r="4661" hidden="1" x14ac:dyDescent="0.2"/>
    <row r="4662" hidden="1" x14ac:dyDescent="0.2"/>
    <row r="4663" hidden="1" x14ac:dyDescent="0.2"/>
    <row r="4664" hidden="1" x14ac:dyDescent="0.2"/>
    <row r="4665" hidden="1" x14ac:dyDescent="0.2"/>
    <row r="4666" hidden="1" x14ac:dyDescent="0.2"/>
    <row r="4667" hidden="1" x14ac:dyDescent="0.2"/>
    <row r="4668" hidden="1" x14ac:dyDescent="0.2"/>
    <row r="4669" hidden="1" x14ac:dyDescent="0.2"/>
    <row r="4670" hidden="1" x14ac:dyDescent="0.2"/>
    <row r="4671" hidden="1" x14ac:dyDescent="0.2"/>
    <row r="4672" hidden="1" x14ac:dyDescent="0.2"/>
    <row r="4673" hidden="1" x14ac:dyDescent="0.2"/>
    <row r="4674" hidden="1" x14ac:dyDescent="0.2"/>
    <row r="4675" hidden="1" x14ac:dyDescent="0.2"/>
    <row r="4676" hidden="1" x14ac:dyDescent="0.2"/>
    <row r="4677" hidden="1" x14ac:dyDescent="0.2"/>
    <row r="4678" hidden="1" x14ac:dyDescent="0.2"/>
    <row r="4679" hidden="1" x14ac:dyDescent="0.2"/>
    <row r="4680" hidden="1" x14ac:dyDescent="0.2"/>
    <row r="4681" hidden="1" x14ac:dyDescent="0.2"/>
    <row r="4682" hidden="1" x14ac:dyDescent="0.2"/>
    <row r="4683" hidden="1" x14ac:dyDescent="0.2"/>
    <row r="4684" hidden="1" x14ac:dyDescent="0.2"/>
    <row r="4685" hidden="1" x14ac:dyDescent="0.2"/>
    <row r="4686" hidden="1" x14ac:dyDescent="0.2"/>
    <row r="4687" hidden="1" x14ac:dyDescent="0.2"/>
    <row r="4688" hidden="1" x14ac:dyDescent="0.2"/>
    <row r="4689" hidden="1" x14ac:dyDescent="0.2"/>
    <row r="4690" hidden="1" x14ac:dyDescent="0.2"/>
    <row r="4691" hidden="1" x14ac:dyDescent="0.2"/>
    <row r="4692" hidden="1" x14ac:dyDescent="0.2"/>
    <row r="4693" hidden="1" x14ac:dyDescent="0.2"/>
    <row r="4694" hidden="1" x14ac:dyDescent="0.2"/>
    <row r="4695" hidden="1" x14ac:dyDescent="0.2"/>
    <row r="4696" hidden="1" x14ac:dyDescent="0.2"/>
    <row r="4697" hidden="1" x14ac:dyDescent="0.2"/>
    <row r="4698" hidden="1" x14ac:dyDescent="0.2"/>
    <row r="4699" hidden="1" x14ac:dyDescent="0.2"/>
    <row r="4700" hidden="1" x14ac:dyDescent="0.2"/>
    <row r="4701" hidden="1" x14ac:dyDescent="0.2"/>
    <row r="4702" hidden="1" x14ac:dyDescent="0.2"/>
    <row r="4703" hidden="1" x14ac:dyDescent="0.2"/>
    <row r="4704" hidden="1" x14ac:dyDescent="0.2"/>
    <row r="4705" hidden="1" x14ac:dyDescent="0.2"/>
    <row r="4706" hidden="1" x14ac:dyDescent="0.2"/>
    <row r="4707" hidden="1" x14ac:dyDescent="0.2"/>
    <row r="4708" hidden="1" x14ac:dyDescent="0.2"/>
    <row r="4709" hidden="1" x14ac:dyDescent="0.2"/>
    <row r="4710" hidden="1" x14ac:dyDescent="0.2"/>
    <row r="4711" hidden="1" x14ac:dyDescent="0.2"/>
    <row r="4712" hidden="1" x14ac:dyDescent="0.2"/>
    <row r="4713" hidden="1" x14ac:dyDescent="0.2"/>
    <row r="4714" hidden="1" x14ac:dyDescent="0.2"/>
    <row r="4715" hidden="1" x14ac:dyDescent="0.2"/>
    <row r="4716" hidden="1" x14ac:dyDescent="0.2"/>
    <row r="4717" hidden="1" x14ac:dyDescent="0.2"/>
    <row r="4718" hidden="1" x14ac:dyDescent="0.2"/>
    <row r="4719" hidden="1" x14ac:dyDescent="0.2"/>
    <row r="4720" hidden="1" x14ac:dyDescent="0.2"/>
    <row r="4721" hidden="1" x14ac:dyDescent="0.2"/>
    <row r="4722" hidden="1" x14ac:dyDescent="0.2"/>
    <row r="4723" hidden="1" x14ac:dyDescent="0.2"/>
    <row r="4724" hidden="1" x14ac:dyDescent="0.2"/>
    <row r="4725" hidden="1" x14ac:dyDescent="0.2"/>
    <row r="4726" hidden="1" x14ac:dyDescent="0.2"/>
    <row r="4727" hidden="1" x14ac:dyDescent="0.2"/>
    <row r="4728" hidden="1" x14ac:dyDescent="0.2"/>
    <row r="4729" hidden="1" x14ac:dyDescent="0.2"/>
    <row r="4730" hidden="1" x14ac:dyDescent="0.2"/>
    <row r="4731" hidden="1" x14ac:dyDescent="0.2"/>
    <row r="4732" hidden="1" x14ac:dyDescent="0.2"/>
    <row r="4733" hidden="1" x14ac:dyDescent="0.2"/>
    <row r="4734" hidden="1" x14ac:dyDescent="0.2"/>
    <row r="4735" hidden="1" x14ac:dyDescent="0.2"/>
    <row r="4736" hidden="1" x14ac:dyDescent="0.2"/>
    <row r="4737" hidden="1" x14ac:dyDescent="0.2"/>
    <row r="4738" hidden="1" x14ac:dyDescent="0.2"/>
    <row r="4739" hidden="1" x14ac:dyDescent="0.2"/>
    <row r="4740" hidden="1" x14ac:dyDescent="0.2"/>
    <row r="4741" hidden="1" x14ac:dyDescent="0.2"/>
    <row r="4742" hidden="1" x14ac:dyDescent="0.2"/>
    <row r="4743" hidden="1" x14ac:dyDescent="0.2"/>
    <row r="4744" hidden="1" x14ac:dyDescent="0.2"/>
    <row r="4745" hidden="1" x14ac:dyDescent="0.2"/>
    <row r="4746" hidden="1" x14ac:dyDescent="0.2"/>
    <row r="4747" hidden="1" x14ac:dyDescent="0.2"/>
    <row r="4748" hidden="1" x14ac:dyDescent="0.2"/>
    <row r="4749" hidden="1" x14ac:dyDescent="0.2"/>
    <row r="4750" hidden="1" x14ac:dyDescent="0.2"/>
    <row r="4751" hidden="1" x14ac:dyDescent="0.2"/>
    <row r="4752" hidden="1" x14ac:dyDescent="0.2"/>
    <row r="4753" hidden="1" x14ac:dyDescent="0.2"/>
    <row r="4754" hidden="1" x14ac:dyDescent="0.2"/>
    <row r="4755" hidden="1" x14ac:dyDescent="0.2"/>
    <row r="4756" hidden="1" x14ac:dyDescent="0.2"/>
    <row r="4757" hidden="1" x14ac:dyDescent="0.2"/>
    <row r="4758" hidden="1" x14ac:dyDescent="0.2"/>
    <row r="4759" hidden="1" x14ac:dyDescent="0.2"/>
    <row r="4760" hidden="1" x14ac:dyDescent="0.2"/>
    <row r="4761" hidden="1" x14ac:dyDescent="0.2"/>
    <row r="4762" hidden="1" x14ac:dyDescent="0.2"/>
    <row r="4763" hidden="1" x14ac:dyDescent="0.2"/>
    <row r="4764" hidden="1" x14ac:dyDescent="0.2"/>
    <row r="4765" hidden="1" x14ac:dyDescent="0.2"/>
    <row r="4766" hidden="1" x14ac:dyDescent="0.2"/>
    <row r="4767" hidden="1" x14ac:dyDescent="0.2"/>
    <row r="4768" hidden="1" x14ac:dyDescent="0.2"/>
    <row r="4769" hidden="1" x14ac:dyDescent="0.2"/>
    <row r="4770" hidden="1" x14ac:dyDescent="0.2"/>
    <row r="4771" hidden="1" x14ac:dyDescent="0.2"/>
    <row r="4772" hidden="1" x14ac:dyDescent="0.2"/>
    <row r="4773" hidden="1" x14ac:dyDescent="0.2"/>
    <row r="4774" hidden="1" x14ac:dyDescent="0.2"/>
    <row r="4775" hidden="1" x14ac:dyDescent="0.2"/>
    <row r="4776" hidden="1" x14ac:dyDescent="0.2"/>
    <row r="4777" hidden="1" x14ac:dyDescent="0.2"/>
    <row r="4778" hidden="1" x14ac:dyDescent="0.2"/>
    <row r="4779" hidden="1" x14ac:dyDescent="0.2"/>
    <row r="4780" hidden="1" x14ac:dyDescent="0.2"/>
    <row r="4781" hidden="1" x14ac:dyDescent="0.2"/>
    <row r="4782" hidden="1" x14ac:dyDescent="0.2"/>
    <row r="4783" hidden="1" x14ac:dyDescent="0.2"/>
    <row r="4784" hidden="1" x14ac:dyDescent="0.2"/>
    <row r="4785" hidden="1" x14ac:dyDescent="0.2"/>
    <row r="4786" hidden="1" x14ac:dyDescent="0.2"/>
    <row r="4787" hidden="1" x14ac:dyDescent="0.2"/>
    <row r="4788" hidden="1" x14ac:dyDescent="0.2"/>
    <row r="4789" hidden="1" x14ac:dyDescent="0.2"/>
    <row r="4790" hidden="1" x14ac:dyDescent="0.2"/>
    <row r="4791" hidden="1" x14ac:dyDescent="0.2"/>
    <row r="4792" hidden="1" x14ac:dyDescent="0.2"/>
    <row r="4793" hidden="1" x14ac:dyDescent="0.2"/>
    <row r="4794" hidden="1" x14ac:dyDescent="0.2"/>
    <row r="4795" hidden="1" x14ac:dyDescent="0.2"/>
    <row r="4796" hidden="1" x14ac:dyDescent="0.2"/>
    <row r="4797" hidden="1" x14ac:dyDescent="0.2"/>
    <row r="4798" hidden="1" x14ac:dyDescent="0.2"/>
    <row r="4799" hidden="1" x14ac:dyDescent="0.2"/>
    <row r="4800" hidden="1" x14ac:dyDescent="0.2"/>
    <row r="4801" hidden="1" x14ac:dyDescent="0.2"/>
    <row r="4802" hidden="1" x14ac:dyDescent="0.2"/>
    <row r="4803" hidden="1" x14ac:dyDescent="0.2"/>
    <row r="4804" hidden="1" x14ac:dyDescent="0.2"/>
    <row r="4805" hidden="1" x14ac:dyDescent="0.2"/>
    <row r="4806" hidden="1" x14ac:dyDescent="0.2"/>
    <row r="4807" hidden="1" x14ac:dyDescent="0.2"/>
    <row r="4808" hidden="1" x14ac:dyDescent="0.2"/>
    <row r="4809" hidden="1" x14ac:dyDescent="0.2"/>
    <row r="4810" hidden="1" x14ac:dyDescent="0.2"/>
    <row r="4811" hidden="1" x14ac:dyDescent="0.2"/>
    <row r="4812" hidden="1" x14ac:dyDescent="0.2"/>
    <row r="4813" hidden="1" x14ac:dyDescent="0.2"/>
    <row r="4814" hidden="1" x14ac:dyDescent="0.2"/>
    <row r="4815" hidden="1" x14ac:dyDescent="0.2"/>
    <row r="4816" hidden="1" x14ac:dyDescent="0.2"/>
    <row r="4817" hidden="1" x14ac:dyDescent="0.2"/>
    <row r="4818" hidden="1" x14ac:dyDescent="0.2"/>
    <row r="4819" hidden="1" x14ac:dyDescent="0.2"/>
    <row r="4820" hidden="1" x14ac:dyDescent="0.2"/>
    <row r="4821" hidden="1" x14ac:dyDescent="0.2"/>
    <row r="4822" hidden="1" x14ac:dyDescent="0.2"/>
    <row r="4823" hidden="1" x14ac:dyDescent="0.2"/>
    <row r="4824" hidden="1" x14ac:dyDescent="0.2"/>
    <row r="4825" hidden="1" x14ac:dyDescent="0.2"/>
    <row r="4826" hidden="1" x14ac:dyDescent="0.2"/>
    <row r="4827" hidden="1" x14ac:dyDescent="0.2"/>
    <row r="4828" hidden="1" x14ac:dyDescent="0.2"/>
    <row r="4829" hidden="1" x14ac:dyDescent="0.2"/>
    <row r="4830" hidden="1" x14ac:dyDescent="0.2"/>
    <row r="4831" hidden="1" x14ac:dyDescent="0.2"/>
    <row r="4832" hidden="1" x14ac:dyDescent="0.2"/>
    <row r="4833" hidden="1" x14ac:dyDescent="0.2"/>
    <row r="4834" hidden="1" x14ac:dyDescent="0.2"/>
    <row r="4835" hidden="1" x14ac:dyDescent="0.2"/>
    <row r="4836" hidden="1" x14ac:dyDescent="0.2"/>
    <row r="4837" hidden="1" x14ac:dyDescent="0.2"/>
    <row r="4838" hidden="1" x14ac:dyDescent="0.2"/>
    <row r="4839" hidden="1" x14ac:dyDescent="0.2"/>
    <row r="4840" hidden="1" x14ac:dyDescent="0.2"/>
    <row r="4841" hidden="1" x14ac:dyDescent="0.2"/>
    <row r="4842" hidden="1" x14ac:dyDescent="0.2"/>
    <row r="4843" hidden="1" x14ac:dyDescent="0.2"/>
    <row r="4844" hidden="1" x14ac:dyDescent="0.2"/>
    <row r="4845" hidden="1" x14ac:dyDescent="0.2"/>
    <row r="4846" hidden="1" x14ac:dyDescent="0.2"/>
    <row r="4847" hidden="1" x14ac:dyDescent="0.2"/>
    <row r="4848" hidden="1" x14ac:dyDescent="0.2"/>
    <row r="4849" hidden="1" x14ac:dyDescent="0.2"/>
    <row r="4850" hidden="1" x14ac:dyDescent="0.2"/>
    <row r="4851" hidden="1" x14ac:dyDescent="0.2"/>
    <row r="4852" hidden="1" x14ac:dyDescent="0.2"/>
    <row r="4853" hidden="1" x14ac:dyDescent="0.2"/>
    <row r="4854" hidden="1" x14ac:dyDescent="0.2"/>
    <row r="4855" hidden="1" x14ac:dyDescent="0.2"/>
    <row r="4856" hidden="1" x14ac:dyDescent="0.2"/>
    <row r="4857" hidden="1" x14ac:dyDescent="0.2"/>
    <row r="4858" hidden="1" x14ac:dyDescent="0.2"/>
    <row r="4859" hidden="1" x14ac:dyDescent="0.2"/>
    <row r="4860" hidden="1" x14ac:dyDescent="0.2"/>
    <row r="4861" hidden="1" x14ac:dyDescent="0.2"/>
    <row r="4862" hidden="1" x14ac:dyDescent="0.2"/>
    <row r="4863" hidden="1" x14ac:dyDescent="0.2"/>
    <row r="4864" hidden="1" x14ac:dyDescent="0.2"/>
    <row r="4865" hidden="1" x14ac:dyDescent="0.2"/>
    <row r="4866" hidden="1" x14ac:dyDescent="0.2"/>
    <row r="4867" hidden="1" x14ac:dyDescent="0.2"/>
    <row r="4868" hidden="1" x14ac:dyDescent="0.2"/>
    <row r="4869" hidden="1" x14ac:dyDescent="0.2"/>
    <row r="4870" hidden="1" x14ac:dyDescent="0.2"/>
    <row r="4871" hidden="1" x14ac:dyDescent="0.2"/>
    <row r="4872" hidden="1" x14ac:dyDescent="0.2"/>
    <row r="4873" hidden="1" x14ac:dyDescent="0.2"/>
    <row r="4874" hidden="1" x14ac:dyDescent="0.2"/>
    <row r="4875" hidden="1" x14ac:dyDescent="0.2"/>
    <row r="4876" hidden="1" x14ac:dyDescent="0.2"/>
    <row r="4877" hidden="1" x14ac:dyDescent="0.2"/>
    <row r="4878" hidden="1" x14ac:dyDescent="0.2"/>
    <row r="4879" hidden="1" x14ac:dyDescent="0.2"/>
    <row r="4880" hidden="1" x14ac:dyDescent="0.2"/>
    <row r="4881" hidden="1" x14ac:dyDescent="0.2"/>
    <row r="4882" hidden="1" x14ac:dyDescent="0.2"/>
    <row r="4883" hidden="1" x14ac:dyDescent="0.2"/>
    <row r="4884" hidden="1" x14ac:dyDescent="0.2"/>
    <row r="4885" hidden="1" x14ac:dyDescent="0.2"/>
    <row r="4886" hidden="1" x14ac:dyDescent="0.2"/>
    <row r="4887" hidden="1" x14ac:dyDescent="0.2"/>
    <row r="4888" hidden="1" x14ac:dyDescent="0.2"/>
    <row r="4889" hidden="1" x14ac:dyDescent="0.2"/>
    <row r="4890" hidden="1" x14ac:dyDescent="0.2"/>
    <row r="4891" hidden="1" x14ac:dyDescent="0.2"/>
    <row r="4892" hidden="1" x14ac:dyDescent="0.2"/>
    <row r="4893" hidden="1" x14ac:dyDescent="0.2"/>
    <row r="4894" hidden="1" x14ac:dyDescent="0.2"/>
    <row r="4895" hidden="1" x14ac:dyDescent="0.2"/>
    <row r="4896" hidden="1" x14ac:dyDescent="0.2"/>
    <row r="4897" hidden="1" x14ac:dyDescent="0.2"/>
    <row r="4898" hidden="1" x14ac:dyDescent="0.2"/>
    <row r="4899" hidden="1" x14ac:dyDescent="0.2"/>
    <row r="4900" hidden="1" x14ac:dyDescent="0.2"/>
    <row r="4901" hidden="1" x14ac:dyDescent="0.2"/>
    <row r="4902" hidden="1" x14ac:dyDescent="0.2"/>
    <row r="4903" hidden="1" x14ac:dyDescent="0.2"/>
    <row r="4904" hidden="1" x14ac:dyDescent="0.2"/>
    <row r="4905" hidden="1" x14ac:dyDescent="0.2"/>
    <row r="4906" hidden="1" x14ac:dyDescent="0.2"/>
    <row r="4907" hidden="1" x14ac:dyDescent="0.2"/>
    <row r="4908" hidden="1" x14ac:dyDescent="0.2"/>
    <row r="4909" hidden="1" x14ac:dyDescent="0.2"/>
    <row r="4910" hidden="1" x14ac:dyDescent="0.2"/>
    <row r="4911" hidden="1" x14ac:dyDescent="0.2"/>
    <row r="4912" hidden="1" x14ac:dyDescent="0.2"/>
    <row r="4913" hidden="1" x14ac:dyDescent="0.2"/>
    <row r="4914" hidden="1" x14ac:dyDescent="0.2"/>
    <row r="4915" hidden="1" x14ac:dyDescent="0.2"/>
    <row r="4916" hidden="1" x14ac:dyDescent="0.2"/>
    <row r="4917" hidden="1" x14ac:dyDescent="0.2"/>
    <row r="4918" hidden="1" x14ac:dyDescent="0.2"/>
    <row r="4919" hidden="1" x14ac:dyDescent="0.2"/>
    <row r="4920" hidden="1" x14ac:dyDescent="0.2"/>
    <row r="4921" hidden="1" x14ac:dyDescent="0.2"/>
    <row r="4922" hidden="1" x14ac:dyDescent="0.2"/>
    <row r="4923" hidden="1" x14ac:dyDescent="0.2"/>
    <row r="4924" hidden="1" x14ac:dyDescent="0.2"/>
    <row r="4925" hidden="1" x14ac:dyDescent="0.2"/>
    <row r="4926" hidden="1" x14ac:dyDescent="0.2"/>
    <row r="4927" hidden="1" x14ac:dyDescent="0.2"/>
    <row r="4928" hidden="1" x14ac:dyDescent="0.2"/>
    <row r="4929" hidden="1" x14ac:dyDescent="0.2"/>
    <row r="4930" hidden="1" x14ac:dyDescent="0.2"/>
    <row r="4931" hidden="1" x14ac:dyDescent="0.2"/>
    <row r="4932" hidden="1" x14ac:dyDescent="0.2"/>
    <row r="4933" hidden="1" x14ac:dyDescent="0.2"/>
    <row r="4934" hidden="1" x14ac:dyDescent="0.2"/>
    <row r="4935" hidden="1" x14ac:dyDescent="0.2"/>
    <row r="4936" hidden="1" x14ac:dyDescent="0.2"/>
    <row r="4937" hidden="1" x14ac:dyDescent="0.2"/>
    <row r="4938" hidden="1" x14ac:dyDescent="0.2"/>
    <row r="4939" hidden="1" x14ac:dyDescent="0.2"/>
    <row r="4940" hidden="1" x14ac:dyDescent="0.2"/>
    <row r="4941" hidden="1" x14ac:dyDescent="0.2"/>
    <row r="4942" hidden="1" x14ac:dyDescent="0.2"/>
    <row r="4943" hidden="1" x14ac:dyDescent="0.2"/>
    <row r="4944" hidden="1" x14ac:dyDescent="0.2"/>
    <row r="4945" hidden="1" x14ac:dyDescent="0.2"/>
    <row r="4946" hidden="1" x14ac:dyDescent="0.2"/>
    <row r="4947" hidden="1" x14ac:dyDescent="0.2"/>
    <row r="4948" hidden="1" x14ac:dyDescent="0.2"/>
    <row r="4949" hidden="1" x14ac:dyDescent="0.2"/>
    <row r="4950" hidden="1" x14ac:dyDescent="0.2"/>
    <row r="4951" hidden="1" x14ac:dyDescent="0.2"/>
    <row r="4952" hidden="1" x14ac:dyDescent="0.2"/>
    <row r="4953" hidden="1" x14ac:dyDescent="0.2"/>
    <row r="4954" hidden="1" x14ac:dyDescent="0.2"/>
    <row r="4955" hidden="1" x14ac:dyDescent="0.2"/>
    <row r="4956" hidden="1" x14ac:dyDescent="0.2"/>
    <row r="4957" hidden="1" x14ac:dyDescent="0.2"/>
    <row r="4958" hidden="1" x14ac:dyDescent="0.2"/>
    <row r="4959" hidden="1" x14ac:dyDescent="0.2"/>
    <row r="4960" hidden="1" x14ac:dyDescent="0.2"/>
    <row r="4961" hidden="1" x14ac:dyDescent="0.2"/>
    <row r="4962" hidden="1" x14ac:dyDescent="0.2"/>
    <row r="4963" hidden="1" x14ac:dyDescent="0.2"/>
    <row r="4964" hidden="1" x14ac:dyDescent="0.2"/>
    <row r="4965" hidden="1" x14ac:dyDescent="0.2"/>
    <row r="4966" hidden="1" x14ac:dyDescent="0.2"/>
    <row r="4967" hidden="1" x14ac:dyDescent="0.2"/>
    <row r="4968" hidden="1" x14ac:dyDescent="0.2"/>
    <row r="4969" hidden="1" x14ac:dyDescent="0.2"/>
    <row r="4970" hidden="1" x14ac:dyDescent="0.2"/>
    <row r="4971" hidden="1" x14ac:dyDescent="0.2"/>
    <row r="4972" hidden="1" x14ac:dyDescent="0.2"/>
    <row r="4973" hidden="1" x14ac:dyDescent="0.2"/>
    <row r="4974" hidden="1" x14ac:dyDescent="0.2"/>
    <row r="4975" hidden="1" x14ac:dyDescent="0.2"/>
    <row r="4976" hidden="1" x14ac:dyDescent="0.2"/>
    <row r="4977" hidden="1" x14ac:dyDescent="0.2"/>
    <row r="4978" hidden="1" x14ac:dyDescent="0.2"/>
    <row r="4979" hidden="1" x14ac:dyDescent="0.2"/>
    <row r="4980" hidden="1" x14ac:dyDescent="0.2"/>
    <row r="4981" hidden="1" x14ac:dyDescent="0.2"/>
    <row r="4982" hidden="1" x14ac:dyDescent="0.2"/>
    <row r="4983" hidden="1" x14ac:dyDescent="0.2"/>
    <row r="4984" hidden="1" x14ac:dyDescent="0.2"/>
    <row r="4985" hidden="1" x14ac:dyDescent="0.2"/>
    <row r="4986" hidden="1" x14ac:dyDescent="0.2"/>
    <row r="4987" hidden="1" x14ac:dyDescent="0.2"/>
    <row r="4988" hidden="1" x14ac:dyDescent="0.2"/>
    <row r="4989" hidden="1" x14ac:dyDescent="0.2"/>
    <row r="4990" hidden="1" x14ac:dyDescent="0.2"/>
    <row r="4991" hidden="1" x14ac:dyDescent="0.2"/>
    <row r="4992" hidden="1" x14ac:dyDescent="0.2"/>
    <row r="4993" hidden="1" x14ac:dyDescent="0.2"/>
    <row r="4994" hidden="1" x14ac:dyDescent="0.2"/>
    <row r="4995" hidden="1" x14ac:dyDescent="0.2"/>
    <row r="4996" hidden="1" x14ac:dyDescent="0.2"/>
    <row r="4997" hidden="1" x14ac:dyDescent="0.2"/>
    <row r="4998" hidden="1" x14ac:dyDescent="0.2"/>
    <row r="4999" hidden="1" x14ac:dyDescent="0.2"/>
    <row r="5000" hidden="1" x14ac:dyDescent="0.2"/>
    <row r="5001" hidden="1" x14ac:dyDescent="0.2"/>
    <row r="5002" hidden="1" x14ac:dyDescent="0.2"/>
    <row r="5003" hidden="1" x14ac:dyDescent="0.2"/>
    <row r="5004" hidden="1" x14ac:dyDescent="0.2"/>
    <row r="5005" hidden="1" x14ac:dyDescent="0.2"/>
    <row r="5006" hidden="1" x14ac:dyDescent="0.2"/>
    <row r="5007" hidden="1" x14ac:dyDescent="0.2"/>
    <row r="5008" hidden="1" x14ac:dyDescent="0.2"/>
    <row r="5009" hidden="1" x14ac:dyDescent="0.2"/>
    <row r="5010" hidden="1" x14ac:dyDescent="0.2"/>
    <row r="5011" hidden="1" x14ac:dyDescent="0.2"/>
    <row r="5012" hidden="1" x14ac:dyDescent="0.2"/>
    <row r="5013" hidden="1" x14ac:dyDescent="0.2"/>
    <row r="5014" hidden="1" x14ac:dyDescent="0.2"/>
    <row r="5015" hidden="1" x14ac:dyDescent="0.2"/>
    <row r="5016" hidden="1" x14ac:dyDescent="0.2"/>
    <row r="5017" hidden="1" x14ac:dyDescent="0.2"/>
    <row r="5018" hidden="1" x14ac:dyDescent="0.2"/>
    <row r="5019" hidden="1" x14ac:dyDescent="0.2"/>
    <row r="5020" hidden="1" x14ac:dyDescent="0.2"/>
    <row r="5021" hidden="1" x14ac:dyDescent="0.2"/>
    <row r="5022" hidden="1" x14ac:dyDescent="0.2"/>
    <row r="5023" hidden="1" x14ac:dyDescent="0.2"/>
    <row r="5024" hidden="1" x14ac:dyDescent="0.2"/>
    <row r="5025" hidden="1" x14ac:dyDescent="0.2"/>
    <row r="5026" hidden="1" x14ac:dyDescent="0.2"/>
    <row r="5027" hidden="1" x14ac:dyDescent="0.2"/>
    <row r="5028" hidden="1" x14ac:dyDescent="0.2"/>
    <row r="5029" hidden="1" x14ac:dyDescent="0.2"/>
    <row r="5030" hidden="1" x14ac:dyDescent="0.2"/>
    <row r="5031" hidden="1" x14ac:dyDescent="0.2"/>
    <row r="5032" hidden="1" x14ac:dyDescent="0.2"/>
    <row r="5033" hidden="1" x14ac:dyDescent="0.2"/>
    <row r="5034" hidden="1" x14ac:dyDescent="0.2"/>
    <row r="5035" hidden="1" x14ac:dyDescent="0.2"/>
    <row r="5036" hidden="1" x14ac:dyDescent="0.2"/>
    <row r="5037" hidden="1" x14ac:dyDescent="0.2"/>
    <row r="5038" hidden="1" x14ac:dyDescent="0.2"/>
    <row r="5039" hidden="1" x14ac:dyDescent="0.2"/>
    <row r="5040" hidden="1" x14ac:dyDescent="0.2"/>
    <row r="5041" hidden="1" x14ac:dyDescent="0.2"/>
    <row r="5042" hidden="1" x14ac:dyDescent="0.2"/>
    <row r="5043" hidden="1" x14ac:dyDescent="0.2"/>
    <row r="5044" hidden="1" x14ac:dyDescent="0.2"/>
    <row r="5045" hidden="1" x14ac:dyDescent="0.2"/>
    <row r="5046" hidden="1" x14ac:dyDescent="0.2"/>
    <row r="5047" hidden="1" x14ac:dyDescent="0.2"/>
    <row r="5048" hidden="1" x14ac:dyDescent="0.2"/>
    <row r="5049" hidden="1" x14ac:dyDescent="0.2"/>
    <row r="5050" hidden="1" x14ac:dyDescent="0.2"/>
    <row r="5051" hidden="1" x14ac:dyDescent="0.2"/>
    <row r="5052" hidden="1" x14ac:dyDescent="0.2"/>
    <row r="5053" hidden="1" x14ac:dyDescent="0.2"/>
    <row r="5054" hidden="1" x14ac:dyDescent="0.2"/>
    <row r="5055" hidden="1" x14ac:dyDescent="0.2"/>
    <row r="5056" hidden="1" x14ac:dyDescent="0.2"/>
    <row r="5057" hidden="1" x14ac:dyDescent="0.2"/>
    <row r="5058" hidden="1" x14ac:dyDescent="0.2"/>
    <row r="5059" hidden="1" x14ac:dyDescent="0.2"/>
    <row r="5060" hidden="1" x14ac:dyDescent="0.2"/>
    <row r="5061" hidden="1" x14ac:dyDescent="0.2"/>
    <row r="5062" hidden="1" x14ac:dyDescent="0.2"/>
    <row r="5063" hidden="1" x14ac:dyDescent="0.2"/>
    <row r="5064" hidden="1" x14ac:dyDescent="0.2"/>
    <row r="5065" hidden="1" x14ac:dyDescent="0.2"/>
    <row r="5066" hidden="1" x14ac:dyDescent="0.2"/>
    <row r="5067" hidden="1" x14ac:dyDescent="0.2"/>
    <row r="5068" hidden="1" x14ac:dyDescent="0.2"/>
    <row r="5069" hidden="1" x14ac:dyDescent="0.2"/>
    <row r="5070" hidden="1" x14ac:dyDescent="0.2"/>
    <row r="5071" hidden="1" x14ac:dyDescent="0.2"/>
    <row r="5072" hidden="1" x14ac:dyDescent="0.2"/>
    <row r="5073" hidden="1" x14ac:dyDescent="0.2"/>
    <row r="5074" hidden="1" x14ac:dyDescent="0.2"/>
    <row r="5075" hidden="1" x14ac:dyDescent="0.2"/>
    <row r="5076" hidden="1" x14ac:dyDescent="0.2"/>
    <row r="5077" hidden="1" x14ac:dyDescent="0.2"/>
    <row r="5078" hidden="1" x14ac:dyDescent="0.2"/>
    <row r="5079" hidden="1" x14ac:dyDescent="0.2"/>
    <row r="5080" hidden="1" x14ac:dyDescent="0.2"/>
    <row r="5081" hidden="1" x14ac:dyDescent="0.2"/>
    <row r="5082" hidden="1" x14ac:dyDescent="0.2"/>
    <row r="5083" hidden="1" x14ac:dyDescent="0.2"/>
    <row r="5084" hidden="1" x14ac:dyDescent="0.2"/>
    <row r="5085" hidden="1" x14ac:dyDescent="0.2"/>
    <row r="5086" hidden="1" x14ac:dyDescent="0.2"/>
    <row r="5087" hidden="1" x14ac:dyDescent="0.2"/>
    <row r="5088" hidden="1" x14ac:dyDescent="0.2"/>
    <row r="5089" hidden="1" x14ac:dyDescent="0.2"/>
    <row r="5090" hidden="1" x14ac:dyDescent="0.2"/>
    <row r="5091" hidden="1" x14ac:dyDescent="0.2"/>
    <row r="5092" hidden="1" x14ac:dyDescent="0.2"/>
    <row r="5093" hidden="1" x14ac:dyDescent="0.2"/>
    <row r="5094" hidden="1" x14ac:dyDescent="0.2"/>
    <row r="5095" hidden="1" x14ac:dyDescent="0.2"/>
    <row r="5096" hidden="1" x14ac:dyDescent="0.2"/>
    <row r="5097" hidden="1" x14ac:dyDescent="0.2"/>
    <row r="5098" hidden="1" x14ac:dyDescent="0.2"/>
    <row r="5099" hidden="1" x14ac:dyDescent="0.2"/>
    <row r="5100" hidden="1" x14ac:dyDescent="0.2"/>
    <row r="5101" hidden="1" x14ac:dyDescent="0.2"/>
    <row r="5102" hidden="1" x14ac:dyDescent="0.2"/>
    <row r="5103" hidden="1" x14ac:dyDescent="0.2"/>
    <row r="5104" hidden="1" x14ac:dyDescent="0.2"/>
    <row r="5105" hidden="1" x14ac:dyDescent="0.2"/>
    <row r="5106" hidden="1" x14ac:dyDescent="0.2"/>
    <row r="5107" hidden="1" x14ac:dyDescent="0.2"/>
    <row r="5108" hidden="1" x14ac:dyDescent="0.2"/>
    <row r="5109" hidden="1" x14ac:dyDescent="0.2"/>
    <row r="5110" hidden="1" x14ac:dyDescent="0.2"/>
    <row r="5111" hidden="1" x14ac:dyDescent="0.2"/>
    <row r="5112" hidden="1" x14ac:dyDescent="0.2"/>
    <row r="5113" hidden="1" x14ac:dyDescent="0.2"/>
    <row r="5114" hidden="1" x14ac:dyDescent="0.2"/>
    <row r="5115" hidden="1" x14ac:dyDescent="0.2"/>
    <row r="5116" hidden="1" x14ac:dyDescent="0.2"/>
    <row r="5117" hidden="1" x14ac:dyDescent="0.2"/>
    <row r="5118" hidden="1" x14ac:dyDescent="0.2"/>
    <row r="5119" hidden="1" x14ac:dyDescent="0.2"/>
    <row r="5120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hidden="1" x14ac:dyDescent="0.2"/>
    <row r="5138" hidden="1" x14ac:dyDescent="0.2"/>
    <row r="5139" hidden="1" x14ac:dyDescent="0.2"/>
    <row r="5140" hidden="1" x14ac:dyDescent="0.2"/>
    <row r="5141" hidden="1" x14ac:dyDescent="0.2"/>
    <row r="5142" hidden="1" x14ac:dyDescent="0.2"/>
    <row r="5143" hidden="1" x14ac:dyDescent="0.2"/>
    <row r="5144" hidden="1" x14ac:dyDescent="0.2"/>
    <row r="5145" hidden="1" x14ac:dyDescent="0.2"/>
    <row r="5146" hidden="1" x14ac:dyDescent="0.2"/>
    <row r="5147" hidden="1" x14ac:dyDescent="0.2"/>
    <row r="5148" hidden="1" x14ac:dyDescent="0.2"/>
    <row r="5149" hidden="1" x14ac:dyDescent="0.2"/>
    <row r="5150" hidden="1" x14ac:dyDescent="0.2"/>
    <row r="5151" hidden="1" x14ac:dyDescent="0.2"/>
    <row r="5152" hidden="1" x14ac:dyDescent="0.2"/>
    <row r="5153" hidden="1" x14ac:dyDescent="0.2"/>
    <row r="5154" hidden="1" x14ac:dyDescent="0.2"/>
    <row r="5155" hidden="1" x14ac:dyDescent="0.2"/>
    <row r="5156" hidden="1" x14ac:dyDescent="0.2"/>
    <row r="5157" hidden="1" x14ac:dyDescent="0.2"/>
    <row r="5158" hidden="1" x14ac:dyDescent="0.2"/>
    <row r="5159" hidden="1" x14ac:dyDescent="0.2"/>
    <row r="5160" hidden="1" x14ac:dyDescent="0.2"/>
    <row r="5161" hidden="1" x14ac:dyDescent="0.2"/>
    <row r="5162" hidden="1" x14ac:dyDescent="0.2"/>
    <row r="5163" hidden="1" x14ac:dyDescent="0.2"/>
    <row r="5164" hidden="1" x14ac:dyDescent="0.2"/>
    <row r="5165" hidden="1" x14ac:dyDescent="0.2"/>
    <row r="5166" hidden="1" x14ac:dyDescent="0.2"/>
    <row r="5167" hidden="1" x14ac:dyDescent="0.2"/>
    <row r="5168" hidden="1" x14ac:dyDescent="0.2"/>
    <row r="5169" hidden="1" x14ac:dyDescent="0.2"/>
    <row r="5170" hidden="1" x14ac:dyDescent="0.2"/>
    <row r="5171" hidden="1" x14ac:dyDescent="0.2"/>
    <row r="5172" hidden="1" x14ac:dyDescent="0.2"/>
    <row r="5173" hidden="1" x14ac:dyDescent="0.2"/>
    <row r="5174" hidden="1" x14ac:dyDescent="0.2"/>
    <row r="5175" hidden="1" x14ac:dyDescent="0.2"/>
    <row r="5176" hidden="1" x14ac:dyDescent="0.2"/>
    <row r="5177" hidden="1" x14ac:dyDescent="0.2"/>
    <row r="5178" hidden="1" x14ac:dyDescent="0.2"/>
    <row r="5179" hidden="1" x14ac:dyDescent="0.2"/>
    <row r="5180" hidden="1" x14ac:dyDescent="0.2"/>
    <row r="5181" hidden="1" x14ac:dyDescent="0.2"/>
    <row r="5182" hidden="1" x14ac:dyDescent="0.2"/>
    <row r="5183" hidden="1" x14ac:dyDescent="0.2"/>
    <row r="5184" hidden="1" x14ac:dyDescent="0.2"/>
    <row r="5185" hidden="1" x14ac:dyDescent="0.2"/>
    <row r="5186" hidden="1" x14ac:dyDescent="0.2"/>
    <row r="5187" hidden="1" x14ac:dyDescent="0.2"/>
    <row r="5188" hidden="1" x14ac:dyDescent="0.2"/>
    <row r="5189" hidden="1" x14ac:dyDescent="0.2"/>
    <row r="5190" hidden="1" x14ac:dyDescent="0.2"/>
    <row r="5191" hidden="1" x14ac:dyDescent="0.2"/>
    <row r="5192" hidden="1" x14ac:dyDescent="0.2"/>
    <row r="5193" hidden="1" x14ac:dyDescent="0.2"/>
    <row r="5194" hidden="1" x14ac:dyDescent="0.2"/>
    <row r="5195" hidden="1" x14ac:dyDescent="0.2"/>
    <row r="5196" hidden="1" x14ac:dyDescent="0.2"/>
    <row r="5197" hidden="1" x14ac:dyDescent="0.2"/>
    <row r="5198" hidden="1" x14ac:dyDescent="0.2"/>
    <row r="5199" hidden="1" x14ac:dyDescent="0.2"/>
    <row r="5200" hidden="1" x14ac:dyDescent="0.2"/>
    <row r="5201" hidden="1" x14ac:dyDescent="0.2"/>
    <row r="5202" hidden="1" x14ac:dyDescent="0.2"/>
    <row r="5203" hidden="1" x14ac:dyDescent="0.2"/>
    <row r="5204" hidden="1" x14ac:dyDescent="0.2"/>
    <row r="5205" hidden="1" x14ac:dyDescent="0.2"/>
    <row r="5206" hidden="1" x14ac:dyDescent="0.2"/>
    <row r="5207" hidden="1" x14ac:dyDescent="0.2"/>
    <row r="5208" hidden="1" x14ac:dyDescent="0.2"/>
    <row r="5209" hidden="1" x14ac:dyDescent="0.2"/>
    <row r="5210" hidden="1" x14ac:dyDescent="0.2"/>
    <row r="5211" hidden="1" x14ac:dyDescent="0.2"/>
    <row r="5212" hidden="1" x14ac:dyDescent="0.2"/>
    <row r="5213" hidden="1" x14ac:dyDescent="0.2"/>
    <row r="5214" hidden="1" x14ac:dyDescent="0.2"/>
    <row r="5215" hidden="1" x14ac:dyDescent="0.2"/>
    <row r="5216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hidden="1" x14ac:dyDescent="0.2"/>
    <row r="5266" hidden="1" x14ac:dyDescent="0.2"/>
    <row r="5267" hidden="1" x14ac:dyDescent="0.2"/>
    <row r="5268" hidden="1" x14ac:dyDescent="0.2"/>
    <row r="5269" hidden="1" x14ac:dyDescent="0.2"/>
    <row r="5270" hidden="1" x14ac:dyDescent="0.2"/>
    <row r="5271" hidden="1" x14ac:dyDescent="0.2"/>
    <row r="5272" hidden="1" x14ac:dyDescent="0.2"/>
    <row r="5273" hidden="1" x14ac:dyDescent="0.2"/>
    <row r="5274" hidden="1" x14ac:dyDescent="0.2"/>
    <row r="5275" hidden="1" x14ac:dyDescent="0.2"/>
    <row r="5276" hidden="1" x14ac:dyDescent="0.2"/>
    <row r="5277" hidden="1" x14ac:dyDescent="0.2"/>
    <row r="5278" hidden="1" x14ac:dyDescent="0.2"/>
    <row r="5279" hidden="1" x14ac:dyDescent="0.2"/>
    <row r="5280" hidden="1" x14ac:dyDescent="0.2"/>
    <row r="5281" hidden="1" x14ac:dyDescent="0.2"/>
    <row r="5282" hidden="1" x14ac:dyDescent="0.2"/>
    <row r="5283" hidden="1" x14ac:dyDescent="0.2"/>
    <row r="5284" hidden="1" x14ac:dyDescent="0.2"/>
    <row r="5285" hidden="1" x14ac:dyDescent="0.2"/>
    <row r="5286" hidden="1" x14ac:dyDescent="0.2"/>
    <row r="5287" hidden="1" x14ac:dyDescent="0.2"/>
    <row r="5288" hidden="1" x14ac:dyDescent="0.2"/>
    <row r="5289" hidden="1" x14ac:dyDescent="0.2"/>
    <row r="5290" hidden="1" x14ac:dyDescent="0.2"/>
    <row r="5291" hidden="1" x14ac:dyDescent="0.2"/>
    <row r="5292" hidden="1" x14ac:dyDescent="0.2"/>
    <row r="5293" hidden="1" x14ac:dyDescent="0.2"/>
    <row r="5294" hidden="1" x14ac:dyDescent="0.2"/>
    <row r="5295" hidden="1" x14ac:dyDescent="0.2"/>
    <row r="5296" hidden="1" x14ac:dyDescent="0.2"/>
    <row r="5297" hidden="1" x14ac:dyDescent="0.2"/>
    <row r="5298" hidden="1" x14ac:dyDescent="0.2"/>
    <row r="5299" hidden="1" x14ac:dyDescent="0.2"/>
    <row r="5300" hidden="1" x14ac:dyDescent="0.2"/>
    <row r="5301" hidden="1" x14ac:dyDescent="0.2"/>
    <row r="5302" hidden="1" x14ac:dyDescent="0.2"/>
    <row r="5303" hidden="1" x14ac:dyDescent="0.2"/>
    <row r="5304" hidden="1" x14ac:dyDescent="0.2"/>
    <row r="5305" hidden="1" x14ac:dyDescent="0.2"/>
    <row r="5306" hidden="1" x14ac:dyDescent="0.2"/>
    <row r="5307" hidden="1" x14ac:dyDescent="0.2"/>
    <row r="5308" hidden="1" x14ac:dyDescent="0.2"/>
    <row r="5309" hidden="1" x14ac:dyDescent="0.2"/>
    <row r="5310" hidden="1" x14ac:dyDescent="0.2"/>
    <row r="5311" hidden="1" x14ac:dyDescent="0.2"/>
    <row r="5312" hidden="1" x14ac:dyDescent="0.2"/>
    <row r="5313" hidden="1" x14ac:dyDescent="0.2"/>
    <row r="5314" hidden="1" x14ac:dyDescent="0.2"/>
    <row r="5315" hidden="1" x14ac:dyDescent="0.2"/>
    <row r="5316" hidden="1" x14ac:dyDescent="0.2"/>
    <row r="5317" hidden="1" x14ac:dyDescent="0.2"/>
    <row r="5318" hidden="1" x14ac:dyDescent="0.2"/>
    <row r="5319" hidden="1" x14ac:dyDescent="0.2"/>
    <row r="5320" hidden="1" x14ac:dyDescent="0.2"/>
    <row r="5321" hidden="1" x14ac:dyDescent="0.2"/>
    <row r="5322" hidden="1" x14ac:dyDescent="0.2"/>
    <row r="5323" hidden="1" x14ac:dyDescent="0.2"/>
    <row r="5324" hidden="1" x14ac:dyDescent="0.2"/>
    <row r="5325" hidden="1" x14ac:dyDescent="0.2"/>
    <row r="5326" hidden="1" x14ac:dyDescent="0.2"/>
    <row r="5327" hidden="1" x14ac:dyDescent="0.2"/>
    <row r="5328" hidden="1" x14ac:dyDescent="0.2"/>
    <row r="5329" hidden="1" x14ac:dyDescent="0.2"/>
    <row r="5330" hidden="1" x14ac:dyDescent="0.2"/>
    <row r="5331" hidden="1" x14ac:dyDescent="0.2"/>
    <row r="5332" hidden="1" x14ac:dyDescent="0.2"/>
    <row r="5333" hidden="1" x14ac:dyDescent="0.2"/>
    <row r="5334" hidden="1" x14ac:dyDescent="0.2"/>
    <row r="5335" hidden="1" x14ac:dyDescent="0.2"/>
    <row r="5336" hidden="1" x14ac:dyDescent="0.2"/>
    <row r="5337" hidden="1" x14ac:dyDescent="0.2"/>
    <row r="5338" hidden="1" x14ac:dyDescent="0.2"/>
    <row r="5339" hidden="1" x14ac:dyDescent="0.2"/>
    <row r="5340" hidden="1" x14ac:dyDescent="0.2"/>
    <row r="5341" hidden="1" x14ac:dyDescent="0.2"/>
    <row r="5342" hidden="1" x14ac:dyDescent="0.2"/>
    <row r="5343" hidden="1" x14ac:dyDescent="0.2"/>
    <row r="5344" hidden="1" x14ac:dyDescent="0.2"/>
    <row r="5345" hidden="1" x14ac:dyDescent="0.2"/>
    <row r="5346" hidden="1" x14ac:dyDescent="0.2"/>
    <row r="5347" hidden="1" x14ac:dyDescent="0.2"/>
    <row r="5348" hidden="1" x14ac:dyDescent="0.2"/>
    <row r="5349" hidden="1" x14ac:dyDescent="0.2"/>
    <row r="5350" hidden="1" x14ac:dyDescent="0.2"/>
    <row r="5351" hidden="1" x14ac:dyDescent="0.2"/>
    <row r="5352" hidden="1" x14ac:dyDescent="0.2"/>
    <row r="5353" hidden="1" x14ac:dyDescent="0.2"/>
    <row r="5354" hidden="1" x14ac:dyDescent="0.2"/>
    <row r="5355" hidden="1" x14ac:dyDescent="0.2"/>
    <row r="5356" hidden="1" x14ac:dyDescent="0.2"/>
    <row r="5357" hidden="1" x14ac:dyDescent="0.2"/>
    <row r="5358" hidden="1" x14ac:dyDescent="0.2"/>
    <row r="5359" hidden="1" x14ac:dyDescent="0.2"/>
    <row r="5360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  <row r="5568" hidden="1" x14ac:dyDescent="0.2"/>
    <row r="5569" hidden="1" x14ac:dyDescent="0.2"/>
    <row r="5570" hidden="1" x14ac:dyDescent="0.2"/>
    <row r="5571" hidden="1" x14ac:dyDescent="0.2"/>
    <row r="5572" hidden="1" x14ac:dyDescent="0.2"/>
    <row r="5573" hidden="1" x14ac:dyDescent="0.2"/>
    <row r="5574" hidden="1" x14ac:dyDescent="0.2"/>
    <row r="5575" hidden="1" x14ac:dyDescent="0.2"/>
    <row r="5576" hidden="1" x14ac:dyDescent="0.2"/>
    <row r="5577" hidden="1" x14ac:dyDescent="0.2"/>
    <row r="5578" hidden="1" x14ac:dyDescent="0.2"/>
    <row r="5579" hidden="1" x14ac:dyDescent="0.2"/>
    <row r="5580" hidden="1" x14ac:dyDescent="0.2"/>
    <row r="5581" hidden="1" x14ac:dyDescent="0.2"/>
    <row r="5582" hidden="1" x14ac:dyDescent="0.2"/>
    <row r="5583" hidden="1" x14ac:dyDescent="0.2"/>
    <row r="5584" hidden="1" x14ac:dyDescent="0.2"/>
    <row r="5585" hidden="1" x14ac:dyDescent="0.2"/>
    <row r="5586" hidden="1" x14ac:dyDescent="0.2"/>
    <row r="5587" hidden="1" x14ac:dyDescent="0.2"/>
    <row r="5588" hidden="1" x14ac:dyDescent="0.2"/>
    <row r="5589" hidden="1" x14ac:dyDescent="0.2"/>
    <row r="5590" hidden="1" x14ac:dyDescent="0.2"/>
    <row r="5591" hidden="1" x14ac:dyDescent="0.2"/>
    <row r="5592" hidden="1" x14ac:dyDescent="0.2"/>
    <row r="5593" hidden="1" x14ac:dyDescent="0.2"/>
    <row r="5594" hidden="1" x14ac:dyDescent="0.2"/>
    <row r="5595" hidden="1" x14ac:dyDescent="0.2"/>
    <row r="5596" hidden="1" x14ac:dyDescent="0.2"/>
    <row r="5597" hidden="1" x14ac:dyDescent="0.2"/>
    <row r="5598" hidden="1" x14ac:dyDescent="0.2"/>
    <row r="5599" hidden="1" x14ac:dyDescent="0.2"/>
    <row r="5600" hidden="1" x14ac:dyDescent="0.2"/>
    <row r="5601" hidden="1" x14ac:dyDescent="0.2"/>
    <row r="5602" hidden="1" x14ac:dyDescent="0.2"/>
    <row r="5603" hidden="1" x14ac:dyDescent="0.2"/>
    <row r="5604" hidden="1" x14ac:dyDescent="0.2"/>
    <row r="5605" hidden="1" x14ac:dyDescent="0.2"/>
    <row r="5606" hidden="1" x14ac:dyDescent="0.2"/>
    <row r="5607" hidden="1" x14ac:dyDescent="0.2"/>
    <row r="5608" hidden="1" x14ac:dyDescent="0.2"/>
    <row r="5609" hidden="1" x14ac:dyDescent="0.2"/>
    <row r="5610" hidden="1" x14ac:dyDescent="0.2"/>
    <row r="5611" hidden="1" x14ac:dyDescent="0.2"/>
    <row r="5612" hidden="1" x14ac:dyDescent="0.2"/>
    <row r="5613" hidden="1" x14ac:dyDescent="0.2"/>
    <row r="5614" hidden="1" x14ac:dyDescent="0.2"/>
    <row r="5615" hidden="1" x14ac:dyDescent="0.2"/>
    <row r="5616" hidden="1" x14ac:dyDescent="0.2"/>
    <row r="5617" hidden="1" x14ac:dyDescent="0.2"/>
    <row r="5618" hidden="1" x14ac:dyDescent="0.2"/>
    <row r="5619" hidden="1" x14ac:dyDescent="0.2"/>
    <row r="5620" hidden="1" x14ac:dyDescent="0.2"/>
    <row r="5621" hidden="1" x14ac:dyDescent="0.2"/>
    <row r="5622" hidden="1" x14ac:dyDescent="0.2"/>
    <row r="5623" hidden="1" x14ac:dyDescent="0.2"/>
    <row r="5624" hidden="1" x14ac:dyDescent="0.2"/>
    <row r="5625" hidden="1" x14ac:dyDescent="0.2"/>
    <row r="5626" hidden="1" x14ac:dyDescent="0.2"/>
    <row r="5627" hidden="1" x14ac:dyDescent="0.2"/>
    <row r="5628" hidden="1" x14ac:dyDescent="0.2"/>
    <row r="5629" hidden="1" x14ac:dyDescent="0.2"/>
    <row r="5630" hidden="1" x14ac:dyDescent="0.2"/>
    <row r="5631" hidden="1" x14ac:dyDescent="0.2"/>
    <row r="5632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hidden="1" x14ac:dyDescent="0.2"/>
    <row r="5666" hidden="1" x14ac:dyDescent="0.2"/>
    <row r="5667" hidden="1" x14ac:dyDescent="0.2"/>
    <row r="5668" hidden="1" x14ac:dyDescent="0.2"/>
    <row r="5669" hidden="1" x14ac:dyDescent="0.2"/>
    <row r="5670" hidden="1" x14ac:dyDescent="0.2"/>
    <row r="5671" hidden="1" x14ac:dyDescent="0.2"/>
    <row r="5672" hidden="1" x14ac:dyDescent="0.2"/>
    <row r="5673" hidden="1" x14ac:dyDescent="0.2"/>
    <row r="5674" hidden="1" x14ac:dyDescent="0.2"/>
    <row r="5675" hidden="1" x14ac:dyDescent="0.2"/>
    <row r="5676" hidden="1" x14ac:dyDescent="0.2"/>
    <row r="5677" hidden="1" x14ac:dyDescent="0.2"/>
    <row r="5678" hidden="1" x14ac:dyDescent="0.2"/>
    <row r="5679" hidden="1" x14ac:dyDescent="0.2"/>
    <row r="5680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  <row r="6409" hidden="1" x14ac:dyDescent="0.2"/>
    <row r="6410" hidden="1" x14ac:dyDescent="0.2"/>
    <row r="6411" hidden="1" x14ac:dyDescent="0.2"/>
    <row r="6412" hidden="1" x14ac:dyDescent="0.2"/>
    <row r="6413" hidden="1" x14ac:dyDescent="0.2"/>
    <row r="6414" hidden="1" x14ac:dyDescent="0.2"/>
    <row r="6415" hidden="1" x14ac:dyDescent="0.2"/>
    <row r="6416" hidden="1" x14ac:dyDescent="0.2"/>
    <row r="6417" hidden="1" x14ac:dyDescent="0.2"/>
    <row r="6418" hidden="1" x14ac:dyDescent="0.2"/>
    <row r="6419" hidden="1" x14ac:dyDescent="0.2"/>
    <row r="6420" hidden="1" x14ac:dyDescent="0.2"/>
    <row r="6421" hidden="1" x14ac:dyDescent="0.2"/>
    <row r="6422" hidden="1" x14ac:dyDescent="0.2"/>
    <row r="6423" hidden="1" x14ac:dyDescent="0.2"/>
    <row r="6424" hidden="1" x14ac:dyDescent="0.2"/>
    <row r="6425" hidden="1" x14ac:dyDescent="0.2"/>
    <row r="6426" hidden="1" x14ac:dyDescent="0.2"/>
    <row r="6427" hidden="1" x14ac:dyDescent="0.2"/>
    <row r="6428" hidden="1" x14ac:dyDescent="0.2"/>
    <row r="6429" hidden="1" x14ac:dyDescent="0.2"/>
    <row r="6430" hidden="1" x14ac:dyDescent="0.2"/>
    <row r="6431" hidden="1" x14ac:dyDescent="0.2"/>
    <row r="6432" hidden="1" x14ac:dyDescent="0.2"/>
    <row r="6433" hidden="1" x14ac:dyDescent="0.2"/>
    <row r="6434" hidden="1" x14ac:dyDescent="0.2"/>
    <row r="6435" hidden="1" x14ac:dyDescent="0.2"/>
    <row r="6436" hidden="1" x14ac:dyDescent="0.2"/>
    <row r="6437" hidden="1" x14ac:dyDescent="0.2"/>
    <row r="6438" hidden="1" x14ac:dyDescent="0.2"/>
    <row r="6439" hidden="1" x14ac:dyDescent="0.2"/>
    <row r="6440" hidden="1" x14ac:dyDescent="0.2"/>
    <row r="6441" hidden="1" x14ac:dyDescent="0.2"/>
    <row r="6442" hidden="1" x14ac:dyDescent="0.2"/>
    <row r="6443" hidden="1" x14ac:dyDescent="0.2"/>
    <row r="6444" hidden="1" x14ac:dyDescent="0.2"/>
    <row r="6445" hidden="1" x14ac:dyDescent="0.2"/>
    <row r="6446" hidden="1" x14ac:dyDescent="0.2"/>
    <row r="6447" hidden="1" x14ac:dyDescent="0.2"/>
    <row r="6448" hidden="1" x14ac:dyDescent="0.2"/>
    <row r="6449" hidden="1" x14ac:dyDescent="0.2"/>
    <row r="6450" hidden="1" x14ac:dyDescent="0.2"/>
    <row r="6451" hidden="1" x14ac:dyDescent="0.2"/>
    <row r="6452" hidden="1" x14ac:dyDescent="0.2"/>
    <row r="6453" hidden="1" x14ac:dyDescent="0.2"/>
    <row r="6454" hidden="1" x14ac:dyDescent="0.2"/>
    <row r="6455" hidden="1" x14ac:dyDescent="0.2"/>
    <row r="6456" hidden="1" x14ac:dyDescent="0.2"/>
    <row r="6457" hidden="1" x14ac:dyDescent="0.2"/>
    <row r="6458" hidden="1" x14ac:dyDescent="0.2"/>
    <row r="6459" hidden="1" x14ac:dyDescent="0.2"/>
    <row r="6460" hidden="1" x14ac:dyDescent="0.2"/>
    <row r="6461" hidden="1" x14ac:dyDescent="0.2"/>
    <row r="6462" hidden="1" x14ac:dyDescent="0.2"/>
    <row r="6463" hidden="1" x14ac:dyDescent="0.2"/>
    <row r="6464" hidden="1" x14ac:dyDescent="0.2"/>
    <row r="6465" hidden="1" x14ac:dyDescent="0.2"/>
    <row r="6466" hidden="1" x14ac:dyDescent="0.2"/>
    <row r="6467" hidden="1" x14ac:dyDescent="0.2"/>
    <row r="6468" hidden="1" x14ac:dyDescent="0.2"/>
    <row r="6469" hidden="1" x14ac:dyDescent="0.2"/>
    <row r="6470" hidden="1" x14ac:dyDescent="0.2"/>
    <row r="6471" hidden="1" x14ac:dyDescent="0.2"/>
    <row r="6472" hidden="1" x14ac:dyDescent="0.2"/>
    <row r="6473" hidden="1" x14ac:dyDescent="0.2"/>
    <row r="6474" hidden="1" x14ac:dyDescent="0.2"/>
    <row r="6475" hidden="1" x14ac:dyDescent="0.2"/>
    <row r="6476" hidden="1" x14ac:dyDescent="0.2"/>
    <row r="6477" hidden="1" x14ac:dyDescent="0.2"/>
    <row r="6478" hidden="1" x14ac:dyDescent="0.2"/>
    <row r="6479" hidden="1" x14ac:dyDescent="0.2"/>
    <row r="6480" hidden="1" x14ac:dyDescent="0.2"/>
    <row r="6481" hidden="1" x14ac:dyDescent="0.2"/>
    <row r="6482" hidden="1" x14ac:dyDescent="0.2"/>
    <row r="6483" hidden="1" x14ac:dyDescent="0.2"/>
    <row r="6484" hidden="1" x14ac:dyDescent="0.2"/>
    <row r="6485" hidden="1" x14ac:dyDescent="0.2"/>
    <row r="6486" hidden="1" x14ac:dyDescent="0.2"/>
    <row r="6487" hidden="1" x14ac:dyDescent="0.2"/>
    <row r="6488" hidden="1" x14ac:dyDescent="0.2"/>
    <row r="6489" hidden="1" x14ac:dyDescent="0.2"/>
    <row r="6490" hidden="1" x14ac:dyDescent="0.2"/>
    <row r="6491" hidden="1" x14ac:dyDescent="0.2"/>
    <row r="6492" hidden="1" x14ac:dyDescent="0.2"/>
    <row r="6493" hidden="1" x14ac:dyDescent="0.2"/>
    <row r="6494" hidden="1" x14ac:dyDescent="0.2"/>
    <row r="6495" hidden="1" x14ac:dyDescent="0.2"/>
    <row r="6496" hidden="1" x14ac:dyDescent="0.2"/>
    <row r="6497" hidden="1" x14ac:dyDescent="0.2"/>
    <row r="6498" hidden="1" x14ac:dyDescent="0.2"/>
    <row r="6499" hidden="1" x14ac:dyDescent="0.2"/>
    <row r="6500" hidden="1" x14ac:dyDescent="0.2"/>
    <row r="6501" hidden="1" x14ac:dyDescent="0.2"/>
    <row r="6502" hidden="1" x14ac:dyDescent="0.2"/>
    <row r="6503" hidden="1" x14ac:dyDescent="0.2"/>
    <row r="6504" hidden="1" x14ac:dyDescent="0.2"/>
    <row r="6505" hidden="1" x14ac:dyDescent="0.2"/>
    <row r="6506" hidden="1" x14ac:dyDescent="0.2"/>
    <row r="6507" hidden="1" x14ac:dyDescent="0.2"/>
    <row r="6508" hidden="1" x14ac:dyDescent="0.2"/>
    <row r="6509" hidden="1" x14ac:dyDescent="0.2"/>
    <row r="6510" hidden="1" x14ac:dyDescent="0.2"/>
    <row r="6511" hidden="1" x14ac:dyDescent="0.2"/>
    <row r="6512" hidden="1" x14ac:dyDescent="0.2"/>
    <row r="6513" hidden="1" x14ac:dyDescent="0.2"/>
    <row r="6514" hidden="1" x14ac:dyDescent="0.2"/>
    <row r="6515" hidden="1" x14ac:dyDescent="0.2"/>
    <row r="6516" hidden="1" x14ac:dyDescent="0.2"/>
    <row r="6517" hidden="1" x14ac:dyDescent="0.2"/>
    <row r="6518" hidden="1" x14ac:dyDescent="0.2"/>
    <row r="6519" hidden="1" x14ac:dyDescent="0.2"/>
    <row r="6520" hidden="1" x14ac:dyDescent="0.2"/>
    <row r="6521" hidden="1" x14ac:dyDescent="0.2"/>
    <row r="6522" hidden="1" x14ac:dyDescent="0.2"/>
    <row r="6523" hidden="1" x14ac:dyDescent="0.2"/>
    <row r="6524" hidden="1" x14ac:dyDescent="0.2"/>
    <row r="6525" hidden="1" x14ac:dyDescent="0.2"/>
    <row r="6526" hidden="1" x14ac:dyDescent="0.2"/>
    <row r="6527" hidden="1" x14ac:dyDescent="0.2"/>
    <row r="6528" hidden="1" x14ac:dyDescent="0.2"/>
    <row r="6529" hidden="1" x14ac:dyDescent="0.2"/>
    <row r="6530" hidden="1" x14ac:dyDescent="0.2"/>
    <row r="6531" hidden="1" x14ac:dyDescent="0.2"/>
    <row r="6532" hidden="1" x14ac:dyDescent="0.2"/>
    <row r="6533" hidden="1" x14ac:dyDescent="0.2"/>
    <row r="6534" hidden="1" x14ac:dyDescent="0.2"/>
    <row r="6535" hidden="1" x14ac:dyDescent="0.2"/>
    <row r="6536" hidden="1" x14ac:dyDescent="0.2"/>
    <row r="6537" hidden="1" x14ac:dyDescent="0.2"/>
    <row r="6538" hidden="1" x14ac:dyDescent="0.2"/>
    <row r="6539" hidden="1" x14ac:dyDescent="0.2"/>
    <row r="6540" hidden="1" x14ac:dyDescent="0.2"/>
    <row r="6541" hidden="1" x14ac:dyDescent="0.2"/>
    <row r="6542" hidden="1" x14ac:dyDescent="0.2"/>
    <row r="6543" hidden="1" x14ac:dyDescent="0.2"/>
    <row r="6544" hidden="1" x14ac:dyDescent="0.2"/>
    <row r="6545" hidden="1" x14ac:dyDescent="0.2"/>
    <row r="6546" hidden="1" x14ac:dyDescent="0.2"/>
    <row r="6547" hidden="1" x14ac:dyDescent="0.2"/>
    <row r="6548" hidden="1" x14ac:dyDescent="0.2"/>
    <row r="6549" hidden="1" x14ac:dyDescent="0.2"/>
    <row r="6550" hidden="1" x14ac:dyDescent="0.2"/>
    <row r="6551" hidden="1" x14ac:dyDescent="0.2"/>
    <row r="6552" hidden="1" x14ac:dyDescent="0.2"/>
    <row r="6553" hidden="1" x14ac:dyDescent="0.2"/>
    <row r="6554" hidden="1" x14ac:dyDescent="0.2"/>
    <row r="6555" hidden="1" x14ac:dyDescent="0.2"/>
    <row r="6556" hidden="1" x14ac:dyDescent="0.2"/>
    <row r="6557" hidden="1" x14ac:dyDescent="0.2"/>
    <row r="6558" hidden="1" x14ac:dyDescent="0.2"/>
    <row r="6559" hidden="1" x14ac:dyDescent="0.2"/>
    <row r="6560" hidden="1" x14ac:dyDescent="0.2"/>
    <row r="6561" hidden="1" x14ac:dyDescent="0.2"/>
    <row r="6562" hidden="1" x14ac:dyDescent="0.2"/>
    <row r="6563" hidden="1" x14ac:dyDescent="0.2"/>
    <row r="6564" hidden="1" x14ac:dyDescent="0.2"/>
    <row r="6565" hidden="1" x14ac:dyDescent="0.2"/>
    <row r="6566" hidden="1" x14ac:dyDescent="0.2"/>
    <row r="6567" hidden="1" x14ac:dyDescent="0.2"/>
    <row r="6568" hidden="1" x14ac:dyDescent="0.2"/>
    <row r="6569" hidden="1" x14ac:dyDescent="0.2"/>
    <row r="6570" hidden="1" x14ac:dyDescent="0.2"/>
    <row r="6571" hidden="1" x14ac:dyDescent="0.2"/>
    <row r="6572" hidden="1" x14ac:dyDescent="0.2"/>
    <row r="6573" hidden="1" x14ac:dyDescent="0.2"/>
    <row r="6574" hidden="1" x14ac:dyDescent="0.2"/>
    <row r="6575" hidden="1" x14ac:dyDescent="0.2"/>
    <row r="6576" hidden="1" x14ac:dyDescent="0.2"/>
    <row r="6577" hidden="1" x14ac:dyDescent="0.2"/>
    <row r="6578" hidden="1" x14ac:dyDescent="0.2"/>
    <row r="6579" hidden="1" x14ac:dyDescent="0.2"/>
    <row r="6580" hidden="1" x14ac:dyDescent="0.2"/>
    <row r="6581" hidden="1" x14ac:dyDescent="0.2"/>
    <row r="6582" hidden="1" x14ac:dyDescent="0.2"/>
    <row r="6583" hidden="1" x14ac:dyDescent="0.2"/>
    <row r="6584" hidden="1" x14ac:dyDescent="0.2"/>
    <row r="6585" hidden="1" x14ac:dyDescent="0.2"/>
    <row r="6586" hidden="1" x14ac:dyDescent="0.2"/>
    <row r="6587" hidden="1" x14ac:dyDescent="0.2"/>
    <row r="6588" hidden="1" x14ac:dyDescent="0.2"/>
    <row r="6589" hidden="1" x14ac:dyDescent="0.2"/>
    <row r="6590" hidden="1" x14ac:dyDescent="0.2"/>
    <row r="6591" hidden="1" x14ac:dyDescent="0.2"/>
    <row r="6592" hidden="1" x14ac:dyDescent="0.2"/>
    <row r="6593" hidden="1" x14ac:dyDescent="0.2"/>
    <row r="6594" hidden="1" x14ac:dyDescent="0.2"/>
    <row r="6595" hidden="1" x14ac:dyDescent="0.2"/>
    <row r="6596" hidden="1" x14ac:dyDescent="0.2"/>
    <row r="6597" hidden="1" x14ac:dyDescent="0.2"/>
    <row r="6598" hidden="1" x14ac:dyDescent="0.2"/>
    <row r="6599" hidden="1" x14ac:dyDescent="0.2"/>
    <row r="6600" hidden="1" x14ac:dyDescent="0.2"/>
    <row r="6601" hidden="1" x14ac:dyDescent="0.2"/>
    <row r="6602" hidden="1" x14ac:dyDescent="0.2"/>
    <row r="6603" hidden="1" x14ac:dyDescent="0.2"/>
    <row r="6604" hidden="1" x14ac:dyDescent="0.2"/>
    <row r="6605" hidden="1" x14ac:dyDescent="0.2"/>
    <row r="6606" hidden="1" x14ac:dyDescent="0.2"/>
    <row r="6607" hidden="1" x14ac:dyDescent="0.2"/>
    <row r="6608" hidden="1" x14ac:dyDescent="0.2"/>
    <row r="6609" hidden="1" x14ac:dyDescent="0.2"/>
    <row r="6610" hidden="1" x14ac:dyDescent="0.2"/>
    <row r="6611" hidden="1" x14ac:dyDescent="0.2"/>
    <row r="6612" hidden="1" x14ac:dyDescent="0.2"/>
    <row r="6613" hidden="1" x14ac:dyDescent="0.2"/>
    <row r="6614" hidden="1" x14ac:dyDescent="0.2"/>
    <row r="6615" hidden="1" x14ac:dyDescent="0.2"/>
    <row r="6616" hidden="1" x14ac:dyDescent="0.2"/>
    <row r="6617" hidden="1" x14ac:dyDescent="0.2"/>
    <row r="6618" hidden="1" x14ac:dyDescent="0.2"/>
    <row r="6619" hidden="1" x14ac:dyDescent="0.2"/>
    <row r="6620" hidden="1" x14ac:dyDescent="0.2"/>
    <row r="6621" hidden="1" x14ac:dyDescent="0.2"/>
    <row r="6622" hidden="1" x14ac:dyDescent="0.2"/>
    <row r="6623" hidden="1" x14ac:dyDescent="0.2"/>
    <row r="6624" hidden="1" x14ac:dyDescent="0.2"/>
    <row r="6625" hidden="1" x14ac:dyDescent="0.2"/>
    <row r="6626" hidden="1" x14ac:dyDescent="0.2"/>
    <row r="6627" hidden="1" x14ac:dyDescent="0.2"/>
    <row r="6628" hidden="1" x14ac:dyDescent="0.2"/>
    <row r="6629" hidden="1" x14ac:dyDescent="0.2"/>
    <row r="6630" hidden="1" x14ac:dyDescent="0.2"/>
    <row r="6631" hidden="1" x14ac:dyDescent="0.2"/>
    <row r="6632" hidden="1" x14ac:dyDescent="0.2"/>
    <row r="6633" hidden="1" x14ac:dyDescent="0.2"/>
    <row r="6634" hidden="1" x14ac:dyDescent="0.2"/>
    <row r="6635" hidden="1" x14ac:dyDescent="0.2"/>
    <row r="6636" hidden="1" x14ac:dyDescent="0.2"/>
    <row r="6637" hidden="1" x14ac:dyDescent="0.2"/>
    <row r="6638" hidden="1" x14ac:dyDescent="0.2"/>
    <row r="6639" hidden="1" x14ac:dyDescent="0.2"/>
    <row r="6640" hidden="1" x14ac:dyDescent="0.2"/>
    <row r="6641" hidden="1" x14ac:dyDescent="0.2"/>
    <row r="6642" hidden="1" x14ac:dyDescent="0.2"/>
    <row r="6643" hidden="1" x14ac:dyDescent="0.2"/>
    <row r="6644" hidden="1" x14ac:dyDescent="0.2"/>
    <row r="6645" hidden="1" x14ac:dyDescent="0.2"/>
    <row r="6646" hidden="1" x14ac:dyDescent="0.2"/>
    <row r="6647" hidden="1" x14ac:dyDescent="0.2"/>
    <row r="6648" hidden="1" x14ac:dyDescent="0.2"/>
    <row r="6649" hidden="1" x14ac:dyDescent="0.2"/>
    <row r="6650" hidden="1" x14ac:dyDescent="0.2"/>
    <row r="6651" hidden="1" x14ac:dyDescent="0.2"/>
    <row r="6652" hidden="1" x14ac:dyDescent="0.2"/>
    <row r="6653" hidden="1" x14ac:dyDescent="0.2"/>
    <row r="6654" hidden="1" x14ac:dyDescent="0.2"/>
    <row r="6655" hidden="1" x14ac:dyDescent="0.2"/>
    <row r="6656" hidden="1" x14ac:dyDescent="0.2"/>
    <row r="6657" hidden="1" x14ac:dyDescent="0.2"/>
    <row r="6658" hidden="1" x14ac:dyDescent="0.2"/>
    <row r="6659" hidden="1" x14ac:dyDescent="0.2"/>
    <row r="6660" hidden="1" x14ac:dyDescent="0.2"/>
    <row r="6661" hidden="1" x14ac:dyDescent="0.2"/>
    <row r="6662" hidden="1" x14ac:dyDescent="0.2"/>
    <row r="6663" hidden="1" x14ac:dyDescent="0.2"/>
    <row r="6664" hidden="1" x14ac:dyDescent="0.2"/>
    <row r="6665" hidden="1" x14ac:dyDescent="0.2"/>
    <row r="6666" hidden="1" x14ac:dyDescent="0.2"/>
    <row r="6667" hidden="1" x14ac:dyDescent="0.2"/>
    <row r="6668" hidden="1" x14ac:dyDescent="0.2"/>
    <row r="6669" hidden="1" x14ac:dyDescent="0.2"/>
    <row r="6670" hidden="1" x14ac:dyDescent="0.2"/>
    <row r="6671" hidden="1" x14ac:dyDescent="0.2"/>
    <row r="6672" hidden="1" x14ac:dyDescent="0.2"/>
    <row r="6673" hidden="1" x14ac:dyDescent="0.2"/>
    <row r="6674" hidden="1" x14ac:dyDescent="0.2"/>
    <row r="6675" hidden="1" x14ac:dyDescent="0.2"/>
    <row r="6676" hidden="1" x14ac:dyDescent="0.2"/>
    <row r="6677" hidden="1" x14ac:dyDescent="0.2"/>
    <row r="6678" hidden="1" x14ac:dyDescent="0.2"/>
    <row r="6679" hidden="1" x14ac:dyDescent="0.2"/>
    <row r="6680" hidden="1" x14ac:dyDescent="0.2"/>
    <row r="6681" hidden="1" x14ac:dyDescent="0.2"/>
    <row r="6682" hidden="1" x14ac:dyDescent="0.2"/>
    <row r="6683" hidden="1" x14ac:dyDescent="0.2"/>
    <row r="6684" hidden="1" x14ac:dyDescent="0.2"/>
    <row r="6685" hidden="1" x14ac:dyDescent="0.2"/>
    <row r="6686" hidden="1" x14ac:dyDescent="0.2"/>
    <row r="6687" hidden="1" x14ac:dyDescent="0.2"/>
    <row r="6688" hidden="1" x14ac:dyDescent="0.2"/>
    <row r="6689" hidden="1" x14ac:dyDescent="0.2"/>
    <row r="6690" hidden="1" x14ac:dyDescent="0.2"/>
    <row r="6691" hidden="1" x14ac:dyDescent="0.2"/>
    <row r="6692" hidden="1" x14ac:dyDescent="0.2"/>
    <row r="6693" hidden="1" x14ac:dyDescent="0.2"/>
    <row r="6694" hidden="1" x14ac:dyDescent="0.2"/>
    <row r="6695" hidden="1" x14ac:dyDescent="0.2"/>
    <row r="6696" hidden="1" x14ac:dyDescent="0.2"/>
    <row r="6697" hidden="1" x14ac:dyDescent="0.2"/>
    <row r="6698" hidden="1" x14ac:dyDescent="0.2"/>
    <row r="6699" hidden="1" x14ac:dyDescent="0.2"/>
    <row r="6700" hidden="1" x14ac:dyDescent="0.2"/>
    <row r="6701" hidden="1" x14ac:dyDescent="0.2"/>
    <row r="6702" hidden="1" x14ac:dyDescent="0.2"/>
    <row r="6703" hidden="1" x14ac:dyDescent="0.2"/>
    <row r="6704" hidden="1" x14ac:dyDescent="0.2"/>
    <row r="6705" hidden="1" x14ac:dyDescent="0.2"/>
    <row r="6706" hidden="1" x14ac:dyDescent="0.2"/>
    <row r="6707" hidden="1" x14ac:dyDescent="0.2"/>
    <row r="6708" hidden="1" x14ac:dyDescent="0.2"/>
    <row r="6709" hidden="1" x14ac:dyDescent="0.2"/>
    <row r="6710" hidden="1" x14ac:dyDescent="0.2"/>
    <row r="6711" hidden="1" x14ac:dyDescent="0.2"/>
    <row r="6712" hidden="1" x14ac:dyDescent="0.2"/>
    <row r="6713" hidden="1" x14ac:dyDescent="0.2"/>
    <row r="6714" hidden="1" x14ac:dyDescent="0.2"/>
    <row r="6715" hidden="1" x14ac:dyDescent="0.2"/>
    <row r="6716" hidden="1" x14ac:dyDescent="0.2"/>
    <row r="6717" hidden="1" x14ac:dyDescent="0.2"/>
    <row r="6718" hidden="1" x14ac:dyDescent="0.2"/>
    <row r="6719" hidden="1" x14ac:dyDescent="0.2"/>
    <row r="6720" hidden="1" x14ac:dyDescent="0.2"/>
    <row r="6721" hidden="1" x14ac:dyDescent="0.2"/>
    <row r="6722" hidden="1" x14ac:dyDescent="0.2"/>
    <row r="6723" hidden="1" x14ac:dyDescent="0.2"/>
    <row r="6724" hidden="1" x14ac:dyDescent="0.2"/>
    <row r="6725" hidden="1" x14ac:dyDescent="0.2"/>
    <row r="6726" hidden="1" x14ac:dyDescent="0.2"/>
    <row r="6727" hidden="1" x14ac:dyDescent="0.2"/>
    <row r="6728" hidden="1" x14ac:dyDescent="0.2"/>
    <row r="6729" hidden="1" x14ac:dyDescent="0.2"/>
    <row r="6730" hidden="1" x14ac:dyDescent="0.2"/>
    <row r="6731" hidden="1" x14ac:dyDescent="0.2"/>
    <row r="6732" hidden="1" x14ac:dyDescent="0.2"/>
    <row r="6733" hidden="1" x14ac:dyDescent="0.2"/>
    <row r="6734" hidden="1" x14ac:dyDescent="0.2"/>
    <row r="6735" hidden="1" x14ac:dyDescent="0.2"/>
    <row r="6736" hidden="1" x14ac:dyDescent="0.2"/>
    <row r="6737" hidden="1" x14ac:dyDescent="0.2"/>
    <row r="6738" hidden="1" x14ac:dyDescent="0.2"/>
    <row r="6739" hidden="1" x14ac:dyDescent="0.2"/>
    <row r="6740" hidden="1" x14ac:dyDescent="0.2"/>
    <row r="6741" hidden="1" x14ac:dyDescent="0.2"/>
    <row r="6742" hidden="1" x14ac:dyDescent="0.2"/>
    <row r="6743" hidden="1" x14ac:dyDescent="0.2"/>
    <row r="6744" hidden="1" x14ac:dyDescent="0.2"/>
    <row r="6745" hidden="1" x14ac:dyDescent="0.2"/>
    <row r="6746" hidden="1" x14ac:dyDescent="0.2"/>
    <row r="6747" hidden="1" x14ac:dyDescent="0.2"/>
    <row r="6748" hidden="1" x14ac:dyDescent="0.2"/>
    <row r="6749" hidden="1" x14ac:dyDescent="0.2"/>
    <row r="6750" hidden="1" x14ac:dyDescent="0.2"/>
    <row r="6751" hidden="1" x14ac:dyDescent="0.2"/>
    <row r="6752" hidden="1" x14ac:dyDescent="0.2"/>
    <row r="6753" hidden="1" x14ac:dyDescent="0.2"/>
    <row r="6754" hidden="1" x14ac:dyDescent="0.2"/>
    <row r="6755" hidden="1" x14ac:dyDescent="0.2"/>
    <row r="6756" hidden="1" x14ac:dyDescent="0.2"/>
    <row r="6757" hidden="1" x14ac:dyDescent="0.2"/>
    <row r="6758" hidden="1" x14ac:dyDescent="0.2"/>
    <row r="6759" hidden="1" x14ac:dyDescent="0.2"/>
    <row r="6760" hidden="1" x14ac:dyDescent="0.2"/>
    <row r="6761" hidden="1" x14ac:dyDescent="0.2"/>
    <row r="6762" hidden="1" x14ac:dyDescent="0.2"/>
    <row r="6763" hidden="1" x14ac:dyDescent="0.2"/>
    <row r="6764" hidden="1" x14ac:dyDescent="0.2"/>
    <row r="6765" hidden="1" x14ac:dyDescent="0.2"/>
    <row r="6766" hidden="1" x14ac:dyDescent="0.2"/>
    <row r="6767" hidden="1" x14ac:dyDescent="0.2"/>
    <row r="6768" hidden="1" x14ac:dyDescent="0.2"/>
    <row r="6769" hidden="1" x14ac:dyDescent="0.2"/>
    <row r="6770" hidden="1" x14ac:dyDescent="0.2"/>
    <row r="6771" hidden="1" x14ac:dyDescent="0.2"/>
    <row r="6772" hidden="1" x14ac:dyDescent="0.2"/>
    <row r="6773" hidden="1" x14ac:dyDescent="0.2"/>
    <row r="6774" hidden="1" x14ac:dyDescent="0.2"/>
    <row r="6775" hidden="1" x14ac:dyDescent="0.2"/>
    <row r="6776" hidden="1" x14ac:dyDescent="0.2"/>
    <row r="6777" hidden="1" x14ac:dyDescent="0.2"/>
    <row r="6778" hidden="1" x14ac:dyDescent="0.2"/>
    <row r="6779" hidden="1" x14ac:dyDescent="0.2"/>
    <row r="6780" hidden="1" x14ac:dyDescent="0.2"/>
    <row r="6781" hidden="1" x14ac:dyDescent="0.2"/>
    <row r="6782" hidden="1" x14ac:dyDescent="0.2"/>
    <row r="6783" hidden="1" x14ac:dyDescent="0.2"/>
    <row r="6784" hidden="1" x14ac:dyDescent="0.2"/>
    <row r="6785" hidden="1" x14ac:dyDescent="0.2"/>
    <row r="6786" hidden="1" x14ac:dyDescent="0.2"/>
    <row r="6787" hidden="1" x14ac:dyDescent="0.2"/>
    <row r="6788" hidden="1" x14ac:dyDescent="0.2"/>
    <row r="6789" hidden="1" x14ac:dyDescent="0.2"/>
    <row r="6790" hidden="1" x14ac:dyDescent="0.2"/>
    <row r="6791" hidden="1" x14ac:dyDescent="0.2"/>
    <row r="6792" hidden="1" x14ac:dyDescent="0.2"/>
    <row r="6793" hidden="1" x14ac:dyDescent="0.2"/>
    <row r="6794" hidden="1" x14ac:dyDescent="0.2"/>
    <row r="6795" hidden="1" x14ac:dyDescent="0.2"/>
    <row r="6796" hidden="1" x14ac:dyDescent="0.2"/>
    <row r="6797" hidden="1" x14ac:dyDescent="0.2"/>
    <row r="6798" hidden="1" x14ac:dyDescent="0.2"/>
    <row r="6799" hidden="1" x14ac:dyDescent="0.2"/>
    <row r="6800" hidden="1" x14ac:dyDescent="0.2"/>
    <row r="6801" hidden="1" x14ac:dyDescent="0.2"/>
    <row r="6802" hidden="1" x14ac:dyDescent="0.2"/>
    <row r="6803" hidden="1" x14ac:dyDescent="0.2"/>
    <row r="6804" hidden="1" x14ac:dyDescent="0.2"/>
    <row r="6805" hidden="1" x14ac:dyDescent="0.2"/>
    <row r="6806" hidden="1" x14ac:dyDescent="0.2"/>
    <row r="6807" hidden="1" x14ac:dyDescent="0.2"/>
    <row r="6808" hidden="1" x14ac:dyDescent="0.2"/>
    <row r="6809" hidden="1" x14ac:dyDescent="0.2"/>
    <row r="6810" hidden="1" x14ac:dyDescent="0.2"/>
    <row r="6811" hidden="1" x14ac:dyDescent="0.2"/>
    <row r="6812" hidden="1" x14ac:dyDescent="0.2"/>
    <row r="6813" hidden="1" x14ac:dyDescent="0.2"/>
    <row r="6814" hidden="1" x14ac:dyDescent="0.2"/>
    <row r="6815" hidden="1" x14ac:dyDescent="0.2"/>
    <row r="6816" hidden="1" x14ac:dyDescent="0.2"/>
    <row r="6817" hidden="1" x14ac:dyDescent="0.2"/>
    <row r="6818" hidden="1" x14ac:dyDescent="0.2"/>
    <row r="6819" hidden="1" x14ac:dyDescent="0.2"/>
    <row r="6820" hidden="1" x14ac:dyDescent="0.2"/>
    <row r="6821" hidden="1" x14ac:dyDescent="0.2"/>
    <row r="6822" hidden="1" x14ac:dyDescent="0.2"/>
    <row r="6823" hidden="1" x14ac:dyDescent="0.2"/>
    <row r="6824" hidden="1" x14ac:dyDescent="0.2"/>
    <row r="6825" hidden="1" x14ac:dyDescent="0.2"/>
    <row r="6826" hidden="1" x14ac:dyDescent="0.2"/>
    <row r="6827" hidden="1" x14ac:dyDescent="0.2"/>
    <row r="6828" hidden="1" x14ac:dyDescent="0.2"/>
    <row r="6829" hidden="1" x14ac:dyDescent="0.2"/>
    <row r="6830" hidden="1" x14ac:dyDescent="0.2"/>
    <row r="6831" hidden="1" x14ac:dyDescent="0.2"/>
    <row r="6832" hidden="1" x14ac:dyDescent="0.2"/>
    <row r="6833" hidden="1" x14ac:dyDescent="0.2"/>
    <row r="6834" hidden="1" x14ac:dyDescent="0.2"/>
    <row r="6835" hidden="1" x14ac:dyDescent="0.2"/>
    <row r="6836" hidden="1" x14ac:dyDescent="0.2"/>
    <row r="6837" hidden="1" x14ac:dyDescent="0.2"/>
    <row r="6838" hidden="1" x14ac:dyDescent="0.2"/>
    <row r="6839" hidden="1" x14ac:dyDescent="0.2"/>
    <row r="6840" hidden="1" x14ac:dyDescent="0.2"/>
    <row r="6841" hidden="1" x14ac:dyDescent="0.2"/>
    <row r="6842" hidden="1" x14ac:dyDescent="0.2"/>
    <row r="6843" hidden="1" x14ac:dyDescent="0.2"/>
    <row r="6844" hidden="1" x14ac:dyDescent="0.2"/>
    <row r="6845" hidden="1" x14ac:dyDescent="0.2"/>
    <row r="6846" hidden="1" x14ac:dyDescent="0.2"/>
    <row r="6847" hidden="1" x14ac:dyDescent="0.2"/>
    <row r="6848" hidden="1" x14ac:dyDescent="0.2"/>
    <row r="6849" hidden="1" x14ac:dyDescent="0.2"/>
    <row r="6850" hidden="1" x14ac:dyDescent="0.2"/>
    <row r="6851" hidden="1" x14ac:dyDescent="0.2"/>
    <row r="6852" hidden="1" x14ac:dyDescent="0.2"/>
    <row r="6853" hidden="1" x14ac:dyDescent="0.2"/>
    <row r="6854" hidden="1" x14ac:dyDescent="0.2"/>
    <row r="6855" hidden="1" x14ac:dyDescent="0.2"/>
    <row r="6856" hidden="1" x14ac:dyDescent="0.2"/>
    <row r="6857" hidden="1" x14ac:dyDescent="0.2"/>
    <row r="6858" hidden="1" x14ac:dyDescent="0.2"/>
    <row r="6859" hidden="1" x14ac:dyDescent="0.2"/>
    <row r="6860" hidden="1" x14ac:dyDescent="0.2"/>
    <row r="6861" hidden="1" x14ac:dyDescent="0.2"/>
    <row r="6862" hidden="1" x14ac:dyDescent="0.2"/>
    <row r="6863" hidden="1" x14ac:dyDescent="0.2"/>
    <row r="6864" hidden="1" x14ac:dyDescent="0.2"/>
    <row r="6865" hidden="1" x14ac:dyDescent="0.2"/>
    <row r="6866" hidden="1" x14ac:dyDescent="0.2"/>
    <row r="6867" hidden="1" x14ac:dyDescent="0.2"/>
    <row r="6868" hidden="1" x14ac:dyDescent="0.2"/>
    <row r="6869" hidden="1" x14ac:dyDescent="0.2"/>
    <row r="6870" hidden="1" x14ac:dyDescent="0.2"/>
    <row r="6871" hidden="1" x14ac:dyDescent="0.2"/>
    <row r="6872" hidden="1" x14ac:dyDescent="0.2"/>
    <row r="6873" hidden="1" x14ac:dyDescent="0.2"/>
    <row r="6874" hidden="1" x14ac:dyDescent="0.2"/>
    <row r="6875" hidden="1" x14ac:dyDescent="0.2"/>
    <row r="6876" hidden="1" x14ac:dyDescent="0.2"/>
    <row r="6877" hidden="1" x14ac:dyDescent="0.2"/>
    <row r="6878" hidden="1" x14ac:dyDescent="0.2"/>
    <row r="6879" hidden="1" x14ac:dyDescent="0.2"/>
    <row r="6880" hidden="1" x14ac:dyDescent="0.2"/>
    <row r="6881" hidden="1" x14ac:dyDescent="0.2"/>
    <row r="6882" hidden="1" x14ac:dyDescent="0.2"/>
    <row r="6883" hidden="1" x14ac:dyDescent="0.2"/>
    <row r="6884" hidden="1" x14ac:dyDescent="0.2"/>
    <row r="6885" hidden="1" x14ac:dyDescent="0.2"/>
    <row r="6886" hidden="1" x14ac:dyDescent="0.2"/>
    <row r="6887" hidden="1" x14ac:dyDescent="0.2"/>
    <row r="6888" hidden="1" x14ac:dyDescent="0.2"/>
    <row r="6889" hidden="1" x14ac:dyDescent="0.2"/>
    <row r="6890" hidden="1" x14ac:dyDescent="0.2"/>
    <row r="6891" hidden="1" x14ac:dyDescent="0.2"/>
    <row r="6892" hidden="1" x14ac:dyDescent="0.2"/>
    <row r="6893" hidden="1" x14ac:dyDescent="0.2"/>
    <row r="6894" hidden="1" x14ac:dyDescent="0.2"/>
    <row r="6895" hidden="1" x14ac:dyDescent="0.2"/>
    <row r="6896" hidden="1" x14ac:dyDescent="0.2"/>
    <row r="6897" hidden="1" x14ac:dyDescent="0.2"/>
    <row r="6898" hidden="1" x14ac:dyDescent="0.2"/>
    <row r="6899" hidden="1" x14ac:dyDescent="0.2"/>
    <row r="6900" hidden="1" x14ac:dyDescent="0.2"/>
    <row r="6901" hidden="1" x14ac:dyDescent="0.2"/>
    <row r="6902" hidden="1" x14ac:dyDescent="0.2"/>
    <row r="6903" hidden="1" x14ac:dyDescent="0.2"/>
    <row r="6904" hidden="1" x14ac:dyDescent="0.2"/>
    <row r="6905" hidden="1" x14ac:dyDescent="0.2"/>
    <row r="6906" hidden="1" x14ac:dyDescent="0.2"/>
    <row r="6907" hidden="1" x14ac:dyDescent="0.2"/>
    <row r="6908" hidden="1" x14ac:dyDescent="0.2"/>
    <row r="6909" hidden="1" x14ac:dyDescent="0.2"/>
    <row r="6910" hidden="1" x14ac:dyDescent="0.2"/>
    <row r="6911" hidden="1" x14ac:dyDescent="0.2"/>
    <row r="6912" hidden="1" x14ac:dyDescent="0.2"/>
    <row r="6913" hidden="1" x14ac:dyDescent="0.2"/>
    <row r="6914" hidden="1" x14ac:dyDescent="0.2"/>
    <row r="6915" hidden="1" x14ac:dyDescent="0.2"/>
    <row r="6916" hidden="1" x14ac:dyDescent="0.2"/>
    <row r="6917" hidden="1" x14ac:dyDescent="0.2"/>
    <row r="6918" hidden="1" x14ac:dyDescent="0.2"/>
    <row r="6919" hidden="1" x14ac:dyDescent="0.2"/>
    <row r="6920" hidden="1" x14ac:dyDescent="0.2"/>
    <row r="6921" hidden="1" x14ac:dyDescent="0.2"/>
    <row r="6922" hidden="1" x14ac:dyDescent="0.2"/>
    <row r="6923" hidden="1" x14ac:dyDescent="0.2"/>
    <row r="6924" hidden="1" x14ac:dyDescent="0.2"/>
    <row r="6925" hidden="1" x14ac:dyDescent="0.2"/>
    <row r="6926" hidden="1" x14ac:dyDescent="0.2"/>
    <row r="6927" hidden="1" x14ac:dyDescent="0.2"/>
    <row r="6928" hidden="1" x14ac:dyDescent="0.2"/>
    <row r="6929" hidden="1" x14ac:dyDescent="0.2"/>
    <row r="6930" hidden="1" x14ac:dyDescent="0.2"/>
    <row r="6931" hidden="1" x14ac:dyDescent="0.2"/>
    <row r="6932" hidden="1" x14ac:dyDescent="0.2"/>
    <row r="6933" hidden="1" x14ac:dyDescent="0.2"/>
    <row r="6934" hidden="1" x14ac:dyDescent="0.2"/>
    <row r="6935" hidden="1" x14ac:dyDescent="0.2"/>
    <row r="6936" hidden="1" x14ac:dyDescent="0.2"/>
    <row r="6937" hidden="1" x14ac:dyDescent="0.2"/>
    <row r="6938" hidden="1" x14ac:dyDescent="0.2"/>
    <row r="6939" hidden="1" x14ac:dyDescent="0.2"/>
    <row r="6940" hidden="1" x14ac:dyDescent="0.2"/>
    <row r="6941" hidden="1" x14ac:dyDescent="0.2"/>
    <row r="6942" hidden="1" x14ac:dyDescent="0.2"/>
    <row r="6943" hidden="1" x14ac:dyDescent="0.2"/>
    <row r="6944" hidden="1" x14ac:dyDescent="0.2"/>
    <row r="6945" hidden="1" x14ac:dyDescent="0.2"/>
    <row r="6946" hidden="1" x14ac:dyDescent="0.2"/>
    <row r="6947" hidden="1" x14ac:dyDescent="0.2"/>
    <row r="6948" hidden="1" x14ac:dyDescent="0.2"/>
    <row r="6949" hidden="1" x14ac:dyDescent="0.2"/>
    <row r="6950" hidden="1" x14ac:dyDescent="0.2"/>
    <row r="6951" hidden="1" x14ac:dyDescent="0.2"/>
    <row r="6952" hidden="1" x14ac:dyDescent="0.2"/>
    <row r="6953" hidden="1" x14ac:dyDescent="0.2"/>
    <row r="6954" hidden="1" x14ac:dyDescent="0.2"/>
    <row r="6955" hidden="1" x14ac:dyDescent="0.2"/>
    <row r="6956" hidden="1" x14ac:dyDescent="0.2"/>
    <row r="6957" hidden="1" x14ac:dyDescent="0.2"/>
    <row r="6958" hidden="1" x14ac:dyDescent="0.2"/>
    <row r="6959" hidden="1" x14ac:dyDescent="0.2"/>
    <row r="6960" hidden="1" x14ac:dyDescent="0.2"/>
    <row r="6961" hidden="1" x14ac:dyDescent="0.2"/>
    <row r="6962" hidden="1" x14ac:dyDescent="0.2"/>
    <row r="6963" hidden="1" x14ac:dyDescent="0.2"/>
    <row r="6964" hidden="1" x14ac:dyDescent="0.2"/>
    <row r="6965" hidden="1" x14ac:dyDescent="0.2"/>
    <row r="6966" hidden="1" x14ac:dyDescent="0.2"/>
    <row r="6967" hidden="1" x14ac:dyDescent="0.2"/>
    <row r="6968" hidden="1" x14ac:dyDescent="0.2"/>
    <row r="6969" hidden="1" x14ac:dyDescent="0.2"/>
    <row r="6970" hidden="1" x14ac:dyDescent="0.2"/>
    <row r="6971" hidden="1" x14ac:dyDescent="0.2"/>
    <row r="6972" hidden="1" x14ac:dyDescent="0.2"/>
    <row r="6973" hidden="1" x14ac:dyDescent="0.2"/>
    <row r="6974" hidden="1" x14ac:dyDescent="0.2"/>
    <row r="6975" hidden="1" x14ac:dyDescent="0.2"/>
    <row r="6976" hidden="1" x14ac:dyDescent="0.2"/>
    <row r="6977" hidden="1" x14ac:dyDescent="0.2"/>
    <row r="6978" hidden="1" x14ac:dyDescent="0.2"/>
    <row r="6979" hidden="1" x14ac:dyDescent="0.2"/>
    <row r="6980" hidden="1" x14ac:dyDescent="0.2"/>
    <row r="6981" hidden="1" x14ac:dyDescent="0.2"/>
    <row r="6982" hidden="1" x14ac:dyDescent="0.2"/>
    <row r="6983" hidden="1" x14ac:dyDescent="0.2"/>
    <row r="6984" hidden="1" x14ac:dyDescent="0.2"/>
    <row r="6985" hidden="1" x14ac:dyDescent="0.2"/>
    <row r="6986" hidden="1" x14ac:dyDescent="0.2"/>
    <row r="6987" hidden="1" x14ac:dyDescent="0.2"/>
    <row r="6988" hidden="1" x14ac:dyDescent="0.2"/>
    <row r="6989" hidden="1" x14ac:dyDescent="0.2"/>
    <row r="6990" hidden="1" x14ac:dyDescent="0.2"/>
    <row r="6991" hidden="1" x14ac:dyDescent="0.2"/>
    <row r="6992" hidden="1" x14ac:dyDescent="0.2"/>
    <row r="6993" hidden="1" x14ac:dyDescent="0.2"/>
    <row r="6994" hidden="1" x14ac:dyDescent="0.2"/>
    <row r="6995" hidden="1" x14ac:dyDescent="0.2"/>
    <row r="6996" hidden="1" x14ac:dyDescent="0.2"/>
    <row r="6997" hidden="1" x14ac:dyDescent="0.2"/>
    <row r="6998" hidden="1" x14ac:dyDescent="0.2"/>
    <row r="6999" hidden="1" x14ac:dyDescent="0.2"/>
    <row r="7000" hidden="1" x14ac:dyDescent="0.2"/>
    <row r="7001" hidden="1" x14ac:dyDescent="0.2"/>
    <row r="7002" hidden="1" x14ac:dyDescent="0.2"/>
    <row r="7003" hidden="1" x14ac:dyDescent="0.2"/>
    <row r="7004" hidden="1" x14ac:dyDescent="0.2"/>
    <row r="7005" hidden="1" x14ac:dyDescent="0.2"/>
    <row r="7006" hidden="1" x14ac:dyDescent="0.2"/>
    <row r="7007" hidden="1" x14ac:dyDescent="0.2"/>
    <row r="7008" hidden="1" x14ac:dyDescent="0.2"/>
    <row r="7009" hidden="1" x14ac:dyDescent="0.2"/>
    <row r="7010" hidden="1" x14ac:dyDescent="0.2"/>
    <row r="7011" hidden="1" x14ac:dyDescent="0.2"/>
    <row r="7012" hidden="1" x14ac:dyDescent="0.2"/>
    <row r="7013" hidden="1" x14ac:dyDescent="0.2"/>
    <row r="7014" hidden="1" x14ac:dyDescent="0.2"/>
    <row r="7015" hidden="1" x14ac:dyDescent="0.2"/>
    <row r="7016" hidden="1" x14ac:dyDescent="0.2"/>
    <row r="7017" hidden="1" x14ac:dyDescent="0.2"/>
    <row r="7018" hidden="1" x14ac:dyDescent="0.2"/>
    <row r="7019" hidden="1" x14ac:dyDescent="0.2"/>
    <row r="7020" hidden="1" x14ac:dyDescent="0.2"/>
    <row r="7021" hidden="1" x14ac:dyDescent="0.2"/>
    <row r="7022" hidden="1" x14ac:dyDescent="0.2"/>
    <row r="7023" hidden="1" x14ac:dyDescent="0.2"/>
    <row r="7024" hidden="1" x14ac:dyDescent="0.2"/>
    <row r="7025" hidden="1" x14ac:dyDescent="0.2"/>
    <row r="7026" hidden="1" x14ac:dyDescent="0.2"/>
    <row r="7027" hidden="1" x14ac:dyDescent="0.2"/>
    <row r="7028" hidden="1" x14ac:dyDescent="0.2"/>
    <row r="7029" hidden="1" x14ac:dyDescent="0.2"/>
    <row r="7030" hidden="1" x14ac:dyDescent="0.2"/>
    <row r="7031" hidden="1" x14ac:dyDescent="0.2"/>
    <row r="7032" hidden="1" x14ac:dyDescent="0.2"/>
    <row r="7033" hidden="1" x14ac:dyDescent="0.2"/>
    <row r="7034" hidden="1" x14ac:dyDescent="0.2"/>
    <row r="7035" hidden="1" x14ac:dyDescent="0.2"/>
    <row r="7036" hidden="1" x14ac:dyDescent="0.2"/>
    <row r="7037" hidden="1" x14ac:dyDescent="0.2"/>
    <row r="7038" hidden="1" x14ac:dyDescent="0.2"/>
    <row r="7039" hidden="1" x14ac:dyDescent="0.2"/>
    <row r="7040" hidden="1" x14ac:dyDescent="0.2"/>
    <row r="7041" hidden="1" x14ac:dyDescent="0.2"/>
    <row r="7042" hidden="1" x14ac:dyDescent="0.2"/>
    <row r="7043" hidden="1" x14ac:dyDescent="0.2"/>
    <row r="7044" hidden="1" x14ac:dyDescent="0.2"/>
    <row r="7045" hidden="1" x14ac:dyDescent="0.2"/>
    <row r="7046" hidden="1" x14ac:dyDescent="0.2"/>
    <row r="7047" hidden="1" x14ac:dyDescent="0.2"/>
    <row r="7048" hidden="1" x14ac:dyDescent="0.2"/>
    <row r="7049" hidden="1" x14ac:dyDescent="0.2"/>
    <row r="7050" hidden="1" x14ac:dyDescent="0.2"/>
    <row r="7051" hidden="1" x14ac:dyDescent="0.2"/>
    <row r="7052" hidden="1" x14ac:dyDescent="0.2"/>
    <row r="7053" hidden="1" x14ac:dyDescent="0.2"/>
    <row r="7054" hidden="1" x14ac:dyDescent="0.2"/>
    <row r="7055" hidden="1" x14ac:dyDescent="0.2"/>
    <row r="7056" hidden="1" x14ac:dyDescent="0.2"/>
    <row r="7057" hidden="1" x14ac:dyDescent="0.2"/>
    <row r="7058" hidden="1" x14ac:dyDescent="0.2"/>
    <row r="7059" hidden="1" x14ac:dyDescent="0.2"/>
    <row r="7060" hidden="1" x14ac:dyDescent="0.2"/>
    <row r="7061" hidden="1" x14ac:dyDescent="0.2"/>
    <row r="7062" hidden="1" x14ac:dyDescent="0.2"/>
    <row r="7063" hidden="1" x14ac:dyDescent="0.2"/>
    <row r="7064" hidden="1" x14ac:dyDescent="0.2"/>
    <row r="7065" hidden="1" x14ac:dyDescent="0.2"/>
    <row r="7066" hidden="1" x14ac:dyDescent="0.2"/>
    <row r="7067" hidden="1" x14ac:dyDescent="0.2"/>
    <row r="7068" hidden="1" x14ac:dyDescent="0.2"/>
    <row r="7069" hidden="1" x14ac:dyDescent="0.2"/>
    <row r="7070" hidden="1" x14ac:dyDescent="0.2"/>
    <row r="7071" hidden="1" x14ac:dyDescent="0.2"/>
    <row r="7072" hidden="1" x14ac:dyDescent="0.2"/>
    <row r="7073" hidden="1" x14ac:dyDescent="0.2"/>
    <row r="7074" hidden="1" x14ac:dyDescent="0.2"/>
    <row r="7075" hidden="1" x14ac:dyDescent="0.2"/>
    <row r="7076" hidden="1" x14ac:dyDescent="0.2"/>
    <row r="7077" hidden="1" x14ac:dyDescent="0.2"/>
    <row r="7078" hidden="1" x14ac:dyDescent="0.2"/>
    <row r="7079" hidden="1" x14ac:dyDescent="0.2"/>
    <row r="7080" hidden="1" x14ac:dyDescent="0.2"/>
    <row r="7081" hidden="1" x14ac:dyDescent="0.2"/>
    <row r="7082" hidden="1" x14ac:dyDescent="0.2"/>
    <row r="7083" hidden="1" x14ac:dyDescent="0.2"/>
    <row r="7084" hidden="1" x14ac:dyDescent="0.2"/>
    <row r="7085" hidden="1" x14ac:dyDescent="0.2"/>
    <row r="7086" hidden="1" x14ac:dyDescent="0.2"/>
    <row r="7087" hidden="1" x14ac:dyDescent="0.2"/>
    <row r="7088" hidden="1" x14ac:dyDescent="0.2"/>
    <row r="7089" hidden="1" x14ac:dyDescent="0.2"/>
    <row r="7090" hidden="1" x14ac:dyDescent="0.2"/>
    <row r="7091" hidden="1" x14ac:dyDescent="0.2"/>
    <row r="7092" hidden="1" x14ac:dyDescent="0.2"/>
    <row r="7093" hidden="1" x14ac:dyDescent="0.2"/>
    <row r="7094" hidden="1" x14ac:dyDescent="0.2"/>
    <row r="7095" hidden="1" x14ac:dyDescent="0.2"/>
    <row r="7096" hidden="1" x14ac:dyDescent="0.2"/>
    <row r="7097" hidden="1" x14ac:dyDescent="0.2"/>
    <row r="7098" hidden="1" x14ac:dyDescent="0.2"/>
    <row r="7099" hidden="1" x14ac:dyDescent="0.2"/>
    <row r="7100" hidden="1" x14ac:dyDescent="0.2"/>
    <row r="7101" hidden="1" x14ac:dyDescent="0.2"/>
    <row r="7102" hidden="1" x14ac:dyDescent="0.2"/>
    <row r="7103" hidden="1" x14ac:dyDescent="0.2"/>
    <row r="7104" hidden="1" x14ac:dyDescent="0.2"/>
    <row r="7105" hidden="1" x14ac:dyDescent="0.2"/>
    <row r="7106" hidden="1" x14ac:dyDescent="0.2"/>
    <row r="7107" hidden="1" x14ac:dyDescent="0.2"/>
    <row r="7108" hidden="1" x14ac:dyDescent="0.2"/>
    <row r="7109" hidden="1" x14ac:dyDescent="0.2"/>
    <row r="7110" hidden="1" x14ac:dyDescent="0.2"/>
    <row r="7111" hidden="1" x14ac:dyDescent="0.2"/>
    <row r="7112" hidden="1" x14ac:dyDescent="0.2"/>
    <row r="7113" hidden="1" x14ac:dyDescent="0.2"/>
    <row r="7114" hidden="1" x14ac:dyDescent="0.2"/>
    <row r="7115" hidden="1" x14ac:dyDescent="0.2"/>
    <row r="7116" hidden="1" x14ac:dyDescent="0.2"/>
    <row r="7117" hidden="1" x14ac:dyDescent="0.2"/>
    <row r="7118" hidden="1" x14ac:dyDescent="0.2"/>
    <row r="7119" hidden="1" x14ac:dyDescent="0.2"/>
    <row r="7120" hidden="1" x14ac:dyDescent="0.2"/>
    <row r="7121" hidden="1" x14ac:dyDescent="0.2"/>
    <row r="7122" hidden="1" x14ac:dyDescent="0.2"/>
    <row r="7123" hidden="1" x14ac:dyDescent="0.2"/>
    <row r="7124" hidden="1" x14ac:dyDescent="0.2"/>
    <row r="7125" hidden="1" x14ac:dyDescent="0.2"/>
    <row r="7126" hidden="1" x14ac:dyDescent="0.2"/>
    <row r="7127" hidden="1" x14ac:dyDescent="0.2"/>
    <row r="7128" hidden="1" x14ac:dyDescent="0.2"/>
    <row r="7129" hidden="1" x14ac:dyDescent="0.2"/>
    <row r="7130" hidden="1" x14ac:dyDescent="0.2"/>
    <row r="7131" hidden="1" x14ac:dyDescent="0.2"/>
    <row r="7132" hidden="1" x14ac:dyDescent="0.2"/>
    <row r="7133" hidden="1" x14ac:dyDescent="0.2"/>
    <row r="7134" hidden="1" x14ac:dyDescent="0.2"/>
    <row r="7135" hidden="1" x14ac:dyDescent="0.2"/>
    <row r="7136" hidden="1" x14ac:dyDescent="0.2"/>
    <row r="7137" hidden="1" x14ac:dyDescent="0.2"/>
    <row r="7138" hidden="1" x14ac:dyDescent="0.2"/>
    <row r="7139" hidden="1" x14ac:dyDescent="0.2"/>
    <row r="7140" hidden="1" x14ac:dyDescent="0.2"/>
    <row r="7141" hidden="1" x14ac:dyDescent="0.2"/>
    <row r="7142" hidden="1" x14ac:dyDescent="0.2"/>
    <row r="7143" hidden="1" x14ac:dyDescent="0.2"/>
    <row r="7144" hidden="1" x14ac:dyDescent="0.2"/>
    <row r="7145" hidden="1" x14ac:dyDescent="0.2"/>
    <row r="7146" hidden="1" x14ac:dyDescent="0.2"/>
    <row r="7147" hidden="1" x14ac:dyDescent="0.2"/>
    <row r="7148" hidden="1" x14ac:dyDescent="0.2"/>
    <row r="7149" hidden="1" x14ac:dyDescent="0.2"/>
    <row r="7150" hidden="1" x14ac:dyDescent="0.2"/>
    <row r="7151" hidden="1" x14ac:dyDescent="0.2"/>
    <row r="7152" hidden="1" x14ac:dyDescent="0.2"/>
    <row r="7153" hidden="1" x14ac:dyDescent="0.2"/>
    <row r="7154" hidden="1" x14ac:dyDescent="0.2"/>
    <row r="7155" hidden="1" x14ac:dyDescent="0.2"/>
    <row r="7156" hidden="1" x14ac:dyDescent="0.2"/>
    <row r="7157" hidden="1" x14ac:dyDescent="0.2"/>
    <row r="7158" hidden="1" x14ac:dyDescent="0.2"/>
    <row r="7159" hidden="1" x14ac:dyDescent="0.2"/>
    <row r="7160" hidden="1" x14ac:dyDescent="0.2"/>
    <row r="7161" hidden="1" x14ac:dyDescent="0.2"/>
    <row r="7162" hidden="1" x14ac:dyDescent="0.2"/>
    <row r="7163" hidden="1" x14ac:dyDescent="0.2"/>
    <row r="7164" hidden="1" x14ac:dyDescent="0.2"/>
    <row r="7165" hidden="1" x14ac:dyDescent="0.2"/>
    <row r="7166" hidden="1" x14ac:dyDescent="0.2"/>
    <row r="7167" hidden="1" x14ac:dyDescent="0.2"/>
    <row r="7168" hidden="1" x14ac:dyDescent="0.2"/>
    <row r="7169" hidden="1" x14ac:dyDescent="0.2"/>
    <row r="7170" hidden="1" x14ac:dyDescent="0.2"/>
    <row r="7171" hidden="1" x14ac:dyDescent="0.2"/>
    <row r="7172" hidden="1" x14ac:dyDescent="0.2"/>
    <row r="7173" hidden="1" x14ac:dyDescent="0.2"/>
    <row r="7174" hidden="1" x14ac:dyDescent="0.2"/>
    <row r="7175" hidden="1" x14ac:dyDescent="0.2"/>
    <row r="7176" hidden="1" x14ac:dyDescent="0.2"/>
    <row r="7177" hidden="1" x14ac:dyDescent="0.2"/>
    <row r="7178" hidden="1" x14ac:dyDescent="0.2"/>
    <row r="7179" hidden="1" x14ac:dyDescent="0.2"/>
    <row r="7180" hidden="1" x14ac:dyDescent="0.2"/>
    <row r="7181" hidden="1" x14ac:dyDescent="0.2"/>
    <row r="7182" hidden="1" x14ac:dyDescent="0.2"/>
    <row r="7183" hidden="1" x14ac:dyDescent="0.2"/>
    <row r="7184" hidden="1" x14ac:dyDescent="0.2"/>
    <row r="7185" hidden="1" x14ac:dyDescent="0.2"/>
    <row r="7186" hidden="1" x14ac:dyDescent="0.2"/>
    <row r="7187" hidden="1" x14ac:dyDescent="0.2"/>
    <row r="7188" hidden="1" x14ac:dyDescent="0.2"/>
    <row r="7189" hidden="1" x14ac:dyDescent="0.2"/>
    <row r="7190" hidden="1" x14ac:dyDescent="0.2"/>
    <row r="7191" hidden="1" x14ac:dyDescent="0.2"/>
    <row r="7192" hidden="1" x14ac:dyDescent="0.2"/>
    <row r="7193" hidden="1" x14ac:dyDescent="0.2"/>
    <row r="7194" hidden="1" x14ac:dyDescent="0.2"/>
    <row r="7195" hidden="1" x14ac:dyDescent="0.2"/>
    <row r="7196" hidden="1" x14ac:dyDescent="0.2"/>
    <row r="7197" hidden="1" x14ac:dyDescent="0.2"/>
    <row r="7198" hidden="1" x14ac:dyDescent="0.2"/>
    <row r="7199" hidden="1" x14ac:dyDescent="0.2"/>
    <row r="7200" hidden="1" x14ac:dyDescent="0.2"/>
    <row r="7201" hidden="1" x14ac:dyDescent="0.2"/>
    <row r="7202" hidden="1" x14ac:dyDescent="0.2"/>
    <row r="7203" hidden="1" x14ac:dyDescent="0.2"/>
    <row r="7204" hidden="1" x14ac:dyDescent="0.2"/>
    <row r="7205" hidden="1" x14ac:dyDescent="0.2"/>
    <row r="7206" hidden="1" x14ac:dyDescent="0.2"/>
    <row r="7207" hidden="1" x14ac:dyDescent="0.2"/>
    <row r="7208" hidden="1" x14ac:dyDescent="0.2"/>
    <row r="7209" hidden="1" x14ac:dyDescent="0.2"/>
    <row r="7210" hidden="1" x14ac:dyDescent="0.2"/>
    <row r="7211" hidden="1" x14ac:dyDescent="0.2"/>
    <row r="7212" hidden="1" x14ac:dyDescent="0.2"/>
    <row r="7213" hidden="1" x14ac:dyDescent="0.2"/>
    <row r="7214" hidden="1" x14ac:dyDescent="0.2"/>
    <row r="7215" hidden="1" x14ac:dyDescent="0.2"/>
    <row r="7216" hidden="1" x14ac:dyDescent="0.2"/>
    <row r="7217" hidden="1" x14ac:dyDescent="0.2"/>
    <row r="7218" hidden="1" x14ac:dyDescent="0.2"/>
    <row r="7219" hidden="1" x14ac:dyDescent="0.2"/>
    <row r="7220" hidden="1" x14ac:dyDescent="0.2"/>
    <row r="7221" hidden="1" x14ac:dyDescent="0.2"/>
    <row r="7222" hidden="1" x14ac:dyDescent="0.2"/>
    <row r="7223" hidden="1" x14ac:dyDescent="0.2"/>
    <row r="7224" hidden="1" x14ac:dyDescent="0.2"/>
    <row r="7225" hidden="1" x14ac:dyDescent="0.2"/>
    <row r="7226" hidden="1" x14ac:dyDescent="0.2"/>
    <row r="7227" hidden="1" x14ac:dyDescent="0.2"/>
    <row r="7228" hidden="1" x14ac:dyDescent="0.2"/>
    <row r="7229" hidden="1" x14ac:dyDescent="0.2"/>
    <row r="7230" hidden="1" x14ac:dyDescent="0.2"/>
    <row r="7231" hidden="1" x14ac:dyDescent="0.2"/>
    <row r="7232" hidden="1" x14ac:dyDescent="0.2"/>
    <row r="7233" hidden="1" x14ac:dyDescent="0.2"/>
    <row r="7234" hidden="1" x14ac:dyDescent="0.2"/>
    <row r="7235" hidden="1" x14ac:dyDescent="0.2"/>
    <row r="7236" hidden="1" x14ac:dyDescent="0.2"/>
    <row r="7237" hidden="1" x14ac:dyDescent="0.2"/>
    <row r="7238" hidden="1" x14ac:dyDescent="0.2"/>
    <row r="7239" hidden="1" x14ac:dyDescent="0.2"/>
    <row r="7240" hidden="1" x14ac:dyDescent="0.2"/>
    <row r="7241" hidden="1" x14ac:dyDescent="0.2"/>
    <row r="7242" hidden="1" x14ac:dyDescent="0.2"/>
    <row r="7243" hidden="1" x14ac:dyDescent="0.2"/>
    <row r="7244" hidden="1" x14ac:dyDescent="0.2"/>
    <row r="7245" hidden="1" x14ac:dyDescent="0.2"/>
    <row r="7246" hidden="1" x14ac:dyDescent="0.2"/>
    <row r="7247" hidden="1" x14ac:dyDescent="0.2"/>
    <row r="7248" hidden="1" x14ac:dyDescent="0.2"/>
    <row r="7249" hidden="1" x14ac:dyDescent="0.2"/>
    <row r="7250" hidden="1" x14ac:dyDescent="0.2"/>
    <row r="7251" hidden="1" x14ac:dyDescent="0.2"/>
    <row r="7252" hidden="1" x14ac:dyDescent="0.2"/>
    <row r="7253" hidden="1" x14ac:dyDescent="0.2"/>
    <row r="7254" hidden="1" x14ac:dyDescent="0.2"/>
    <row r="7255" hidden="1" x14ac:dyDescent="0.2"/>
    <row r="7256" hidden="1" x14ac:dyDescent="0.2"/>
    <row r="7257" hidden="1" x14ac:dyDescent="0.2"/>
    <row r="7258" hidden="1" x14ac:dyDescent="0.2"/>
    <row r="7259" hidden="1" x14ac:dyDescent="0.2"/>
    <row r="7260" hidden="1" x14ac:dyDescent="0.2"/>
    <row r="7261" hidden="1" x14ac:dyDescent="0.2"/>
    <row r="7262" hidden="1" x14ac:dyDescent="0.2"/>
    <row r="7263" hidden="1" x14ac:dyDescent="0.2"/>
    <row r="7264" hidden="1" x14ac:dyDescent="0.2"/>
    <row r="7265" hidden="1" x14ac:dyDescent="0.2"/>
    <row r="7266" hidden="1" x14ac:dyDescent="0.2"/>
    <row r="7267" hidden="1" x14ac:dyDescent="0.2"/>
    <row r="7268" hidden="1" x14ac:dyDescent="0.2"/>
    <row r="7269" hidden="1" x14ac:dyDescent="0.2"/>
    <row r="7270" hidden="1" x14ac:dyDescent="0.2"/>
    <row r="7271" hidden="1" x14ac:dyDescent="0.2"/>
    <row r="7272" hidden="1" x14ac:dyDescent="0.2"/>
    <row r="7273" hidden="1" x14ac:dyDescent="0.2"/>
    <row r="7274" hidden="1" x14ac:dyDescent="0.2"/>
    <row r="7275" hidden="1" x14ac:dyDescent="0.2"/>
    <row r="7276" hidden="1" x14ac:dyDescent="0.2"/>
    <row r="7277" hidden="1" x14ac:dyDescent="0.2"/>
    <row r="7278" hidden="1" x14ac:dyDescent="0.2"/>
    <row r="7279" hidden="1" x14ac:dyDescent="0.2"/>
    <row r="7280" hidden="1" x14ac:dyDescent="0.2"/>
    <row r="7281" hidden="1" x14ac:dyDescent="0.2"/>
    <row r="7282" hidden="1" x14ac:dyDescent="0.2"/>
    <row r="7283" hidden="1" x14ac:dyDescent="0.2"/>
    <row r="7284" hidden="1" x14ac:dyDescent="0.2"/>
    <row r="7285" hidden="1" x14ac:dyDescent="0.2"/>
    <row r="7286" hidden="1" x14ac:dyDescent="0.2"/>
    <row r="7287" hidden="1" x14ac:dyDescent="0.2"/>
    <row r="7288" hidden="1" x14ac:dyDescent="0.2"/>
    <row r="7289" hidden="1" x14ac:dyDescent="0.2"/>
    <row r="7290" hidden="1" x14ac:dyDescent="0.2"/>
    <row r="7291" hidden="1" x14ac:dyDescent="0.2"/>
    <row r="7292" hidden="1" x14ac:dyDescent="0.2"/>
    <row r="7293" hidden="1" x14ac:dyDescent="0.2"/>
    <row r="7294" hidden="1" x14ac:dyDescent="0.2"/>
    <row r="7295" hidden="1" x14ac:dyDescent="0.2"/>
    <row r="7296" hidden="1" x14ac:dyDescent="0.2"/>
    <row r="7297" hidden="1" x14ac:dyDescent="0.2"/>
    <row r="7298" hidden="1" x14ac:dyDescent="0.2"/>
    <row r="7299" hidden="1" x14ac:dyDescent="0.2"/>
    <row r="7300" hidden="1" x14ac:dyDescent="0.2"/>
    <row r="7301" hidden="1" x14ac:dyDescent="0.2"/>
    <row r="7302" hidden="1" x14ac:dyDescent="0.2"/>
    <row r="7303" hidden="1" x14ac:dyDescent="0.2"/>
    <row r="7304" hidden="1" x14ac:dyDescent="0.2"/>
    <row r="7305" hidden="1" x14ac:dyDescent="0.2"/>
    <row r="7306" hidden="1" x14ac:dyDescent="0.2"/>
    <row r="7307" hidden="1" x14ac:dyDescent="0.2"/>
    <row r="7308" hidden="1" x14ac:dyDescent="0.2"/>
    <row r="7309" hidden="1" x14ac:dyDescent="0.2"/>
    <row r="7310" hidden="1" x14ac:dyDescent="0.2"/>
    <row r="7311" hidden="1" x14ac:dyDescent="0.2"/>
    <row r="7312" hidden="1" x14ac:dyDescent="0.2"/>
    <row r="7313" hidden="1" x14ac:dyDescent="0.2"/>
    <row r="7314" hidden="1" x14ac:dyDescent="0.2"/>
    <row r="7315" hidden="1" x14ac:dyDescent="0.2"/>
    <row r="7316" hidden="1" x14ac:dyDescent="0.2"/>
    <row r="7317" hidden="1" x14ac:dyDescent="0.2"/>
    <row r="7318" hidden="1" x14ac:dyDescent="0.2"/>
    <row r="7319" hidden="1" x14ac:dyDescent="0.2"/>
    <row r="7320" hidden="1" x14ac:dyDescent="0.2"/>
    <row r="7321" hidden="1" x14ac:dyDescent="0.2"/>
    <row r="7322" hidden="1" x14ac:dyDescent="0.2"/>
    <row r="7323" hidden="1" x14ac:dyDescent="0.2"/>
    <row r="7324" hidden="1" x14ac:dyDescent="0.2"/>
    <row r="7325" hidden="1" x14ac:dyDescent="0.2"/>
    <row r="7326" hidden="1" x14ac:dyDescent="0.2"/>
    <row r="7327" hidden="1" x14ac:dyDescent="0.2"/>
    <row r="7328" hidden="1" x14ac:dyDescent="0.2"/>
    <row r="7329" hidden="1" x14ac:dyDescent="0.2"/>
    <row r="7330" hidden="1" x14ac:dyDescent="0.2"/>
    <row r="7331" hidden="1" x14ac:dyDescent="0.2"/>
    <row r="7332" hidden="1" x14ac:dyDescent="0.2"/>
    <row r="7333" hidden="1" x14ac:dyDescent="0.2"/>
    <row r="7334" hidden="1" x14ac:dyDescent="0.2"/>
    <row r="7335" hidden="1" x14ac:dyDescent="0.2"/>
    <row r="7336" hidden="1" x14ac:dyDescent="0.2"/>
    <row r="7337" hidden="1" x14ac:dyDescent="0.2"/>
    <row r="7338" hidden="1" x14ac:dyDescent="0.2"/>
    <row r="7339" hidden="1" x14ac:dyDescent="0.2"/>
    <row r="7340" hidden="1" x14ac:dyDescent="0.2"/>
    <row r="7341" hidden="1" x14ac:dyDescent="0.2"/>
    <row r="7342" hidden="1" x14ac:dyDescent="0.2"/>
    <row r="7343" hidden="1" x14ac:dyDescent="0.2"/>
    <row r="7344" hidden="1" x14ac:dyDescent="0.2"/>
    <row r="7345" hidden="1" x14ac:dyDescent="0.2"/>
    <row r="7346" hidden="1" x14ac:dyDescent="0.2"/>
    <row r="7347" hidden="1" x14ac:dyDescent="0.2"/>
    <row r="7348" hidden="1" x14ac:dyDescent="0.2"/>
    <row r="7349" hidden="1" x14ac:dyDescent="0.2"/>
    <row r="7350" hidden="1" x14ac:dyDescent="0.2"/>
    <row r="7351" hidden="1" x14ac:dyDescent="0.2"/>
    <row r="7352" hidden="1" x14ac:dyDescent="0.2"/>
    <row r="7353" hidden="1" x14ac:dyDescent="0.2"/>
    <row r="7354" hidden="1" x14ac:dyDescent="0.2"/>
    <row r="7355" hidden="1" x14ac:dyDescent="0.2"/>
    <row r="7356" hidden="1" x14ac:dyDescent="0.2"/>
    <row r="7357" hidden="1" x14ac:dyDescent="0.2"/>
    <row r="7358" hidden="1" x14ac:dyDescent="0.2"/>
    <row r="7359" hidden="1" x14ac:dyDescent="0.2"/>
    <row r="7360" hidden="1" x14ac:dyDescent="0.2"/>
    <row r="7361" hidden="1" x14ac:dyDescent="0.2"/>
    <row r="7362" hidden="1" x14ac:dyDescent="0.2"/>
    <row r="7363" hidden="1" x14ac:dyDescent="0.2"/>
    <row r="7364" hidden="1" x14ac:dyDescent="0.2"/>
    <row r="7365" hidden="1" x14ac:dyDescent="0.2"/>
    <row r="7366" hidden="1" x14ac:dyDescent="0.2"/>
    <row r="7367" hidden="1" x14ac:dyDescent="0.2"/>
    <row r="7368" hidden="1" x14ac:dyDescent="0.2"/>
    <row r="7369" hidden="1" x14ac:dyDescent="0.2"/>
    <row r="7370" hidden="1" x14ac:dyDescent="0.2"/>
    <row r="7371" hidden="1" x14ac:dyDescent="0.2"/>
    <row r="7372" hidden="1" x14ac:dyDescent="0.2"/>
    <row r="7373" hidden="1" x14ac:dyDescent="0.2"/>
    <row r="7374" hidden="1" x14ac:dyDescent="0.2"/>
    <row r="7375" hidden="1" x14ac:dyDescent="0.2"/>
    <row r="7376" hidden="1" x14ac:dyDescent="0.2"/>
    <row r="7377" hidden="1" x14ac:dyDescent="0.2"/>
    <row r="7378" hidden="1" x14ac:dyDescent="0.2"/>
    <row r="7379" hidden="1" x14ac:dyDescent="0.2"/>
    <row r="7380" hidden="1" x14ac:dyDescent="0.2"/>
    <row r="7381" hidden="1" x14ac:dyDescent="0.2"/>
    <row r="7382" hidden="1" x14ac:dyDescent="0.2"/>
    <row r="7383" hidden="1" x14ac:dyDescent="0.2"/>
    <row r="7384" hidden="1" x14ac:dyDescent="0.2"/>
    <row r="7385" hidden="1" x14ac:dyDescent="0.2"/>
    <row r="7386" hidden="1" x14ac:dyDescent="0.2"/>
    <row r="7387" hidden="1" x14ac:dyDescent="0.2"/>
    <row r="7388" hidden="1" x14ac:dyDescent="0.2"/>
    <row r="7389" hidden="1" x14ac:dyDescent="0.2"/>
    <row r="7390" hidden="1" x14ac:dyDescent="0.2"/>
    <row r="7391" hidden="1" x14ac:dyDescent="0.2"/>
    <row r="7392" hidden="1" x14ac:dyDescent="0.2"/>
    <row r="7393" hidden="1" x14ac:dyDescent="0.2"/>
    <row r="7394" hidden="1" x14ac:dyDescent="0.2"/>
    <row r="7395" hidden="1" x14ac:dyDescent="0.2"/>
    <row r="7396" hidden="1" x14ac:dyDescent="0.2"/>
    <row r="7397" hidden="1" x14ac:dyDescent="0.2"/>
    <row r="7398" hidden="1" x14ac:dyDescent="0.2"/>
    <row r="7399" hidden="1" x14ac:dyDescent="0.2"/>
    <row r="7400" hidden="1" x14ac:dyDescent="0.2"/>
    <row r="7401" hidden="1" x14ac:dyDescent="0.2"/>
    <row r="7402" hidden="1" x14ac:dyDescent="0.2"/>
    <row r="7403" hidden="1" x14ac:dyDescent="0.2"/>
    <row r="7404" hidden="1" x14ac:dyDescent="0.2"/>
    <row r="7405" hidden="1" x14ac:dyDescent="0.2"/>
    <row r="7406" hidden="1" x14ac:dyDescent="0.2"/>
    <row r="7407" hidden="1" x14ac:dyDescent="0.2"/>
    <row r="7408" hidden="1" x14ac:dyDescent="0.2"/>
    <row r="7409" hidden="1" x14ac:dyDescent="0.2"/>
    <row r="7410" hidden="1" x14ac:dyDescent="0.2"/>
    <row r="7411" hidden="1" x14ac:dyDescent="0.2"/>
    <row r="7412" hidden="1" x14ac:dyDescent="0.2"/>
    <row r="7413" hidden="1" x14ac:dyDescent="0.2"/>
    <row r="7414" hidden="1" x14ac:dyDescent="0.2"/>
    <row r="7415" hidden="1" x14ac:dyDescent="0.2"/>
    <row r="7416" hidden="1" x14ac:dyDescent="0.2"/>
    <row r="7417" hidden="1" x14ac:dyDescent="0.2"/>
    <row r="7418" hidden="1" x14ac:dyDescent="0.2"/>
    <row r="7419" hidden="1" x14ac:dyDescent="0.2"/>
    <row r="7420" hidden="1" x14ac:dyDescent="0.2"/>
    <row r="7421" hidden="1" x14ac:dyDescent="0.2"/>
    <row r="7422" hidden="1" x14ac:dyDescent="0.2"/>
    <row r="7423" hidden="1" x14ac:dyDescent="0.2"/>
    <row r="7424" hidden="1" x14ac:dyDescent="0.2"/>
    <row r="7425" hidden="1" x14ac:dyDescent="0.2"/>
    <row r="7426" hidden="1" x14ac:dyDescent="0.2"/>
    <row r="7427" hidden="1" x14ac:dyDescent="0.2"/>
    <row r="7428" hidden="1" x14ac:dyDescent="0.2"/>
    <row r="7429" hidden="1" x14ac:dyDescent="0.2"/>
    <row r="7430" hidden="1" x14ac:dyDescent="0.2"/>
    <row r="7431" hidden="1" x14ac:dyDescent="0.2"/>
    <row r="7432" hidden="1" x14ac:dyDescent="0.2"/>
    <row r="7433" hidden="1" x14ac:dyDescent="0.2"/>
    <row r="7434" hidden="1" x14ac:dyDescent="0.2"/>
    <row r="7435" hidden="1" x14ac:dyDescent="0.2"/>
    <row r="7436" hidden="1" x14ac:dyDescent="0.2"/>
    <row r="7437" hidden="1" x14ac:dyDescent="0.2"/>
    <row r="7438" hidden="1" x14ac:dyDescent="0.2"/>
    <row r="7439" hidden="1" x14ac:dyDescent="0.2"/>
    <row r="7440" hidden="1" x14ac:dyDescent="0.2"/>
    <row r="7441" hidden="1" x14ac:dyDescent="0.2"/>
    <row r="7442" hidden="1" x14ac:dyDescent="0.2"/>
    <row r="7443" hidden="1" x14ac:dyDescent="0.2"/>
    <row r="7444" hidden="1" x14ac:dyDescent="0.2"/>
    <row r="7445" hidden="1" x14ac:dyDescent="0.2"/>
    <row r="7446" hidden="1" x14ac:dyDescent="0.2"/>
    <row r="7447" hidden="1" x14ac:dyDescent="0.2"/>
    <row r="7448" hidden="1" x14ac:dyDescent="0.2"/>
    <row r="7449" hidden="1" x14ac:dyDescent="0.2"/>
    <row r="7450" hidden="1" x14ac:dyDescent="0.2"/>
    <row r="7451" hidden="1" x14ac:dyDescent="0.2"/>
    <row r="7452" hidden="1" x14ac:dyDescent="0.2"/>
    <row r="7453" hidden="1" x14ac:dyDescent="0.2"/>
    <row r="7454" hidden="1" x14ac:dyDescent="0.2"/>
    <row r="7455" hidden="1" x14ac:dyDescent="0.2"/>
    <row r="7456" hidden="1" x14ac:dyDescent="0.2"/>
    <row r="7457" hidden="1" x14ac:dyDescent="0.2"/>
    <row r="7458" hidden="1" x14ac:dyDescent="0.2"/>
    <row r="7459" hidden="1" x14ac:dyDescent="0.2"/>
    <row r="7460" hidden="1" x14ac:dyDescent="0.2"/>
    <row r="7461" hidden="1" x14ac:dyDescent="0.2"/>
    <row r="7462" hidden="1" x14ac:dyDescent="0.2"/>
    <row r="7463" hidden="1" x14ac:dyDescent="0.2"/>
    <row r="7464" hidden="1" x14ac:dyDescent="0.2"/>
    <row r="7465" hidden="1" x14ac:dyDescent="0.2"/>
    <row r="7466" hidden="1" x14ac:dyDescent="0.2"/>
    <row r="7467" hidden="1" x14ac:dyDescent="0.2"/>
    <row r="7468" hidden="1" x14ac:dyDescent="0.2"/>
    <row r="7469" hidden="1" x14ac:dyDescent="0.2"/>
    <row r="7470" hidden="1" x14ac:dyDescent="0.2"/>
    <row r="7471" hidden="1" x14ac:dyDescent="0.2"/>
    <row r="7472" hidden="1" x14ac:dyDescent="0.2"/>
    <row r="7473" hidden="1" x14ac:dyDescent="0.2"/>
    <row r="7474" hidden="1" x14ac:dyDescent="0.2"/>
    <row r="7475" hidden="1" x14ac:dyDescent="0.2"/>
    <row r="7476" hidden="1" x14ac:dyDescent="0.2"/>
    <row r="7477" hidden="1" x14ac:dyDescent="0.2"/>
    <row r="7478" hidden="1" x14ac:dyDescent="0.2"/>
    <row r="7479" hidden="1" x14ac:dyDescent="0.2"/>
    <row r="7480" hidden="1" x14ac:dyDescent="0.2"/>
    <row r="7481" hidden="1" x14ac:dyDescent="0.2"/>
    <row r="7482" hidden="1" x14ac:dyDescent="0.2"/>
    <row r="7483" hidden="1" x14ac:dyDescent="0.2"/>
    <row r="7484" hidden="1" x14ac:dyDescent="0.2"/>
    <row r="7485" hidden="1" x14ac:dyDescent="0.2"/>
    <row r="7486" hidden="1" x14ac:dyDescent="0.2"/>
    <row r="7487" hidden="1" x14ac:dyDescent="0.2"/>
    <row r="7488" hidden="1" x14ac:dyDescent="0.2"/>
    <row r="7489" hidden="1" x14ac:dyDescent="0.2"/>
    <row r="7490" hidden="1" x14ac:dyDescent="0.2"/>
    <row r="7491" hidden="1" x14ac:dyDescent="0.2"/>
    <row r="7492" hidden="1" x14ac:dyDescent="0.2"/>
    <row r="7493" hidden="1" x14ac:dyDescent="0.2"/>
    <row r="7494" hidden="1" x14ac:dyDescent="0.2"/>
    <row r="7495" hidden="1" x14ac:dyDescent="0.2"/>
    <row r="7496" hidden="1" x14ac:dyDescent="0.2"/>
    <row r="7497" hidden="1" x14ac:dyDescent="0.2"/>
    <row r="7498" hidden="1" x14ac:dyDescent="0.2"/>
    <row r="7499" hidden="1" x14ac:dyDescent="0.2"/>
    <row r="7500" hidden="1" x14ac:dyDescent="0.2"/>
    <row r="7501" hidden="1" x14ac:dyDescent="0.2"/>
    <row r="7502" hidden="1" x14ac:dyDescent="0.2"/>
    <row r="7503" hidden="1" x14ac:dyDescent="0.2"/>
    <row r="7504" hidden="1" x14ac:dyDescent="0.2"/>
    <row r="7505" hidden="1" x14ac:dyDescent="0.2"/>
    <row r="7506" hidden="1" x14ac:dyDescent="0.2"/>
    <row r="7507" hidden="1" x14ac:dyDescent="0.2"/>
    <row r="7508" hidden="1" x14ac:dyDescent="0.2"/>
    <row r="7509" hidden="1" x14ac:dyDescent="0.2"/>
    <row r="7510" hidden="1" x14ac:dyDescent="0.2"/>
    <row r="7511" hidden="1" x14ac:dyDescent="0.2"/>
    <row r="7512" hidden="1" x14ac:dyDescent="0.2"/>
    <row r="7513" hidden="1" x14ac:dyDescent="0.2"/>
    <row r="7514" hidden="1" x14ac:dyDescent="0.2"/>
    <row r="7515" hidden="1" x14ac:dyDescent="0.2"/>
    <row r="7516" hidden="1" x14ac:dyDescent="0.2"/>
    <row r="7517" hidden="1" x14ac:dyDescent="0.2"/>
    <row r="7518" hidden="1" x14ac:dyDescent="0.2"/>
    <row r="7519" hidden="1" x14ac:dyDescent="0.2"/>
    <row r="7520" hidden="1" x14ac:dyDescent="0.2"/>
    <row r="7521" hidden="1" x14ac:dyDescent="0.2"/>
    <row r="7522" hidden="1" x14ac:dyDescent="0.2"/>
    <row r="7523" hidden="1" x14ac:dyDescent="0.2"/>
    <row r="7524" hidden="1" x14ac:dyDescent="0.2"/>
    <row r="7525" hidden="1" x14ac:dyDescent="0.2"/>
    <row r="7526" hidden="1" x14ac:dyDescent="0.2"/>
    <row r="7527" hidden="1" x14ac:dyDescent="0.2"/>
    <row r="7528" hidden="1" x14ac:dyDescent="0.2"/>
    <row r="7529" hidden="1" x14ac:dyDescent="0.2"/>
    <row r="7530" hidden="1" x14ac:dyDescent="0.2"/>
    <row r="7531" hidden="1" x14ac:dyDescent="0.2"/>
    <row r="7532" hidden="1" x14ac:dyDescent="0.2"/>
    <row r="7533" hidden="1" x14ac:dyDescent="0.2"/>
    <row r="7534" hidden="1" x14ac:dyDescent="0.2"/>
    <row r="7535" hidden="1" x14ac:dyDescent="0.2"/>
    <row r="7536" hidden="1" x14ac:dyDescent="0.2"/>
    <row r="7537" hidden="1" x14ac:dyDescent="0.2"/>
    <row r="7538" hidden="1" x14ac:dyDescent="0.2"/>
    <row r="7539" hidden="1" x14ac:dyDescent="0.2"/>
    <row r="7540" hidden="1" x14ac:dyDescent="0.2"/>
    <row r="7541" hidden="1" x14ac:dyDescent="0.2"/>
    <row r="7542" hidden="1" x14ac:dyDescent="0.2"/>
    <row r="7543" hidden="1" x14ac:dyDescent="0.2"/>
    <row r="7544" hidden="1" x14ac:dyDescent="0.2"/>
    <row r="7545" hidden="1" x14ac:dyDescent="0.2"/>
    <row r="7546" hidden="1" x14ac:dyDescent="0.2"/>
    <row r="7547" hidden="1" x14ac:dyDescent="0.2"/>
    <row r="7548" hidden="1" x14ac:dyDescent="0.2"/>
    <row r="7549" hidden="1" x14ac:dyDescent="0.2"/>
    <row r="7550" hidden="1" x14ac:dyDescent="0.2"/>
    <row r="7551" hidden="1" x14ac:dyDescent="0.2"/>
    <row r="7552" hidden="1" x14ac:dyDescent="0.2"/>
    <row r="7553" hidden="1" x14ac:dyDescent="0.2"/>
    <row r="7554" hidden="1" x14ac:dyDescent="0.2"/>
    <row r="7555" hidden="1" x14ac:dyDescent="0.2"/>
    <row r="7556" hidden="1" x14ac:dyDescent="0.2"/>
    <row r="7557" hidden="1" x14ac:dyDescent="0.2"/>
    <row r="7558" hidden="1" x14ac:dyDescent="0.2"/>
    <row r="7559" hidden="1" x14ac:dyDescent="0.2"/>
    <row r="7560" hidden="1" x14ac:dyDescent="0.2"/>
    <row r="7561" hidden="1" x14ac:dyDescent="0.2"/>
    <row r="7562" hidden="1" x14ac:dyDescent="0.2"/>
    <row r="7563" hidden="1" x14ac:dyDescent="0.2"/>
    <row r="7564" hidden="1" x14ac:dyDescent="0.2"/>
    <row r="7565" hidden="1" x14ac:dyDescent="0.2"/>
    <row r="7566" hidden="1" x14ac:dyDescent="0.2"/>
    <row r="7567" hidden="1" x14ac:dyDescent="0.2"/>
    <row r="7568" hidden="1" x14ac:dyDescent="0.2"/>
    <row r="7569" hidden="1" x14ac:dyDescent="0.2"/>
    <row r="7570" hidden="1" x14ac:dyDescent="0.2"/>
    <row r="7571" hidden="1" x14ac:dyDescent="0.2"/>
    <row r="7572" hidden="1" x14ac:dyDescent="0.2"/>
    <row r="7573" hidden="1" x14ac:dyDescent="0.2"/>
    <row r="7574" hidden="1" x14ac:dyDescent="0.2"/>
    <row r="7575" hidden="1" x14ac:dyDescent="0.2"/>
    <row r="7576" hidden="1" x14ac:dyDescent="0.2"/>
    <row r="7577" hidden="1" x14ac:dyDescent="0.2"/>
    <row r="7578" hidden="1" x14ac:dyDescent="0.2"/>
    <row r="7579" hidden="1" x14ac:dyDescent="0.2"/>
    <row r="7580" hidden="1" x14ac:dyDescent="0.2"/>
    <row r="7581" hidden="1" x14ac:dyDescent="0.2"/>
    <row r="7582" hidden="1" x14ac:dyDescent="0.2"/>
    <row r="7583" hidden="1" x14ac:dyDescent="0.2"/>
    <row r="7584" hidden="1" x14ac:dyDescent="0.2"/>
    <row r="7585" hidden="1" x14ac:dyDescent="0.2"/>
    <row r="7586" hidden="1" x14ac:dyDescent="0.2"/>
    <row r="7587" hidden="1" x14ac:dyDescent="0.2"/>
    <row r="7588" hidden="1" x14ac:dyDescent="0.2"/>
    <row r="7589" hidden="1" x14ac:dyDescent="0.2"/>
    <row r="7590" hidden="1" x14ac:dyDescent="0.2"/>
    <row r="7591" hidden="1" x14ac:dyDescent="0.2"/>
    <row r="7592" hidden="1" x14ac:dyDescent="0.2"/>
    <row r="7593" hidden="1" x14ac:dyDescent="0.2"/>
    <row r="7594" hidden="1" x14ac:dyDescent="0.2"/>
    <row r="7595" hidden="1" x14ac:dyDescent="0.2"/>
    <row r="7596" hidden="1" x14ac:dyDescent="0.2"/>
    <row r="7597" hidden="1" x14ac:dyDescent="0.2"/>
    <row r="7598" hidden="1" x14ac:dyDescent="0.2"/>
    <row r="7599" hidden="1" x14ac:dyDescent="0.2"/>
    <row r="7600" hidden="1" x14ac:dyDescent="0.2"/>
    <row r="7601" hidden="1" x14ac:dyDescent="0.2"/>
    <row r="7602" hidden="1" x14ac:dyDescent="0.2"/>
    <row r="7603" hidden="1" x14ac:dyDescent="0.2"/>
    <row r="7604" hidden="1" x14ac:dyDescent="0.2"/>
    <row r="7605" hidden="1" x14ac:dyDescent="0.2"/>
    <row r="7606" hidden="1" x14ac:dyDescent="0.2"/>
    <row r="7607" hidden="1" x14ac:dyDescent="0.2"/>
    <row r="7608" hidden="1" x14ac:dyDescent="0.2"/>
    <row r="7609" hidden="1" x14ac:dyDescent="0.2"/>
    <row r="7610" hidden="1" x14ac:dyDescent="0.2"/>
    <row r="7611" hidden="1" x14ac:dyDescent="0.2"/>
    <row r="7612" hidden="1" x14ac:dyDescent="0.2"/>
    <row r="7613" hidden="1" x14ac:dyDescent="0.2"/>
    <row r="7614" hidden="1" x14ac:dyDescent="0.2"/>
    <row r="7615" hidden="1" x14ac:dyDescent="0.2"/>
    <row r="7616" hidden="1" x14ac:dyDescent="0.2"/>
    <row r="7617" hidden="1" x14ac:dyDescent="0.2"/>
    <row r="7618" hidden="1" x14ac:dyDescent="0.2"/>
    <row r="7619" hidden="1" x14ac:dyDescent="0.2"/>
    <row r="7620" hidden="1" x14ac:dyDescent="0.2"/>
    <row r="7621" hidden="1" x14ac:dyDescent="0.2"/>
    <row r="7622" hidden="1" x14ac:dyDescent="0.2"/>
    <row r="7623" hidden="1" x14ac:dyDescent="0.2"/>
    <row r="7624" hidden="1" x14ac:dyDescent="0.2"/>
    <row r="7625" hidden="1" x14ac:dyDescent="0.2"/>
    <row r="7626" hidden="1" x14ac:dyDescent="0.2"/>
    <row r="7627" hidden="1" x14ac:dyDescent="0.2"/>
    <row r="7628" hidden="1" x14ac:dyDescent="0.2"/>
    <row r="7629" hidden="1" x14ac:dyDescent="0.2"/>
    <row r="7630" hidden="1" x14ac:dyDescent="0.2"/>
    <row r="7631" hidden="1" x14ac:dyDescent="0.2"/>
    <row r="7632" hidden="1" x14ac:dyDescent="0.2"/>
    <row r="7633" hidden="1" x14ac:dyDescent="0.2"/>
    <row r="7634" hidden="1" x14ac:dyDescent="0.2"/>
    <row r="7635" hidden="1" x14ac:dyDescent="0.2"/>
    <row r="7636" hidden="1" x14ac:dyDescent="0.2"/>
    <row r="7637" hidden="1" x14ac:dyDescent="0.2"/>
    <row r="7638" hidden="1" x14ac:dyDescent="0.2"/>
    <row r="7639" hidden="1" x14ac:dyDescent="0.2"/>
    <row r="7640" hidden="1" x14ac:dyDescent="0.2"/>
    <row r="7641" hidden="1" x14ac:dyDescent="0.2"/>
    <row r="7642" hidden="1" x14ac:dyDescent="0.2"/>
    <row r="7643" hidden="1" x14ac:dyDescent="0.2"/>
    <row r="7644" hidden="1" x14ac:dyDescent="0.2"/>
    <row r="7645" hidden="1" x14ac:dyDescent="0.2"/>
    <row r="7646" hidden="1" x14ac:dyDescent="0.2"/>
    <row r="7647" hidden="1" x14ac:dyDescent="0.2"/>
    <row r="7648" hidden="1" x14ac:dyDescent="0.2"/>
    <row r="7649" hidden="1" x14ac:dyDescent="0.2"/>
    <row r="7650" hidden="1" x14ac:dyDescent="0.2"/>
    <row r="7651" hidden="1" x14ac:dyDescent="0.2"/>
    <row r="7652" hidden="1" x14ac:dyDescent="0.2"/>
    <row r="7653" hidden="1" x14ac:dyDescent="0.2"/>
    <row r="7654" hidden="1" x14ac:dyDescent="0.2"/>
    <row r="7655" hidden="1" x14ac:dyDescent="0.2"/>
    <row r="7656" hidden="1" x14ac:dyDescent="0.2"/>
    <row r="7657" hidden="1" x14ac:dyDescent="0.2"/>
    <row r="7658" hidden="1" x14ac:dyDescent="0.2"/>
    <row r="7659" hidden="1" x14ac:dyDescent="0.2"/>
    <row r="7660" hidden="1" x14ac:dyDescent="0.2"/>
    <row r="7661" hidden="1" x14ac:dyDescent="0.2"/>
    <row r="7662" hidden="1" x14ac:dyDescent="0.2"/>
    <row r="7663" hidden="1" x14ac:dyDescent="0.2"/>
    <row r="7664" hidden="1" x14ac:dyDescent="0.2"/>
    <row r="7665" hidden="1" x14ac:dyDescent="0.2"/>
    <row r="7666" hidden="1" x14ac:dyDescent="0.2"/>
    <row r="7667" hidden="1" x14ac:dyDescent="0.2"/>
    <row r="7668" hidden="1" x14ac:dyDescent="0.2"/>
    <row r="7669" hidden="1" x14ac:dyDescent="0.2"/>
    <row r="7670" hidden="1" x14ac:dyDescent="0.2"/>
    <row r="7671" hidden="1" x14ac:dyDescent="0.2"/>
    <row r="7672" hidden="1" x14ac:dyDescent="0.2"/>
    <row r="7673" hidden="1" x14ac:dyDescent="0.2"/>
    <row r="7674" hidden="1" x14ac:dyDescent="0.2"/>
    <row r="7675" hidden="1" x14ac:dyDescent="0.2"/>
    <row r="7676" hidden="1" x14ac:dyDescent="0.2"/>
    <row r="7677" hidden="1" x14ac:dyDescent="0.2"/>
    <row r="7678" hidden="1" x14ac:dyDescent="0.2"/>
    <row r="7679" hidden="1" x14ac:dyDescent="0.2"/>
    <row r="7680" hidden="1" x14ac:dyDescent="0.2"/>
    <row r="7681" hidden="1" x14ac:dyDescent="0.2"/>
    <row r="7682" hidden="1" x14ac:dyDescent="0.2"/>
    <row r="7683" hidden="1" x14ac:dyDescent="0.2"/>
    <row r="7684" hidden="1" x14ac:dyDescent="0.2"/>
    <row r="7685" hidden="1" x14ac:dyDescent="0.2"/>
    <row r="7686" hidden="1" x14ac:dyDescent="0.2"/>
    <row r="7687" hidden="1" x14ac:dyDescent="0.2"/>
    <row r="7688" hidden="1" x14ac:dyDescent="0.2"/>
    <row r="7689" hidden="1" x14ac:dyDescent="0.2"/>
    <row r="7690" hidden="1" x14ac:dyDescent="0.2"/>
    <row r="7691" hidden="1" x14ac:dyDescent="0.2"/>
    <row r="7692" hidden="1" x14ac:dyDescent="0.2"/>
    <row r="7693" hidden="1" x14ac:dyDescent="0.2"/>
    <row r="7694" hidden="1" x14ac:dyDescent="0.2"/>
    <row r="7695" hidden="1" x14ac:dyDescent="0.2"/>
    <row r="7696" hidden="1" x14ac:dyDescent="0.2"/>
    <row r="7697" hidden="1" x14ac:dyDescent="0.2"/>
    <row r="7698" hidden="1" x14ac:dyDescent="0.2"/>
    <row r="7699" hidden="1" x14ac:dyDescent="0.2"/>
    <row r="7700" hidden="1" x14ac:dyDescent="0.2"/>
    <row r="7701" hidden="1" x14ac:dyDescent="0.2"/>
    <row r="7702" hidden="1" x14ac:dyDescent="0.2"/>
    <row r="7703" hidden="1" x14ac:dyDescent="0.2"/>
    <row r="7704" hidden="1" x14ac:dyDescent="0.2"/>
    <row r="7705" hidden="1" x14ac:dyDescent="0.2"/>
    <row r="7706" hidden="1" x14ac:dyDescent="0.2"/>
    <row r="7707" hidden="1" x14ac:dyDescent="0.2"/>
    <row r="7708" hidden="1" x14ac:dyDescent="0.2"/>
    <row r="7709" hidden="1" x14ac:dyDescent="0.2"/>
    <row r="7710" hidden="1" x14ac:dyDescent="0.2"/>
    <row r="7711" hidden="1" x14ac:dyDescent="0.2"/>
    <row r="7712" hidden="1" x14ac:dyDescent="0.2"/>
    <row r="7713" hidden="1" x14ac:dyDescent="0.2"/>
    <row r="7714" hidden="1" x14ac:dyDescent="0.2"/>
    <row r="7715" hidden="1" x14ac:dyDescent="0.2"/>
    <row r="7716" hidden="1" x14ac:dyDescent="0.2"/>
    <row r="7717" hidden="1" x14ac:dyDescent="0.2"/>
    <row r="7718" hidden="1" x14ac:dyDescent="0.2"/>
    <row r="7719" hidden="1" x14ac:dyDescent="0.2"/>
    <row r="7720" hidden="1" x14ac:dyDescent="0.2"/>
    <row r="7721" hidden="1" x14ac:dyDescent="0.2"/>
    <row r="7722" hidden="1" x14ac:dyDescent="0.2"/>
    <row r="7723" hidden="1" x14ac:dyDescent="0.2"/>
    <row r="7724" hidden="1" x14ac:dyDescent="0.2"/>
    <row r="7725" hidden="1" x14ac:dyDescent="0.2"/>
    <row r="7726" hidden="1" x14ac:dyDescent="0.2"/>
    <row r="7727" hidden="1" x14ac:dyDescent="0.2"/>
    <row r="7728" hidden="1" x14ac:dyDescent="0.2"/>
    <row r="7729" hidden="1" x14ac:dyDescent="0.2"/>
    <row r="7730" hidden="1" x14ac:dyDescent="0.2"/>
    <row r="7731" hidden="1" x14ac:dyDescent="0.2"/>
    <row r="7732" hidden="1" x14ac:dyDescent="0.2"/>
    <row r="7733" hidden="1" x14ac:dyDescent="0.2"/>
    <row r="7734" hidden="1" x14ac:dyDescent="0.2"/>
    <row r="7735" hidden="1" x14ac:dyDescent="0.2"/>
    <row r="7736" hidden="1" x14ac:dyDescent="0.2"/>
    <row r="7737" hidden="1" x14ac:dyDescent="0.2"/>
    <row r="7738" hidden="1" x14ac:dyDescent="0.2"/>
    <row r="7739" hidden="1" x14ac:dyDescent="0.2"/>
    <row r="7740" hidden="1" x14ac:dyDescent="0.2"/>
    <row r="7741" hidden="1" x14ac:dyDescent="0.2"/>
    <row r="7742" hidden="1" x14ac:dyDescent="0.2"/>
    <row r="7743" hidden="1" x14ac:dyDescent="0.2"/>
    <row r="7744" hidden="1" x14ac:dyDescent="0.2"/>
    <row r="7745" hidden="1" x14ac:dyDescent="0.2"/>
    <row r="7746" hidden="1" x14ac:dyDescent="0.2"/>
    <row r="7747" hidden="1" x14ac:dyDescent="0.2"/>
    <row r="7748" hidden="1" x14ac:dyDescent="0.2"/>
    <row r="7749" hidden="1" x14ac:dyDescent="0.2"/>
    <row r="7750" hidden="1" x14ac:dyDescent="0.2"/>
    <row r="7751" hidden="1" x14ac:dyDescent="0.2"/>
    <row r="7752" hidden="1" x14ac:dyDescent="0.2"/>
    <row r="7753" hidden="1" x14ac:dyDescent="0.2"/>
    <row r="7754" hidden="1" x14ac:dyDescent="0.2"/>
    <row r="7755" hidden="1" x14ac:dyDescent="0.2"/>
    <row r="7756" hidden="1" x14ac:dyDescent="0.2"/>
    <row r="7757" hidden="1" x14ac:dyDescent="0.2"/>
    <row r="7758" hidden="1" x14ac:dyDescent="0.2"/>
    <row r="7759" hidden="1" x14ac:dyDescent="0.2"/>
    <row r="7760" hidden="1" x14ac:dyDescent="0.2"/>
    <row r="7761" hidden="1" x14ac:dyDescent="0.2"/>
    <row r="7762" hidden="1" x14ac:dyDescent="0.2"/>
    <row r="7763" hidden="1" x14ac:dyDescent="0.2"/>
    <row r="7764" hidden="1" x14ac:dyDescent="0.2"/>
    <row r="7765" hidden="1" x14ac:dyDescent="0.2"/>
    <row r="7766" hidden="1" x14ac:dyDescent="0.2"/>
    <row r="7767" hidden="1" x14ac:dyDescent="0.2"/>
    <row r="7768" hidden="1" x14ac:dyDescent="0.2"/>
    <row r="7769" hidden="1" x14ac:dyDescent="0.2"/>
    <row r="7770" hidden="1" x14ac:dyDescent="0.2"/>
    <row r="7771" hidden="1" x14ac:dyDescent="0.2"/>
    <row r="7772" hidden="1" x14ac:dyDescent="0.2"/>
    <row r="7773" hidden="1" x14ac:dyDescent="0.2"/>
    <row r="7774" hidden="1" x14ac:dyDescent="0.2"/>
    <row r="7775" hidden="1" x14ac:dyDescent="0.2"/>
    <row r="7776" hidden="1" x14ac:dyDescent="0.2"/>
    <row r="7777" hidden="1" x14ac:dyDescent="0.2"/>
    <row r="7778" hidden="1" x14ac:dyDescent="0.2"/>
    <row r="7779" hidden="1" x14ac:dyDescent="0.2"/>
    <row r="7780" hidden="1" x14ac:dyDescent="0.2"/>
    <row r="7781" hidden="1" x14ac:dyDescent="0.2"/>
    <row r="7782" hidden="1" x14ac:dyDescent="0.2"/>
    <row r="7783" hidden="1" x14ac:dyDescent="0.2"/>
    <row r="7784" hidden="1" x14ac:dyDescent="0.2"/>
    <row r="7785" hidden="1" x14ac:dyDescent="0.2"/>
    <row r="7786" hidden="1" x14ac:dyDescent="0.2"/>
    <row r="7787" hidden="1" x14ac:dyDescent="0.2"/>
    <row r="7788" hidden="1" x14ac:dyDescent="0.2"/>
    <row r="7789" hidden="1" x14ac:dyDescent="0.2"/>
    <row r="7790" hidden="1" x14ac:dyDescent="0.2"/>
    <row r="7791" hidden="1" x14ac:dyDescent="0.2"/>
    <row r="7792" hidden="1" x14ac:dyDescent="0.2"/>
    <row r="7793" hidden="1" x14ac:dyDescent="0.2"/>
    <row r="7794" hidden="1" x14ac:dyDescent="0.2"/>
    <row r="7795" hidden="1" x14ac:dyDescent="0.2"/>
    <row r="7796" hidden="1" x14ac:dyDescent="0.2"/>
    <row r="7797" hidden="1" x14ac:dyDescent="0.2"/>
    <row r="7798" hidden="1" x14ac:dyDescent="0.2"/>
    <row r="7799" hidden="1" x14ac:dyDescent="0.2"/>
    <row r="7800" hidden="1" x14ac:dyDescent="0.2"/>
    <row r="7801" hidden="1" x14ac:dyDescent="0.2"/>
    <row r="7802" hidden="1" x14ac:dyDescent="0.2"/>
    <row r="7803" hidden="1" x14ac:dyDescent="0.2"/>
    <row r="7804" hidden="1" x14ac:dyDescent="0.2"/>
    <row r="7805" hidden="1" x14ac:dyDescent="0.2"/>
    <row r="7806" hidden="1" x14ac:dyDescent="0.2"/>
    <row r="7807" hidden="1" x14ac:dyDescent="0.2"/>
    <row r="7808" hidden="1" x14ac:dyDescent="0.2"/>
    <row r="7809" hidden="1" x14ac:dyDescent="0.2"/>
    <row r="7810" hidden="1" x14ac:dyDescent="0.2"/>
    <row r="7811" hidden="1" x14ac:dyDescent="0.2"/>
    <row r="7812" hidden="1" x14ac:dyDescent="0.2"/>
    <row r="7813" hidden="1" x14ac:dyDescent="0.2"/>
    <row r="7814" hidden="1" x14ac:dyDescent="0.2"/>
    <row r="7815" hidden="1" x14ac:dyDescent="0.2"/>
    <row r="7816" hidden="1" x14ac:dyDescent="0.2"/>
    <row r="7817" hidden="1" x14ac:dyDescent="0.2"/>
    <row r="7818" hidden="1" x14ac:dyDescent="0.2"/>
    <row r="7819" hidden="1" x14ac:dyDescent="0.2"/>
    <row r="7820" hidden="1" x14ac:dyDescent="0.2"/>
    <row r="7821" hidden="1" x14ac:dyDescent="0.2"/>
    <row r="7822" hidden="1" x14ac:dyDescent="0.2"/>
    <row r="7823" hidden="1" x14ac:dyDescent="0.2"/>
    <row r="7824" hidden="1" x14ac:dyDescent="0.2"/>
    <row r="7825" hidden="1" x14ac:dyDescent="0.2"/>
    <row r="7826" hidden="1" x14ac:dyDescent="0.2"/>
    <row r="7827" hidden="1" x14ac:dyDescent="0.2"/>
    <row r="7828" hidden="1" x14ac:dyDescent="0.2"/>
    <row r="7829" hidden="1" x14ac:dyDescent="0.2"/>
    <row r="7830" hidden="1" x14ac:dyDescent="0.2"/>
    <row r="7831" hidden="1" x14ac:dyDescent="0.2"/>
    <row r="7832" hidden="1" x14ac:dyDescent="0.2"/>
    <row r="7833" hidden="1" x14ac:dyDescent="0.2"/>
    <row r="7834" hidden="1" x14ac:dyDescent="0.2"/>
    <row r="7835" hidden="1" x14ac:dyDescent="0.2"/>
    <row r="7836" hidden="1" x14ac:dyDescent="0.2"/>
    <row r="7837" hidden="1" x14ac:dyDescent="0.2"/>
    <row r="7838" hidden="1" x14ac:dyDescent="0.2"/>
    <row r="7839" hidden="1" x14ac:dyDescent="0.2"/>
    <row r="7840" hidden="1" x14ac:dyDescent="0.2"/>
    <row r="7841" hidden="1" x14ac:dyDescent="0.2"/>
    <row r="7842" hidden="1" x14ac:dyDescent="0.2"/>
    <row r="7843" hidden="1" x14ac:dyDescent="0.2"/>
    <row r="7844" hidden="1" x14ac:dyDescent="0.2"/>
    <row r="7845" hidden="1" x14ac:dyDescent="0.2"/>
    <row r="7846" hidden="1" x14ac:dyDescent="0.2"/>
    <row r="7847" hidden="1" x14ac:dyDescent="0.2"/>
    <row r="7848" hidden="1" x14ac:dyDescent="0.2"/>
    <row r="7849" hidden="1" x14ac:dyDescent="0.2"/>
    <row r="7850" hidden="1" x14ac:dyDescent="0.2"/>
    <row r="7851" hidden="1" x14ac:dyDescent="0.2"/>
    <row r="7852" hidden="1" x14ac:dyDescent="0.2"/>
    <row r="7853" hidden="1" x14ac:dyDescent="0.2"/>
    <row r="7854" hidden="1" x14ac:dyDescent="0.2"/>
    <row r="7855" hidden="1" x14ac:dyDescent="0.2"/>
    <row r="7856" hidden="1" x14ac:dyDescent="0.2"/>
    <row r="7857" hidden="1" x14ac:dyDescent="0.2"/>
    <row r="7858" hidden="1" x14ac:dyDescent="0.2"/>
    <row r="7859" hidden="1" x14ac:dyDescent="0.2"/>
    <row r="7860" hidden="1" x14ac:dyDescent="0.2"/>
    <row r="7861" hidden="1" x14ac:dyDescent="0.2"/>
    <row r="7862" hidden="1" x14ac:dyDescent="0.2"/>
    <row r="7863" hidden="1" x14ac:dyDescent="0.2"/>
    <row r="7864" hidden="1" x14ac:dyDescent="0.2"/>
    <row r="7865" hidden="1" x14ac:dyDescent="0.2"/>
    <row r="7866" hidden="1" x14ac:dyDescent="0.2"/>
    <row r="7867" hidden="1" x14ac:dyDescent="0.2"/>
    <row r="7868" hidden="1" x14ac:dyDescent="0.2"/>
    <row r="7869" hidden="1" x14ac:dyDescent="0.2"/>
    <row r="7870" hidden="1" x14ac:dyDescent="0.2"/>
    <row r="7871" hidden="1" x14ac:dyDescent="0.2"/>
    <row r="7872" hidden="1" x14ac:dyDescent="0.2"/>
    <row r="7873" hidden="1" x14ac:dyDescent="0.2"/>
    <row r="7874" hidden="1" x14ac:dyDescent="0.2"/>
    <row r="7875" hidden="1" x14ac:dyDescent="0.2"/>
    <row r="7876" hidden="1" x14ac:dyDescent="0.2"/>
    <row r="7877" hidden="1" x14ac:dyDescent="0.2"/>
    <row r="7878" hidden="1" x14ac:dyDescent="0.2"/>
    <row r="7879" hidden="1" x14ac:dyDescent="0.2"/>
    <row r="7880" hidden="1" x14ac:dyDescent="0.2"/>
    <row r="7881" hidden="1" x14ac:dyDescent="0.2"/>
    <row r="7882" hidden="1" x14ac:dyDescent="0.2"/>
    <row r="7883" hidden="1" x14ac:dyDescent="0.2"/>
    <row r="7884" hidden="1" x14ac:dyDescent="0.2"/>
    <row r="7885" hidden="1" x14ac:dyDescent="0.2"/>
    <row r="7886" hidden="1" x14ac:dyDescent="0.2"/>
    <row r="7887" hidden="1" x14ac:dyDescent="0.2"/>
    <row r="7888" hidden="1" x14ac:dyDescent="0.2"/>
    <row r="7889" hidden="1" x14ac:dyDescent="0.2"/>
    <row r="7890" hidden="1" x14ac:dyDescent="0.2"/>
    <row r="7891" hidden="1" x14ac:dyDescent="0.2"/>
    <row r="7892" hidden="1" x14ac:dyDescent="0.2"/>
    <row r="7893" hidden="1" x14ac:dyDescent="0.2"/>
    <row r="7894" hidden="1" x14ac:dyDescent="0.2"/>
    <row r="7895" hidden="1" x14ac:dyDescent="0.2"/>
    <row r="7896" hidden="1" x14ac:dyDescent="0.2"/>
    <row r="7897" hidden="1" x14ac:dyDescent="0.2"/>
    <row r="7898" hidden="1" x14ac:dyDescent="0.2"/>
    <row r="7899" hidden="1" x14ac:dyDescent="0.2"/>
    <row r="7900" hidden="1" x14ac:dyDescent="0.2"/>
    <row r="7901" hidden="1" x14ac:dyDescent="0.2"/>
    <row r="7902" hidden="1" x14ac:dyDescent="0.2"/>
    <row r="7903" hidden="1" x14ac:dyDescent="0.2"/>
    <row r="7904" hidden="1" x14ac:dyDescent="0.2"/>
    <row r="7905" hidden="1" x14ac:dyDescent="0.2"/>
    <row r="7906" hidden="1" x14ac:dyDescent="0.2"/>
    <row r="7907" hidden="1" x14ac:dyDescent="0.2"/>
    <row r="7908" hidden="1" x14ac:dyDescent="0.2"/>
    <row r="7909" hidden="1" x14ac:dyDescent="0.2"/>
    <row r="7910" hidden="1" x14ac:dyDescent="0.2"/>
    <row r="7911" hidden="1" x14ac:dyDescent="0.2"/>
    <row r="7912" hidden="1" x14ac:dyDescent="0.2"/>
    <row r="7913" hidden="1" x14ac:dyDescent="0.2"/>
    <row r="7914" hidden="1" x14ac:dyDescent="0.2"/>
    <row r="7915" hidden="1" x14ac:dyDescent="0.2"/>
    <row r="7916" hidden="1" x14ac:dyDescent="0.2"/>
    <row r="7917" hidden="1" x14ac:dyDescent="0.2"/>
    <row r="7918" hidden="1" x14ac:dyDescent="0.2"/>
    <row r="7919" hidden="1" x14ac:dyDescent="0.2"/>
    <row r="7920" hidden="1" x14ac:dyDescent="0.2"/>
    <row r="7921" hidden="1" x14ac:dyDescent="0.2"/>
    <row r="7922" hidden="1" x14ac:dyDescent="0.2"/>
    <row r="7923" hidden="1" x14ac:dyDescent="0.2"/>
    <row r="7924" hidden="1" x14ac:dyDescent="0.2"/>
    <row r="7925" hidden="1" x14ac:dyDescent="0.2"/>
    <row r="7926" hidden="1" x14ac:dyDescent="0.2"/>
    <row r="7927" hidden="1" x14ac:dyDescent="0.2"/>
    <row r="7928" hidden="1" x14ac:dyDescent="0.2"/>
    <row r="7929" hidden="1" x14ac:dyDescent="0.2"/>
    <row r="7930" hidden="1" x14ac:dyDescent="0.2"/>
    <row r="7931" hidden="1" x14ac:dyDescent="0.2"/>
    <row r="7932" hidden="1" x14ac:dyDescent="0.2"/>
    <row r="7933" hidden="1" x14ac:dyDescent="0.2"/>
    <row r="7934" hidden="1" x14ac:dyDescent="0.2"/>
    <row r="7935" hidden="1" x14ac:dyDescent="0.2"/>
    <row r="7936" hidden="1" x14ac:dyDescent="0.2"/>
    <row r="7937" hidden="1" x14ac:dyDescent="0.2"/>
    <row r="7938" hidden="1" x14ac:dyDescent="0.2"/>
    <row r="7939" hidden="1" x14ac:dyDescent="0.2"/>
    <row r="7940" hidden="1" x14ac:dyDescent="0.2"/>
    <row r="7941" hidden="1" x14ac:dyDescent="0.2"/>
    <row r="7942" hidden="1" x14ac:dyDescent="0.2"/>
    <row r="7943" hidden="1" x14ac:dyDescent="0.2"/>
    <row r="7944" hidden="1" x14ac:dyDescent="0.2"/>
    <row r="7945" hidden="1" x14ac:dyDescent="0.2"/>
    <row r="7946" hidden="1" x14ac:dyDescent="0.2"/>
    <row r="7947" hidden="1" x14ac:dyDescent="0.2"/>
    <row r="7948" hidden="1" x14ac:dyDescent="0.2"/>
    <row r="7949" hidden="1" x14ac:dyDescent="0.2"/>
    <row r="7950" hidden="1" x14ac:dyDescent="0.2"/>
    <row r="7951" hidden="1" x14ac:dyDescent="0.2"/>
    <row r="7952" hidden="1" x14ac:dyDescent="0.2"/>
    <row r="7953" hidden="1" x14ac:dyDescent="0.2"/>
    <row r="7954" hidden="1" x14ac:dyDescent="0.2"/>
    <row r="7955" hidden="1" x14ac:dyDescent="0.2"/>
    <row r="7956" hidden="1" x14ac:dyDescent="0.2"/>
    <row r="7957" hidden="1" x14ac:dyDescent="0.2"/>
    <row r="7958" hidden="1" x14ac:dyDescent="0.2"/>
    <row r="7959" hidden="1" x14ac:dyDescent="0.2"/>
    <row r="7960" hidden="1" x14ac:dyDescent="0.2"/>
    <row r="7961" hidden="1" x14ac:dyDescent="0.2"/>
    <row r="7962" hidden="1" x14ac:dyDescent="0.2"/>
    <row r="7963" hidden="1" x14ac:dyDescent="0.2"/>
    <row r="7964" hidden="1" x14ac:dyDescent="0.2"/>
    <row r="7965" hidden="1" x14ac:dyDescent="0.2"/>
    <row r="7966" hidden="1" x14ac:dyDescent="0.2"/>
    <row r="7967" hidden="1" x14ac:dyDescent="0.2"/>
    <row r="7968" hidden="1" x14ac:dyDescent="0.2"/>
    <row r="7969" hidden="1" x14ac:dyDescent="0.2"/>
    <row r="7970" hidden="1" x14ac:dyDescent="0.2"/>
    <row r="7971" hidden="1" x14ac:dyDescent="0.2"/>
    <row r="7972" hidden="1" x14ac:dyDescent="0.2"/>
    <row r="7973" hidden="1" x14ac:dyDescent="0.2"/>
    <row r="7974" hidden="1" x14ac:dyDescent="0.2"/>
    <row r="7975" hidden="1" x14ac:dyDescent="0.2"/>
    <row r="7976" hidden="1" x14ac:dyDescent="0.2"/>
    <row r="7977" hidden="1" x14ac:dyDescent="0.2"/>
    <row r="7978" hidden="1" x14ac:dyDescent="0.2"/>
    <row r="7979" hidden="1" x14ac:dyDescent="0.2"/>
    <row r="7980" hidden="1" x14ac:dyDescent="0.2"/>
    <row r="7981" hidden="1" x14ac:dyDescent="0.2"/>
    <row r="7982" hidden="1" x14ac:dyDescent="0.2"/>
    <row r="7983" hidden="1" x14ac:dyDescent="0.2"/>
    <row r="7984" hidden="1" x14ac:dyDescent="0.2"/>
    <row r="7985" hidden="1" x14ac:dyDescent="0.2"/>
    <row r="7986" hidden="1" x14ac:dyDescent="0.2"/>
    <row r="7987" hidden="1" x14ac:dyDescent="0.2"/>
    <row r="7988" hidden="1" x14ac:dyDescent="0.2"/>
    <row r="7989" hidden="1" x14ac:dyDescent="0.2"/>
    <row r="7990" hidden="1" x14ac:dyDescent="0.2"/>
    <row r="7991" hidden="1" x14ac:dyDescent="0.2"/>
    <row r="7992" hidden="1" x14ac:dyDescent="0.2"/>
    <row r="7993" hidden="1" x14ac:dyDescent="0.2"/>
    <row r="7994" hidden="1" x14ac:dyDescent="0.2"/>
    <row r="7995" hidden="1" x14ac:dyDescent="0.2"/>
    <row r="7996" hidden="1" x14ac:dyDescent="0.2"/>
    <row r="7997" hidden="1" x14ac:dyDescent="0.2"/>
    <row r="7998" hidden="1" x14ac:dyDescent="0.2"/>
    <row r="7999" hidden="1" x14ac:dyDescent="0.2"/>
    <row r="8000" hidden="1" x14ac:dyDescent="0.2"/>
    <row r="8001" hidden="1" x14ac:dyDescent="0.2"/>
    <row r="8002" hidden="1" x14ac:dyDescent="0.2"/>
    <row r="8003" hidden="1" x14ac:dyDescent="0.2"/>
    <row r="8004" hidden="1" x14ac:dyDescent="0.2"/>
    <row r="8005" hidden="1" x14ac:dyDescent="0.2"/>
    <row r="8006" hidden="1" x14ac:dyDescent="0.2"/>
    <row r="8007" hidden="1" x14ac:dyDescent="0.2"/>
    <row r="8008" hidden="1" x14ac:dyDescent="0.2"/>
    <row r="8009" hidden="1" x14ac:dyDescent="0.2"/>
    <row r="8010" hidden="1" x14ac:dyDescent="0.2"/>
    <row r="8011" hidden="1" x14ac:dyDescent="0.2"/>
    <row r="8012" hidden="1" x14ac:dyDescent="0.2"/>
    <row r="8013" hidden="1" x14ac:dyDescent="0.2"/>
    <row r="8014" hidden="1" x14ac:dyDescent="0.2"/>
    <row r="8015" hidden="1" x14ac:dyDescent="0.2"/>
    <row r="8016" hidden="1" x14ac:dyDescent="0.2"/>
    <row r="8017" hidden="1" x14ac:dyDescent="0.2"/>
    <row r="8018" hidden="1" x14ac:dyDescent="0.2"/>
    <row r="8019" hidden="1" x14ac:dyDescent="0.2"/>
    <row r="8020" hidden="1" x14ac:dyDescent="0.2"/>
    <row r="8021" hidden="1" x14ac:dyDescent="0.2"/>
    <row r="8022" hidden="1" x14ac:dyDescent="0.2"/>
    <row r="8023" hidden="1" x14ac:dyDescent="0.2"/>
    <row r="8024" hidden="1" x14ac:dyDescent="0.2"/>
    <row r="8025" hidden="1" x14ac:dyDescent="0.2"/>
    <row r="8026" hidden="1" x14ac:dyDescent="0.2"/>
    <row r="8027" hidden="1" x14ac:dyDescent="0.2"/>
    <row r="8028" hidden="1" x14ac:dyDescent="0.2"/>
    <row r="8029" hidden="1" x14ac:dyDescent="0.2"/>
    <row r="8030" hidden="1" x14ac:dyDescent="0.2"/>
    <row r="8031" hidden="1" x14ac:dyDescent="0.2"/>
    <row r="8032" hidden="1" x14ac:dyDescent="0.2"/>
    <row r="8033" hidden="1" x14ac:dyDescent="0.2"/>
    <row r="8034" hidden="1" x14ac:dyDescent="0.2"/>
    <row r="8035" hidden="1" x14ac:dyDescent="0.2"/>
    <row r="8036" hidden="1" x14ac:dyDescent="0.2"/>
    <row r="8037" hidden="1" x14ac:dyDescent="0.2"/>
    <row r="8038" hidden="1" x14ac:dyDescent="0.2"/>
    <row r="8039" hidden="1" x14ac:dyDescent="0.2"/>
    <row r="8040" hidden="1" x14ac:dyDescent="0.2"/>
    <row r="8041" hidden="1" x14ac:dyDescent="0.2"/>
    <row r="8042" hidden="1" x14ac:dyDescent="0.2"/>
    <row r="8043" hidden="1" x14ac:dyDescent="0.2"/>
    <row r="8044" hidden="1" x14ac:dyDescent="0.2"/>
    <row r="8045" hidden="1" x14ac:dyDescent="0.2"/>
    <row r="8046" hidden="1" x14ac:dyDescent="0.2"/>
    <row r="8047" hidden="1" x14ac:dyDescent="0.2"/>
    <row r="8048" hidden="1" x14ac:dyDescent="0.2"/>
    <row r="8049" hidden="1" x14ac:dyDescent="0.2"/>
    <row r="8050" hidden="1" x14ac:dyDescent="0.2"/>
    <row r="8051" hidden="1" x14ac:dyDescent="0.2"/>
    <row r="8052" hidden="1" x14ac:dyDescent="0.2"/>
    <row r="8053" hidden="1" x14ac:dyDescent="0.2"/>
    <row r="8054" hidden="1" x14ac:dyDescent="0.2"/>
    <row r="8055" hidden="1" x14ac:dyDescent="0.2"/>
    <row r="8056" hidden="1" x14ac:dyDescent="0.2"/>
    <row r="8057" hidden="1" x14ac:dyDescent="0.2"/>
    <row r="8058" hidden="1" x14ac:dyDescent="0.2"/>
    <row r="8059" hidden="1" x14ac:dyDescent="0.2"/>
    <row r="8060" hidden="1" x14ac:dyDescent="0.2"/>
    <row r="8061" hidden="1" x14ac:dyDescent="0.2"/>
    <row r="8062" hidden="1" x14ac:dyDescent="0.2"/>
    <row r="8063" hidden="1" x14ac:dyDescent="0.2"/>
    <row r="8064" hidden="1" x14ac:dyDescent="0.2"/>
    <row r="8065" hidden="1" x14ac:dyDescent="0.2"/>
    <row r="8066" hidden="1" x14ac:dyDescent="0.2"/>
    <row r="8067" hidden="1" x14ac:dyDescent="0.2"/>
    <row r="8068" hidden="1" x14ac:dyDescent="0.2"/>
    <row r="8069" hidden="1" x14ac:dyDescent="0.2"/>
    <row r="8070" hidden="1" x14ac:dyDescent="0.2"/>
    <row r="8071" hidden="1" x14ac:dyDescent="0.2"/>
    <row r="8072" hidden="1" x14ac:dyDescent="0.2"/>
    <row r="8073" hidden="1" x14ac:dyDescent="0.2"/>
    <row r="8074" hidden="1" x14ac:dyDescent="0.2"/>
    <row r="8075" hidden="1" x14ac:dyDescent="0.2"/>
    <row r="8076" hidden="1" x14ac:dyDescent="0.2"/>
    <row r="8077" hidden="1" x14ac:dyDescent="0.2"/>
    <row r="8078" hidden="1" x14ac:dyDescent="0.2"/>
    <row r="8079" hidden="1" x14ac:dyDescent="0.2"/>
    <row r="8080" hidden="1" x14ac:dyDescent="0.2"/>
    <row r="8081" hidden="1" x14ac:dyDescent="0.2"/>
    <row r="8082" hidden="1" x14ac:dyDescent="0.2"/>
    <row r="8083" hidden="1" x14ac:dyDescent="0.2"/>
    <row r="8084" hidden="1" x14ac:dyDescent="0.2"/>
    <row r="8085" hidden="1" x14ac:dyDescent="0.2"/>
    <row r="8086" hidden="1" x14ac:dyDescent="0.2"/>
    <row r="8087" hidden="1" x14ac:dyDescent="0.2"/>
    <row r="8088" hidden="1" x14ac:dyDescent="0.2"/>
    <row r="8089" hidden="1" x14ac:dyDescent="0.2"/>
    <row r="8090" hidden="1" x14ac:dyDescent="0.2"/>
    <row r="8091" hidden="1" x14ac:dyDescent="0.2"/>
    <row r="8092" hidden="1" x14ac:dyDescent="0.2"/>
    <row r="8093" hidden="1" x14ac:dyDescent="0.2"/>
    <row r="8094" hidden="1" x14ac:dyDescent="0.2"/>
    <row r="8095" hidden="1" x14ac:dyDescent="0.2"/>
    <row r="8096" hidden="1" x14ac:dyDescent="0.2"/>
    <row r="8097" hidden="1" x14ac:dyDescent="0.2"/>
    <row r="8098" hidden="1" x14ac:dyDescent="0.2"/>
    <row r="8099" hidden="1" x14ac:dyDescent="0.2"/>
    <row r="8100" hidden="1" x14ac:dyDescent="0.2"/>
    <row r="8101" hidden="1" x14ac:dyDescent="0.2"/>
    <row r="8102" hidden="1" x14ac:dyDescent="0.2"/>
    <row r="8103" hidden="1" x14ac:dyDescent="0.2"/>
    <row r="8104" hidden="1" x14ac:dyDescent="0.2"/>
    <row r="8105" hidden="1" x14ac:dyDescent="0.2"/>
    <row r="8106" hidden="1" x14ac:dyDescent="0.2"/>
    <row r="8107" hidden="1" x14ac:dyDescent="0.2"/>
    <row r="8108" hidden="1" x14ac:dyDescent="0.2"/>
    <row r="8109" hidden="1" x14ac:dyDescent="0.2"/>
    <row r="8110" hidden="1" x14ac:dyDescent="0.2"/>
    <row r="8111" hidden="1" x14ac:dyDescent="0.2"/>
    <row r="8112" hidden="1" x14ac:dyDescent="0.2"/>
    <row r="8113" hidden="1" x14ac:dyDescent="0.2"/>
    <row r="8114" hidden="1" x14ac:dyDescent="0.2"/>
    <row r="8115" hidden="1" x14ac:dyDescent="0.2"/>
    <row r="8116" hidden="1" x14ac:dyDescent="0.2"/>
    <row r="8117" hidden="1" x14ac:dyDescent="0.2"/>
    <row r="8118" hidden="1" x14ac:dyDescent="0.2"/>
    <row r="8119" hidden="1" x14ac:dyDescent="0.2"/>
    <row r="8120" hidden="1" x14ac:dyDescent="0.2"/>
    <row r="8121" hidden="1" x14ac:dyDescent="0.2"/>
    <row r="8122" hidden="1" x14ac:dyDescent="0.2"/>
    <row r="8123" hidden="1" x14ac:dyDescent="0.2"/>
    <row r="8124" hidden="1" x14ac:dyDescent="0.2"/>
    <row r="8125" hidden="1" x14ac:dyDescent="0.2"/>
    <row r="8126" hidden="1" x14ac:dyDescent="0.2"/>
    <row r="8127" hidden="1" x14ac:dyDescent="0.2"/>
    <row r="8128" hidden="1" x14ac:dyDescent="0.2"/>
    <row r="8129" hidden="1" x14ac:dyDescent="0.2"/>
    <row r="8130" hidden="1" x14ac:dyDescent="0.2"/>
    <row r="8131" hidden="1" x14ac:dyDescent="0.2"/>
    <row r="8132" hidden="1" x14ac:dyDescent="0.2"/>
    <row r="8133" hidden="1" x14ac:dyDescent="0.2"/>
    <row r="8134" hidden="1" x14ac:dyDescent="0.2"/>
    <row r="8135" hidden="1" x14ac:dyDescent="0.2"/>
    <row r="8136" hidden="1" x14ac:dyDescent="0.2"/>
    <row r="8137" hidden="1" x14ac:dyDescent="0.2"/>
    <row r="8138" hidden="1" x14ac:dyDescent="0.2"/>
    <row r="8139" hidden="1" x14ac:dyDescent="0.2"/>
    <row r="8140" hidden="1" x14ac:dyDescent="0.2"/>
    <row r="8141" hidden="1" x14ac:dyDescent="0.2"/>
    <row r="8142" hidden="1" x14ac:dyDescent="0.2"/>
    <row r="8143" hidden="1" x14ac:dyDescent="0.2"/>
    <row r="8144" hidden="1" x14ac:dyDescent="0.2"/>
    <row r="8145" hidden="1" x14ac:dyDescent="0.2"/>
    <row r="8146" hidden="1" x14ac:dyDescent="0.2"/>
    <row r="8147" hidden="1" x14ac:dyDescent="0.2"/>
    <row r="8148" hidden="1" x14ac:dyDescent="0.2"/>
    <row r="8149" hidden="1" x14ac:dyDescent="0.2"/>
    <row r="8150" hidden="1" x14ac:dyDescent="0.2"/>
    <row r="8151" hidden="1" x14ac:dyDescent="0.2"/>
    <row r="8152" hidden="1" x14ac:dyDescent="0.2"/>
    <row r="8153" hidden="1" x14ac:dyDescent="0.2"/>
    <row r="8154" hidden="1" x14ac:dyDescent="0.2"/>
    <row r="8155" hidden="1" x14ac:dyDescent="0.2"/>
    <row r="8156" hidden="1" x14ac:dyDescent="0.2"/>
    <row r="8157" hidden="1" x14ac:dyDescent="0.2"/>
    <row r="8158" hidden="1" x14ac:dyDescent="0.2"/>
    <row r="8159" hidden="1" x14ac:dyDescent="0.2"/>
    <row r="8160" hidden="1" x14ac:dyDescent="0.2"/>
    <row r="8161" hidden="1" x14ac:dyDescent="0.2"/>
    <row r="8162" hidden="1" x14ac:dyDescent="0.2"/>
    <row r="8163" hidden="1" x14ac:dyDescent="0.2"/>
    <row r="8164" hidden="1" x14ac:dyDescent="0.2"/>
    <row r="8165" hidden="1" x14ac:dyDescent="0.2"/>
    <row r="8166" hidden="1" x14ac:dyDescent="0.2"/>
    <row r="8167" hidden="1" x14ac:dyDescent="0.2"/>
    <row r="8168" hidden="1" x14ac:dyDescent="0.2"/>
    <row r="8169" hidden="1" x14ac:dyDescent="0.2"/>
    <row r="8170" hidden="1" x14ac:dyDescent="0.2"/>
    <row r="8171" hidden="1" x14ac:dyDescent="0.2"/>
    <row r="8172" hidden="1" x14ac:dyDescent="0.2"/>
    <row r="8173" hidden="1" x14ac:dyDescent="0.2"/>
    <row r="8174" hidden="1" x14ac:dyDescent="0.2"/>
    <row r="8175" hidden="1" x14ac:dyDescent="0.2"/>
    <row r="8176" hidden="1" x14ac:dyDescent="0.2"/>
    <row r="8177" hidden="1" x14ac:dyDescent="0.2"/>
    <row r="8178" hidden="1" x14ac:dyDescent="0.2"/>
    <row r="8179" hidden="1" x14ac:dyDescent="0.2"/>
    <row r="8180" hidden="1" x14ac:dyDescent="0.2"/>
    <row r="8181" hidden="1" x14ac:dyDescent="0.2"/>
    <row r="8182" hidden="1" x14ac:dyDescent="0.2"/>
    <row r="8183" hidden="1" x14ac:dyDescent="0.2"/>
    <row r="8184" hidden="1" x14ac:dyDescent="0.2"/>
    <row r="8185" hidden="1" x14ac:dyDescent="0.2"/>
    <row r="8186" hidden="1" x14ac:dyDescent="0.2"/>
    <row r="8187" hidden="1" x14ac:dyDescent="0.2"/>
    <row r="8188" hidden="1" x14ac:dyDescent="0.2"/>
    <row r="8189" hidden="1" x14ac:dyDescent="0.2"/>
    <row r="8190" hidden="1" x14ac:dyDescent="0.2"/>
    <row r="8191" hidden="1" x14ac:dyDescent="0.2"/>
    <row r="8192" hidden="1" x14ac:dyDescent="0.2"/>
    <row r="8193" hidden="1" x14ac:dyDescent="0.2"/>
    <row r="8194" hidden="1" x14ac:dyDescent="0.2"/>
    <row r="8195" hidden="1" x14ac:dyDescent="0.2"/>
    <row r="8196" hidden="1" x14ac:dyDescent="0.2"/>
    <row r="8197" hidden="1" x14ac:dyDescent="0.2"/>
    <row r="8198" hidden="1" x14ac:dyDescent="0.2"/>
    <row r="8199" hidden="1" x14ac:dyDescent="0.2"/>
    <row r="8200" hidden="1" x14ac:dyDescent="0.2"/>
    <row r="8201" hidden="1" x14ac:dyDescent="0.2"/>
    <row r="8202" hidden="1" x14ac:dyDescent="0.2"/>
    <row r="8203" hidden="1" x14ac:dyDescent="0.2"/>
    <row r="8204" hidden="1" x14ac:dyDescent="0.2"/>
    <row r="8205" hidden="1" x14ac:dyDescent="0.2"/>
    <row r="8206" hidden="1" x14ac:dyDescent="0.2"/>
    <row r="8207" hidden="1" x14ac:dyDescent="0.2"/>
    <row r="8208" hidden="1" x14ac:dyDescent="0.2"/>
    <row r="8209" hidden="1" x14ac:dyDescent="0.2"/>
    <row r="8210" hidden="1" x14ac:dyDescent="0.2"/>
    <row r="8211" hidden="1" x14ac:dyDescent="0.2"/>
    <row r="8212" hidden="1" x14ac:dyDescent="0.2"/>
    <row r="8213" hidden="1" x14ac:dyDescent="0.2"/>
    <row r="8214" hidden="1" x14ac:dyDescent="0.2"/>
    <row r="8215" hidden="1" x14ac:dyDescent="0.2"/>
    <row r="8216" hidden="1" x14ac:dyDescent="0.2"/>
    <row r="8217" hidden="1" x14ac:dyDescent="0.2"/>
    <row r="8218" hidden="1" x14ac:dyDescent="0.2"/>
    <row r="8219" hidden="1" x14ac:dyDescent="0.2"/>
    <row r="8220" hidden="1" x14ac:dyDescent="0.2"/>
    <row r="8221" hidden="1" x14ac:dyDescent="0.2"/>
    <row r="8222" hidden="1" x14ac:dyDescent="0.2"/>
    <row r="8223" hidden="1" x14ac:dyDescent="0.2"/>
    <row r="8224" hidden="1" x14ac:dyDescent="0.2"/>
    <row r="8225" hidden="1" x14ac:dyDescent="0.2"/>
    <row r="8226" hidden="1" x14ac:dyDescent="0.2"/>
    <row r="8227" hidden="1" x14ac:dyDescent="0.2"/>
    <row r="8228" hidden="1" x14ac:dyDescent="0.2"/>
    <row r="8229" hidden="1" x14ac:dyDescent="0.2"/>
    <row r="8230" hidden="1" x14ac:dyDescent="0.2"/>
    <row r="8231" hidden="1" x14ac:dyDescent="0.2"/>
    <row r="8232" hidden="1" x14ac:dyDescent="0.2"/>
    <row r="8233" hidden="1" x14ac:dyDescent="0.2"/>
    <row r="8234" hidden="1" x14ac:dyDescent="0.2"/>
    <row r="8235" hidden="1" x14ac:dyDescent="0.2"/>
    <row r="8236" hidden="1" x14ac:dyDescent="0.2"/>
    <row r="8237" hidden="1" x14ac:dyDescent="0.2"/>
    <row r="8238" hidden="1" x14ac:dyDescent="0.2"/>
    <row r="8239" hidden="1" x14ac:dyDescent="0.2"/>
    <row r="8240" hidden="1" x14ac:dyDescent="0.2"/>
    <row r="8241" hidden="1" x14ac:dyDescent="0.2"/>
    <row r="8242" hidden="1" x14ac:dyDescent="0.2"/>
    <row r="8243" hidden="1" x14ac:dyDescent="0.2"/>
    <row r="8244" hidden="1" x14ac:dyDescent="0.2"/>
    <row r="8245" hidden="1" x14ac:dyDescent="0.2"/>
    <row r="8246" hidden="1" x14ac:dyDescent="0.2"/>
    <row r="8247" hidden="1" x14ac:dyDescent="0.2"/>
    <row r="8248" hidden="1" x14ac:dyDescent="0.2"/>
    <row r="8249" hidden="1" x14ac:dyDescent="0.2"/>
    <row r="8250" hidden="1" x14ac:dyDescent="0.2"/>
    <row r="8251" hidden="1" x14ac:dyDescent="0.2"/>
    <row r="8252" hidden="1" x14ac:dyDescent="0.2"/>
    <row r="8253" hidden="1" x14ac:dyDescent="0.2"/>
    <row r="8254" hidden="1" x14ac:dyDescent="0.2"/>
    <row r="8255" hidden="1" x14ac:dyDescent="0.2"/>
    <row r="8256" hidden="1" x14ac:dyDescent="0.2"/>
    <row r="8257" hidden="1" x14ac:dyDescent="0.2"/>
    <row r="8258" hidden="1" x14ac:dyDescent="0.2"/>
    <row r="8259" hidden="1" x14ac:dyDescent="0.2"/>
    <row r="8260" hidden="1" x14ac:dyDescent="0.2"/>
    <row r="8261" hidden="1" x14ac:dyDescent="0.2"/>
    <row r="8262" hidden="1" x14ac:dyDescent="0.2"/>
    <row r="8263" hidden="1" x14ac:dyDescent="0.2"/>
    <row r="8264" hidden="1" x14ac:dyDescent="0.2"/>
    <row r="8265" hidden="1" x14ac:dyDescent="0.2"/>
    <row r="8266" hidden="1" x14ac:dyDescent="0.2"/>
    <row r="8267" hidden="1" x14ac:dyDescent="0.2"/>
    <row r="8268" hidden="1" x14ac:dyDescent="0.2"/>
    <row r="8269" hidden="1" x14ac:dyDescent="0.2"/>
    <row r="8270" hidden="1" x14ac:dyDescent="0.2"/>
    <row r="8271" hidden="1" x14ac:dyDescent="0.2"/>
    <row r="8272" hidden="1" x14ac:dyDescent="0.2"/>
    <row r="8273" hidden="1" x14ac:dyDescent="0.2"/>
    <row r="8274" hidden="1" x14ac:dyDescent="0.2"/>
    <row r="8275" hidden="1" x14ac:dyDescent="0.2"/>
    <row r="8276" hidden="1" x14ac:dyDescent="0.2"/>
    <row r="8277" hidden="1" x14ac:dyDescent="0.2"/>
    <row r="8278" hidden="1" x14ac:dyDescent="0.2"/>
    <row r="8279" hidden="1" x14ac:dyDescent="0.2"/>
    <row r="8280" hidden="1" x14ac:dyDescent="0.2"/>
    <row r="8281" hidden="1" x14ac:dyDescent="0.2"/>
    <row r="8282" hidden="1" x14ac:dyDescent="0.2"/>
    <row r="8283" hidden="1" x14ac:dyDescent="0.2"/>
    <row r="8284" hidden="1" x14ac:dyDescent="0.2"/>
    <row r="8285" hidden="1" x14ac:dyDescent="0.2"/>
    <row r="8286" hidden="1" x14ac:dyDescent="0.2"/>
    <row r="8287" hidden="1" x14ac:dyDescent="0.2"/>
    <row r="8288" hidden="1" x14ac:dyDescent="0.2"/>
    <row r="8289" hidden="1" x14ac:dyDescent="0.2"/>
    <row r="8290" hidden="1" x14ac:dyDescent="0.2"/>
    <row r="8291" hidden="1" x14ac:dyDescent="0.2"/>
    <row r="8292" hidden="1" x14ac:dyDescent="0.2"/>
    <row r="8293" hidden="1" x14ac:dyDescent="0.2"/>
    <row r="8294" hidden="1" x14ac:dyDescent="0.2"/>
    <row r="8295" hidden="1" x14ac:dyDescent="0.2"/>
    <row r="8296" hidden="1" x14ac:dyDescent="0.2"/>
    <row r="8297" hidden="1" x14ac:dyDescent="0.2"/>
    <row r="8298" hidden="1" x14ac:dyDescent="0.2"/>
    <row r="8299" hidden="1" x14ac:dyDescent="0.2"/>
    <row r="8300" hidden="1" x14ac:dyDescent="0.2"/>
    <row r="8301" hidden="1" x14ac:dyDescent="0.2"/>
    <row r="8302" hidden="1" x14ac:dyDescent="0.2"/>
    <row r="8303" hidden="1" x14ac:dyDescent="0.2"/>
    <row r="8304" hidden="1" x14ac:dyDescent="0.2"/>
    <row r="8305" hidden="1" x14ac:dyDescent="0.2"/>
    <row r="8306" hidden="1" x14ac:dyDescent="0.2"/>
    <row r="8307" hidden="1" x14ac:dyDescent="0.2"/>
    <row r="8308" hidden="1" x14ac:dyDescent="0.2"/>
    <row r="8309" hidden="1" x14ac:dyDescent="0.2"/>
    <row r="8310" hidden="1" x14ac:dyDescent="0.2"/>
    <row r="8311" hidden="1" x14ac:dyDescent="0.2"/>
    <row r="8312" hidden="1" x14ac:dyDescent="0.2"/>
    <row r="8313" hidden="1" x14ac:dyDescent="0.2"/>
    <row r="8314" hidden="1" x14ac:dyDescent="0.2"/>
    <row r="8315" hidden="1" x14ac:dyDescent="0.2"/>
    <row r="8316" hidden="1" x14ac:dyDescent="0.2"/>
    <row r="8317" hidden="1" x14ac:dyDescent="0.2"/>
    <row r="8318" hidden="1" x14ac:dyDescent="0.2"/>
    <row r="8319" hidden="1" x14ac:dyDescent="0.2"/>
    <row r="8320" hidden="1" x14ac:dyDescent="0.2"/>
    <row r="8321" hidden="1" x14ac:dyDescent="0.2"/>
    <row r="8322" hidden="1" x14ac:dyDescent="0.2"/>
    <row r="8323" hidden="1" x14ac:dyDescent="0.2"/>
    <row r="8324" hidden="1" x14ac:dyDescent="0.2"/>
    <row r="8325" hidden="1" x14ac:dyDescent="0.2"/>
    <row r="8326" hidden="1" x14ac:dyDescent="0.2"/>
    <row r="8327" hidden="1" x14ac:dyDescent="0.2"/>
    <row r="8328" hidden="1" x14ac:dyDescent="0.2"/>
    <row r="8329" hidden="1" x14ac:dyDescent="0.2"/>
    <row r="8330" hidden="1" x14ac:dyDescent="0.2"/>
    <row r="8331" hidden="1" x14ac:dyDescent="0.2"/>
    <row r="8332" hidden="1" x14ac:dyDescent="0.2"/>
    <row r="8333" hidden="1" x14ac:dyDescent="0.2"/>
    <row r="8334" hidden="1" x14ac:dyDescent="0.2"/>
    <row r="8335" hidden="1" x14ac:dyDescent="0.2"/>
    <row r="8336" hidden="1" x14ac:dyDescent="0.2"/>
    <row r="8337" hidden="1" x14ac:dyDescent="0.2"/>
    <row r="8338" hidden="1" x14ac:dyDescent="0.2"/>
    <row r="8339" hidden="1" x14ac:dyDescent="0.2"/>
    <row r="8340" hidden="1" x14ac:dyDescent="0.2"/>
    <row r="8341" hidden="1" x14ac:dyDescent="0.2"/>
    <row r="8342" hidden="1" x14ac:dyDescent="0.2"/>
    <row r="8343" hidden="1" x14ac:dyDescent="0.2"/>
    <row r="8344" hidden="1" x14ac:dyDescent="0.2"/>
    <row r="8345" hidden="1" x14ac:dyDescent="0.2"/>
    <row r="8346" hidden="1" x14ac:dyDescent="0.2"/>
    <row r="8347" hidden="1" x14ac:dyDescent="0.2"/>
    <row r="8348" hidden="1" x14ac:dyDescent="0.2"/>
    <row r="8349" hidden="1" x14ac:dyDescent="0.2"/>
    <row r="8350" hidden="1" x14ac:dyDescent="0.2"/>
    <row r="8351" hidden="1" x14ac:dyDescent="0.2"/>
    <row r="8352" hidden="1" x14ac:dyDescent="0.2"/>
    <row r="8353" hidden="1" x14ac:dyDescent="0.2"/>
    <row r="8354" hidden="1" x14ac:dyDescent="0.2"/>
    <row r="8355" hidden="1" x14ac:dyDescent="0.2"/>
    <row r="8356" hidden="1" x14ac:dyDescent="0.2"/>
    <row r="8357" hidden="1" x14ac:dyDescent="0.2"/>
    <row r="8358" hidden="1" x14ac:dyDescent="0.2"/>
    <row r="8359" hidden="1" x14ac:dyDescent="0.2"/>
    <row r="8360" hidden="1" x14ac:dyDescent="0.2"/>
    <row r="8361" hidden="1" x14ac:dyDescent="0.2"/>
    <row r="8362" hidden="1" x14ac:dyDescent="0.2"/>
    <row r="8363" hidden="1" x14ac:dyDescent="0.2"/>
    <row r="8364" hidden="1" x14ac:dyDescent="0.2"/>
    <row r="8365" hidden="1" x14ac:dyDescent="0.2"/>
    <row r="8366" hidden="1" x14ac:dyDescent="0.2"/>
    <row r="8367" hidden="1" x14ac:dyDescent="0.2"/>
    <row r="8368" hidden="1" x14ac:dyDescent="0.2"/>
    <row r="8369" hidden="1" x14ac:dyDescent="0.2"/>
    <row r="8370" hidden="1" x14ac:dyDescent="0.2"/>
    <row r="8371" hidden="1" x14ac:dyDescent="0.2"/>
    <row r="8372" hidden="1" x14ac:dyDescent="0.2"/>
    <row r="8373" hidden="1" x14ac:dyDescent="0.2"/>
    <row r="8374" hidden="1" x14ac:dyDescent="0.2"/>
    <row r="8375" hidden="1" x14ac:dyDescent="0.2"/>
    <row r="8376" hidden="1" x14ac:dyDescent="0.2"/>
    <row r="8377" hidden="1" x14ac:dyDescent="0.2"/>
    <row r="8378" hidden="1" x14ac:dyDescent="0.2"/>
    <row r="8379" hidden="1" x14ac:dyDescent="0.2"/>
    <row r="8380" hidden="1" x14ac:dyDescent="0.2"/>
    <row r="8381" hidden="1" x14ac:dyDescent="0.2"/>
    <row r="8382" hidden="1" x14ac:dyDescent="0.2"/>
    <row r="8383" hidden="1" x14ac:dyDescent="0.2"/>
    <row r="8384" hidden="1" x14ac:dyDescent="0.2"/>
    <row r="8385" hidden="1" x14ac:dyDescent="0.2"/>
    <row r="8386" hidden="1" x14ac:dyDescent="0.2"/>
    <row r="8387" hidden="1" x14ac:dyDescent="0.2"/>
    <row r="8388" hidden="1" x14ac:dyDescent="0.2"/>
    <row r="8389" hidden="1" x14ac:dyDescent="0.2"/>
    <row r="8390" hidden="1" x14ac:dyDescent="0.2"/>
    <row r="8391" hidden="1" x14ac:dyDescent="0.2"/>
    <row r="8392" hidden="1" x14ac:dyDescent="0.2"/>
    <row r="8393" hidden="1" x14ac:dyDescent="0.2"/>
    <row r="8394" hidden="1" x14ac:dyDescent="0.2"/>
    <row r="8395" hidden="1" x14ac:dyDescent="0.2"/>
    <row r="8396" hidden="1" x14ac:dyDescent="0.2"/>
    <row r="8397" hidden="1" x14ac:dyDescent="0.2"/>
    <row r="8398" hidden="1" x14ac:dyDescent="0.2"/>
    <row r="8399" hidden="1" x14ac:dyDescent="0.2"/>
    <row r="8400" hidden="1" x14ac:dyDescent="0.2"/>
    <row r="8401" hidden="1" x14ac:dyDescent="0.2"/>
    <row r="8402" hidden="1" x14ac:dyDescent="0.2"/>
    <row r="8403" hidden="1" x14ac:dyDescent="0.2"/>
    <row r="8404" hidden="1" x14ac:dyDescent="0.2"/>
    <row r="8405" hidden="1" x14ac:dyDescent="0.2"/>
    <row r="8406" hidden="1" x14ac:dyDescent="0.2"/>
    <row r="8407" hidden="1" x14ac:dyDescent="0.2"/>
    <row r="8408" hidden="1" x14ac:dyDescent="0.2"/>
    <row r="8409" hidden="1" x14ac:dyDescent="0.2"/>
    <row r="8410" hidden="1" x14ac:dyDescent="0.2"/>
    <row r="8411" hidden="1" x14ac:dyDescent="0.2"/>
    <row r="8412" hidden="1" x14ac:dyDescent="0.2"/>
    <row r="8413" hidden="1" x14ac:dyDescent="0.2"/>
    <row r="8414" hidden="1" x14ac:dyDescent="0.2"/>
    <row r="8415" hidden="1" x14ac:dyDescent="0.2"/>
    <row r="8416" hidden="1" x14ac:dyDescent="0.2"/>
    <row r="8417" hidden="1" x14ac:dyDescent="0.2"/>
    <row r="8418" hidden="1" x14ac:dyDescent="0.2"/>
    <row r="8419" hidden="1" x14ac:dyDescent="0.2"/>
    <row r="8420" hidden="1" x14ac:dyDescent="0.2"/>
    <row r="8421" hidden="1" x14ac:dyDescent="0.2"/>
    <row r="8422" hidden="1" x14ac:dyDescent="0.2"/>
    <row r="8423" hidden="1" x14ac:dyDescent="0.2"/>
    <row r="8424" hidden="1" x14ac:dyDescent="0.2"/>
    <row r="8425" hidden="1" x14ac:dyDescent="0.2"/>
    <row r="8426" hidden="1" x14ac:dyDescent="0.2"/>
    <row r="8427" hidden="1" x14ac:dyDescent="0.2"/>
    <row r="8428" hidden="1" x14ac:dyDescent="0.2"/>
    <row r="8429" hidden="1" x14ac:dyDescent="0.2"/>
    <row r="8430" hidden="1" x14ac:dyDescent="0.2"/>
    <row r="8431" hidden="1" x14ac:dyDescent="0.2"/>
    <row r="8432" hidden="1" x14ac:dyDescent="0.2"/>
    <row r="8433" hidden="1" x14ac:dyDescent="0.2"/>
    <row r="8434" hidden="1" x14ac:dyDescent="0.2"/>
    <row r="8435" hidden="1" x14ac:dyDescent="0.2"/>
    <row r="8436" hidden="1" x14ac:dyDescent="0.2"/>
    <row r="8437" hidden="1" x14ac:dyDescent="0.2"/>
    <row r="8438" hidden="1" x14ac:dyDescent="0.2"/>
    <row r="8439" hidden="1" x14ac:dyDescent="0.2"/>
    <row r="8440" hidden="1" x14ac:dyDescent="0.2"/>
    <row r="8441" hidden="1" x14ac:dyDescent="0.2"/>
    <row r="8442" hidden="1" x14ac:dyDescent="0.2"/>
    <row r="8443" hidden="1" x14ac:dyDescent="0.2"/>
    <row r="8444" hidden="1" x14ac:dyDescent="0.2"/>
    <row r="8445" hidden="1" x14ac:dyDescent="0.2"/>
    <row r="8446" hidden="1" x14ac:dyDescent="0.2"/>
    <row r="8447" hidden="1" x14ac:dyDescent="0.2"/>
    <row r="8448" hidden="1" x14ac:dyDescent="0.2"/>
    <row r="8449" hidden="1" x14ac:dyDescent="0.2"/>
    <row r="8450" hidden="1" x14ac:dyDescent="0.2"/>
    <row r="8451" hidden="1" x14ac:dyDescent="0.2"/>
    <row r="8452" hidden="1" x14ac:dyDescent="0.2"/>
    <row r="8453" hidden="1" x14ac:dyDescent="0.2"/>
    <row r="8454" hidden="1" x14ac:dyDescent="0.2"/>
    <row r="8455" hidden="1" x14ac:dyDescent="0.2"/>
    <row r="8456" hidden="1" x14ac:dyDescent="0.2"/>
    <row r="8457" hidden="1" x14ac:dyDescent="0.2"/>
    <row r="8458" hidden="1" x14ac:dyDescent="0.2"/>
    <row r="8459" hidden="1" x14ac:dyDescent="0.2"/>
    <row r="8460" hidden="1" x14ac:dyDescent="0.2"/>
    <row r="8461" hidden="1" x14ac:dyDescent="0.2"/>
    <row r="8462" hidden="1" x14ac:dyDescent="0.2"/>
    <row r="8463" hidden="1" x14ac:dyDescent="0.2"/>
    <row r="8464" hidden="1" x14ac:dyDescent="0.2"/>
    <row r="8465" hidden="1" x14ac:dyDescent="0.2"/>
    <row r="8466" hidden="1" x14ac:dyDescent="0.2"/>
    <row r="8467" hidden="1" x14ac:dyDescent="0.2"/>
    <row r="8468" hidden="1" x14ac:dyDescent="0.2"/>
    <row r="8469" hidden="1" x14ac:dyDescent="0.2"/>
    <row r="8470" hidden="1" x14ac:dyDescent="0.2"/>
    <row r="8471" hidden="1" x14ac:dyDescent="0.2"/>
    <row r="8472" hidden="1" x14ac:dyDescent="0.2"/>
    <row r="8473" hidden="1" x14ac:dyDescent="0.2"/>
    <row r="8474" hidden="1" x14ac:dyDescent="0.2"/>
    <row r="8475" hidden="1" x14ac:dyDescent="0.2"/>
    <row r="8476" hidden="1" x14ac:dyDescent="0.2"/>
    <row r="8477" hidden="1" x14ac:dyDescent="0.2"/>
    <row r="8478" hidden="1" x14ac:dyDescent="0.2"/>
    <row r="8479" hidden="1" x14ac:dyDescent="0.2"/>
    <row r="8480" hidden="1" x14ac:dyDescent="0.2"/>
    <row r="8481" hidden="1" x14ac:dyDescent="0.2"/>
    <row r="8482" hidden="1" x14ac:dyDescent="0.2"/>
    <row r="8483" hidden="1" x14ac:dyDescent="0.2"/>
    <row r="8484" hidden="1" x14ac:dyDescent="0.2"/>
    <row r="8485" hidden="1" x14ac:dyDescent="0.2"/>
    <row r="8486" hidden="1" x14ac:dyDescent="0.2"/>
    <row r="8487" hidden="1" x14ac:dyDescent="0.2"/>
    <row r="8488" hidden="1" x14ac:dyDescent="0.2"/>
    <row r="8489" hidden="1" x14ac:dyDescent="0.2"/>
    <row r="8490" hidden="1" x14ac:dyDescent="0.2"/>
    <row r="8491" hidden="1" x14ac:dyDescent="0.2"/>
    <row r="8492" hidden="1" x14ac:dyDescent="0.2"/>
    <row r="8493" hidden="1" x14ac:dyDescent="0.2"/>
    <row r="8494" hidden="1" x14ac:dyDescent="0.2"/>
    <row r="8495" hidden="1" x14ac:dyDescent="0.2"/>
    <row r="8496" hidden="1" x14ac:dyDescent="0.2"/>
    <row r="8497" hidden="1" x14ac:dyDescent="0.2"/>
    <row r="8498" hidden="1" x14ac:dyDescent="0.2"/>
    <row r="8499" hidden="1" x14ac:dyDescent="0.2"/>
    <row r="8500" hidden="1" x14ac:dyDescent="0.2"/>
    <row r="8501" hidden="1" x14ac:dyDescent="0.2"/>
    <row r="8502" hidden="1" x14ac:dyDescent="0.2"/>
    <row r="8503" hidden="1" x14ac:dyDescent="0.2"/>
    <row r="8504" hidden="1" x14ac:dyDescent="0.2"/>
    <row r="8505" hidden="1" x14ac:dyDescent="0.2"/>
    <row r="8506" hidden="1" x14ac:dyDescent="0.2"/>
    <row r="8507" hidden="1" x14ac:dyDescent="0.2"/>
    <row r="8508" hidden="1" x14ac:dyDescent="0.2"/>
    <row r="8509" hidden="1" x14ac:dyDescent="0.2"/>
    <row r="8510" hidden="1" x14ac:dyDescent="0.2"/>
    <row r="8511" hidden="1" x14ac:dyDescent="0.2"/>
    <row r="8512" hidden="1" x14ac:dyDescent="0.2"/>
    <row r="8513" hidden="1" x14ac:dyDescent="0.2"/>
    <row r="8514" hidden="1" x14ac:dyDescent="0.2"/>
    <row r="8515" hidden="1" x14ac:dyDescent="0.2"/>
    <row r="8516" hidden="1" x14ac:dyDescent="0.2"/>
    <row r="8517" hidden="1" x14ac:dyDescent="0.2"/>
    <row r="8518" hidden="1" x14ac:dyDescent="0.2"/>
    <row r="8519" hidden="1" x14ac:dyDescent="0.2"/>
    <row r="8520" hidden="1" x14ac:dyDescent="0.2"/>
    <row r="8521" hidden="1" x14ac:dyDescent="0.2"/>
    <row r="8522" hidden="1" x14ac:dyDescent="0.2"/>
    <row r="8523" hidden="1" x14ac:dyDescent="0.2"/>
    <row r="8524" hidden="1" x14ac:dyDescent="0.2"/>
    <row r="8525" hidden="1" x14ac:dyDescent="0.2"/>
    <row r="8526" hidden="1" x14ac:dyDescent="0.2"/>
    <row r="8527" hidden="1" x14ac:dyDescent="0.2"/>
    <row r="8528" hidden="1" x14ac:dyDescent="0.2"/>
    <row r="8529" hidden="1" x14ac:dyDescent="0.2"/>
    <row r="8530" hidden="1" x14ac:dyDescent="0.2"/>
    <row r="8531" hidden="1" x14ac:dyDescent="0.2"/>
    <row r="8532" hidden="1" x14ac:dyDescent="0.2"/>
    <row r="8533" hidden="1" x14ac:dyDescent="0.2"/>
    <row r="8534" hidden="1" x14ac:dyDescent="0.2"/>
    <row r="8535" hidden="1" x14ac:dyDescent="0.2"/>
    <row r="8536" hidden="1" x14ac:dyDescent="0.2"/>
    <row r="8537" hidden="1" x14ac:dyDescent="0.2"/>
    <row r="8538" hidden="1" x14ac:dyDescent="0.2"/>
    <row r="8539" hidden="1" x14ac:dyDescent="0.2"/>
    <row r="8540" hidden="1" x14ac:dyDescent="0.2"/>
    <row r="8541" hidden="1" x14ac:dyDescent="0.2"/>
    <row r="8542" hidden="1" x14ac:dyDescent="0.2"/>
    <row r="8543" hidden="1" x14ac:dyDescent="0.2"/>
    <row r="8544" hidden="1" x14ac:dyDescent="0.2"/>
    <row r="8545" hidden="1" x14ac:dyDescent="0.2"/>
    <row r="8546" hidden="1" x14ac:dyDescent="0.2"/>
    <row r="8547" hidden="1" x14ac:dyDescent="0.2"/>
    <row r="8548" hidden="1" x14ac:dyDescent="0.2"/>
    <row r="8549" hidden="1" x14ac:dyDescent="0.2"/>
    <row r="8550" hidden="1" x14ac:dyDescent="0.2"/>
    <row r="8551" hidden="1" x14ac:dyDescent="0.2"/>
    <row r="8552" hidden="1" x14ac:dyDescent="0.2"/>
    <row r="8553" hidden="1" x14ac:dyDescent="0.2"/>
    <row r="8554" hidden="1" x14ac:dyDescent="0.2"/>
    <row r="8555" hidden="1" x14ac:dyDescent="0.2"/>
    <row r="8556" hidden="1" x14ac:dyDescent="0.2"/>
    <row r="8557" hidden="1" x14ac:dyDescent="0.2"/>
    <row r="8558" hidden="1" x14ac:dyDescent="0.2"/>
    <row r="8559" hidden="1" x14ac:dyDescent="0.2"/>
    <row r="8560" hidden="1" x14ac:dyDescent="0.2"/>
    <row r="8561" hidden="1" x14ac:dyDescent="0.2"/>
    <row r="8562" hidden="1" x14ac:dyDescent="0.2"/>
    <row r="8563" hidden="1" x14ac:dyDescent="0.2"/>
    <row r="8564" hidden="1" x14ac:dyDescent="0.2"/>
    <row r="8565" hidden="1" x14ac:dyDescent="0.2"/>
    <row r="8566" hidden="1" x14ac:dyDescent="0.2"/>
    <row r="8567" hidden="1" x14ac:dyDescent="0.2"/>
    <row r="8568" hidden="1" x14ac:dyDescent="0.2"/>
    <row r="8569" hidden="1" x14ac:dyDescent="0.2"/>
    <row r="8570" hidden="1" x14ac:dyDescent="0.2"/>
    <row r="8571" hidden="1" x14ac:dyDescent="0.2"/>
    <row r="8572" hidden="1" x14ac:dyDescent="0.2"/>
    <row r="8573" hidden="1" x14ac:dyDescent="0.2"/>
    <row r="8574" hidden="1" x14ac:dyDescent="0.2"/>
    <row r="8575" hidden="1" x14ac:dyDescent="0.2"/>
    <row r="8576" hidden="1" x14ac:dyDescent="0.2"/>
    <row r="8577" hidden="1" x14ac:dyDescent="0.2"/>
    <row r="8578" hidden="1" x14ac:dyDescent="0.2"/>
    <row r="8579" hidden="1" x14ac:dyDescent="0.2"/>
    <row r="8580" hidden="1" x14ac:dyDescent="0.2"/>
    <row r="8581" hidden="1" x14ac:dyDescent="0.2"/>
    <row r="8582" hidden="1" x14ac:dyDescent="0.2"/>
    <row r="8583" hidden="1" x14ac:dyDescent="0.2"/>
    <row r="8584" hidden="1" x14ac:dyDescent="0.2"/>
    <row r="8585" hidden="1" x14ac:dyDescent="0.2"/>
    <row r="8586" hidden="1" x14ac:dyDescent="0.2"/>
    <row r="8587" hidden="1" x14ac:dyDescent="0.2"/>
    <row r="8588" hidden="1" x14ac:dyDescent="0.2"/>
    <row r="8589" hidden="1" x14ac:dyDescent="0.2"/>
    <row r="8590" hidden="1" x14ac:dyDescent="0.2"/>
    <row r="8591" hidden="1" x14ac:dyDescent="0.2"/>
    <row r="8592" hidden="1" x14ac:dyDescent="0.2"/>
    <row r="8593" hidden="1" x14ac:dyDescent="0.2"/>
    <row r="8594" hidden="1" x14ac:dyDescent="0.2"/>
    <row r="8595" hidden="1" x14ac:dyDescent="0.2"/>
    <row r="8596" hidden="1" x14ac:dyDescent="0.2"/>
    <row r="8597" hidden="1" x14ac:dyDescent="0.2"/>
    <row r="8598" hidden="1" x14ac:dyDescent="0.2"/>
    <row r="8599" hidden="1" x14ac:dyDescent="0.2"/>
    <row r="8600" hidden="1" x14ac:dyDescent="0.2"/>
    <row r="8601" hidden="1" x14ac:dyDescent="0.2"/>
    <row r="8602" hidden="1" x14ac:dyDescent="0.2"/>
    <row r="8603" hidden="1" x14ac:dyDescent="0.2"/>
    <row r="8604" hidden="1" x14ac:dyDescent="0.2"/>
    <row r="8605" hidden="1" x14ac:dyDescent="0.2"/>
    <row r="8606" hidden="1" x14ac:dyDescent="0.2"/>
    <row r="8607" hidden="1" x14ac:dyDescent="0.2"/>
    <row r="8608" hidden="1" x14ac:dyDescent="0.2"/>
    <row r="8609" hidden="1" x14ac:dyDescent="0.2"/>
    <row r="8610" hidden="1" x14ac:dyDescent="0.2"/>
    <row r="8611" hidden="1" x14ac:dyDescent="0.2"/>
    <row r="8612" hidden="1" x14ac:dyDescent="0.2"/>
    <row r="8613" hidden="1" x14ac:dyDescent="0.2"/>
    <row r="8614" hidden="1" x14ac:dyDescent="0.2"/>
    <row r="8615" hidden="1" x14ac:dyDescent="0.2"/>
    <row r="8616" hidden="1" x14ac:dyDescent="0.2"/>
    <row r="8617" hidden="1" x14ac:dyDescent="0.2"/>
    <row r="8618" hidden="1" x14ac:dyDescent="0.2"/>
    <row r="8619" hidden="1" x14ac:dyDescent="0.2"/>
    <row r="8620" hidden="1" x14ac:dyDescent="0.2"/>
    <row r="8621" hidden="1" x14ac:dyDescent="0.2"/>
    <row r="8622" hidden="1" x14ac:dyDescent="0.2"/>
    <row r="8623" hidden="1" x14ac:dyDescent="0.2"/>
    <row r="8624" hidden="1" x14ac:dyDescent="0.2"/>
    <row r="8625" hidden="1" x14ac:dyDescent="0.2"/>
    <row r="8626" hidden="1" x14ac:dyDescent="0.2"/>
    <row r="8627" hidden="1" x14ac:dyDescent="0.2"/>
    <row r="8628" hidden="1" x14ac:dyDescent="0.2"/>
    <row r="8629" hidden="1" x14ac:dyDescent="0.2"/>
    <row r="8630" hidden="1" x14ac:dyDescent="0.2"/>
    <row r="8631" hidden="1" x14ac:dyDescent="0.2"/>
    <row r="8632" hidden="1" x14ac:dyDescent="0.2"/>
    <row r="8633" hidden="1" x14ac:dyDescent="0.2"/>
    <row r="8634" hidden="1" x14ac:dyDescent="0.2"/>
    <row r="8635" hidden="1" x14ac:dyDescent="0.2"/>
    <row r="8636" hidden="1" x14ac:dyDescent="0.2"/>
    <row r="8637" hidden="1" x14ac:dyDescent="0.2"/>
    <row r="8638" hidden="1" x14ac:dyDescent="0.2"/>
    <row r="8639" hidden="1" x14ac:dyDescent="0.2"/>
    <row r="8640" hidden="1" x14ac:dyDescent="0.2"/>
    <row r="8641" hidden="1" x14ac:dyDescent="0.2"/>
    <row r="8642" hidden="1" x14ac:dyDescent="0.2"/>
    <row r="8643" hidden="1" x14ac:dyDescent="0.2"/>
    <row r="8644" hidden="1" x14ac:dyDescent="0.2"/>
    <row r="8645" hidden="1" x14ac:dyDescent="0.2"/>
    <row r="8646" hidden="1" x14ac:dyDescent="0.2"/>
    <row r="8647" hidden="1" x14ac:dyDescent="0.2"/>
    <row r="8648" hidden="1" x14ac:dyDescent="0.2"/>
    <row r="8649" hidden="1" x14ac:dyDescent="0.2"/>
    <row r="8650" hidden="1" x14ac:dyDescent="0.2"/>
    <row r="8651" hidden="1" x14ac:dyDescent="0.2"/>
    <row r="8652" hidden="1" x14ac:dyDescent="0.2"/>
    <row r="8653" hidden="1" x14ac:dyDescent="0.2"/>
    <row r="8654" hidden="1" x14ac:dyDescent="0.2"/>
    <row r="8655" hidden="1" x14ac:dyDescent="0.2"/>
    <row r="8656" hidden="1" x14ac:dyDescent="0.2"/>
    <row r="8657" hidden="1" x14ac:dyDescent="0.2"/>
    <row r="8658" hidden="1" x14ac:dyDescent="0.2"/>
    <row r="8659" hidden="1" x14ac:dyDescent="0.2"/>
    <row r="8660" hidden="1" x14ac:dyDescent="0.2"/>
    <row r="8661" hidden="1" x14ac:dyDescent="0.2"/>
    <row r="8662" hidden="1" x14ac:dyDescent="0.2"/>
    <row r="8663" hidden="1" x14ac:dyDescent="0.2"/>
    <row r="8664" hidden="1" x14ac:dyDescent="0.2"/>
    <row r="8665" hidden="1" x14ac:dyDescent="0.2"/>
    <row r="8666" hidden="1" x14ac:dyDescent="0.2"/>
    <row r="8667" hidden="1" x14ac:dyDescent="0.2"/>
    <row r="8668" hidden="1" x14ac:dyDescent="0.2"/>
    <row r="8669" hidden="1" x14ac:dyDescent="0.2"/>
    <row r="8670" hidden="1" x14ac:dyDescent="0.2"/>
    <row r="8671" hidden="1" x14ac:dyDescent="0.2"/>
    <row r="8672" hidden="1" x14ac:dyDescent="0.2"/>
    <row r="8673" hidden="1" x14ac:dyDescent="0.2"/>
    <row r="8674" hidden="1" x14ac:dyDescent="0.2"/>
    <row r="8675" hidden="1" x14ac:dyDescent="0.2"/>
    <row r="8676" hidden="1" x14ac:dyDescent="0.2"/>
    <row r="8677" hidden="1" x14ac:dyDescent="0.2"/>
    <row r="8678" hidden="1" x14ac:dyDescent="0.2"/>
    <row r="8679" hidden="1" x14ac:dyDescent="0.2"/>
    <row r="8680" hidden="1" x14ac:dyDescent="0.2"/>
    <row r="8681" hidden="1" x14ac:dyDescent="0.2"/>
    <row r="8682" hidden="1" x14ac:dyDescent="0.2"/>
    <row r="8683" hidden="1" x14ac:dyDescent="0.2"/>
    <row r="8684" hidden="1" x14ac:dyDescent="0.2"/>
    <row r="8685" hidden="1" x14ac:dyDescent="0.2"/>
    <row r="8686" hidden="1" x14ac:dyDescent="0.2"/>
    <row r="8687" hidden="1" x14ac:dyDescent="0.2"/>
    <row r="8688" hidden="1" x14ac:dyDescent="0.2"/>
    <row r="8689" hidden="1" x14ac:dyDescent="0.2"/>
    <row r="8690" hidden="1" x14ac:dyDescent="0.2"/>
    <row r="8691" hidden="1" x14ac:dyDescent="0.2"/>
    <row r="8692" hidden="1" x14ac:dyDescent="0.2"/>
    <row r="8693" hidden="1" x14ac:dyDescent="0.2"/>
    <row r="8694" hidden="1" x14ac:dyDescent="0.2"/>
    <row r="8695" hidden="1" x14ac:dyDescent="0.2"/>
    <row r="8696" hidden="1" x14ac:dyDescent="0.2"/>
    <row r="8697" hidden="1" x14ac:dyDescent="0.2"/>
    <row r="8698" hidden="1" x14ac:dyDescent="0.2"/>
    <row r="8699" hidden="1" x14ac:dyDescent="0.2"/>
    <row r="8700" hidden="1" x14ac:dyDescent="0.2"/>
    <row r="8701" hidden="1" x14ac:dyDescent="0.2"/>
    <row r="8702" hidden="1" x14ac:dyDescent="0.2"/>
    <row r="8703" hidden="1" x14ac:dyDescent="0.2"/>
    <row r="8704" hidden="1" x14ac:dyDescent="0.2"/>
    <row r="8705" hidden="1" x14ac:dyDescent="0.2"/>
    <row r="8706" hidden="1" x14ac:dyDescent="0.2"/>
    <row r="8707" hidden="1" x14ac:dyDescent="0.2"/>
    <row r="8708" hidden="1" x14ac:dyDescent="0.2"/>
    <row r="8709" hidden="1" x14ac:dyDescent="0.2"/>
    <row r="8710" hidden="1" x14ac:dyDescent="0.2"/>
    <row r="8711" hidden="1" x14ac:dyDescent="0.2"/>
    <row r="8712" hidden="1" x14ac:dyDescent="0.2"/>
    <row r="8713" hidden="1" x14ac:dyDescent="0.2"/>
    <row r="8714" hidden="1" x14ac:dyDescent="0.2"/>
    <row r="8715" hidden="1" x14ac:dyDescent="0.2"/>
    <row r="8716" hidden="1" x14ac:dyDescent="0.2"/>
    <row r="8717" hidden="1" x14ac:dyDescent="0.2"/>
    <row r="8718" hidden="1" x14ac:dyDescent="0.2"/>
    <row r="8719" hidden="1" x14ac:dyDescent="0.2"/>
    <row r="8720" hidden="1" x14ac:dyDescent="0.2"/>
    <row r="8721" hidden="1" x14ac:dyDescent="0.2"/>
    <row r="8722" hidden="1" x14ac:dyDescent="0.2"/>
    <row r="8723" hidden="1" x14ac:dyDescent="0.2"/>
    <row r="8724" hidden="1" x14ac:dyDescent="0.2"/>
    <row r="8725" hidden="1" x14ac:dyDescent="0.2"/>
    <row r="8726" hidden="1" x14ac:dyDescent="0.2"/>
    <row r="8727" hidden="1" x14ac:dyDescent="0.2"/>
    <row r="8728" hidden="1" x14ac:dyDescent="0.2"/>
    <row r="8729" hidden="1" x14ac:dyDescent="0.2"/>
    <row r="8730" hidden="1" x14ac:dyDescent="0.2"/>
    <row r="8731" hidden="1" x14ac:dyDescent="0.2"/>
    <row r="8732" hidden="1" x14ac:dyDescent="0.2"/>
    <row r="8733" hidden="1" x14ac:dyDescent="0.2"/>
    <row r="8734" hidden="1" x14ac:dyDescent="0.2"/>
    <row r="8735" hidden="1" x14ac:dyDescent="0.2"/>
    <row r="8736" hidden="1" x14ac:dyDescent="0.2"/>
    <row r="8737" hidden="1" x14ac:dyDescent="0.2"/>
    <row r="8738" hidden="1" x14ac:dyDescent="0.2"/>
    <row r="8739" hidden="1" x14ac:dyDescent="0.2"/>
    <row r="8740" hidden="1" x14ac:dyDescent="0.2"/>
    <row r="8741" hidden="1" x14ac:dyDescent="0.2"/>
    <row r="8742" hidden="1" x14ac:dyDescent="0.2"/>
    <row r="8743" hidden="1" x14ac:dyDescent="0.2"/>
    <row r="8744" hidden="1" x14ac:dyDescent="0.2"/>
    <row r="8745" hidden="1" x14ac:dyDescent="0.2"/>
    <row r="8746" hidden="1" x14ac:dyDescent="0.2"/>
    <row r="8747" hidden="1" x14ac:dyDescent="0.2"/>
    <row r="8748" hidden="1" x14ac:dyDescent="0.2"/>
    <row r="8749" hidden="1" x14ac:dyDescent="0.2"/>
    <row r="8750" hidden="1" x14ac:dyDescent="0.2"/>
    <row r="8751" hidden="1" x14ac:dyDescent="0.2"/>
    <row r="8752" hidden="1" x14ac:dyDescent="0.2"/>
    <row r="8753" hidden="1" x14ac:dyDescent="0.2"/>
    <row r="8754" hidden="1" x14ac:dyDescent="0.2"/>
    <row r="8755" hidden="1" x14ac:dyDescent="0.2"/>
    <row r="8756" hidden="1" x14ac:dyDescent="0.2"/>
    <row r="8757" hidden="1" x14ac:dyDescent="0.2"/>
    <row r="8758" hidden="1" x14ac:dyDescent="0.2"/>
    <row r="8759" hidden="1" x14ac:dyDescent="0.2"/>
    <row r="8760" hidden="1" x14ac:dyDescent="0.2"/>
    <row r="8761" hidden="1" x14ac:dyDescent="0.2"/>
    <row r="8762" hidden="1" x14ac:dyDescent="0.2"/>
    <row r="8763" hidden="1" x14ac:dyDescent="0.2"/>
    <row r="8764" hidden="1" x14ac:dyDescent="0.2"/>
    <row r="8765" hidden="1" x14ac:dyDescent="0.2"/>
    <row r="8766" hidden="1" x14ac:dyDescent="0.2"/>
    <row r="8767" hidden="1" x14ac:dyDescent="0.2"/>
    <row r="8768" hidden="1" x14ac:dyDescent="0.2"/>
    <row r="8769" hidden="1" x14ac:dyDescent="0.2"/>
    <row r="8770" hidden="1" x14ac:dyDescent="0.2"/>
    <row r="8771" hidden="1" x14ac:dyDescent="0.2"/>
    <row r="8772" hidden="1" x14ac:dyDescent="0.2"/>
    <row r="8773" hidden="1" x14ac:dyDescent="0.2"/>
    <row r="8774" hidden="1" x14ac:dyDescent="0.2"/>
    <row r="8775" hidden="1" x14ac:dyDescent="0.2"/>
    <row r="8776" hidden="1" x14ac:dyDescent="0.2"/>
    <row r="8777" hidden="1" x14ac:dyDescent="0.2"/>
    <row r="8778" hidden="1" x14ac:dyDescent="0.2"/>
    <row r="8779" hidden="1" x14ac:dyDescent="0.2"/>
    <row r="8780" hidden="1" x14ac:dyDescent="0.2"/>
    <row r="8781" hidden="1" x14ac:dyDescent="0.2"/>
    <row r="8782" hidden="1" x14ac:dyDescent="0.2"/>
    <row r="8783" hidden="1" x14ac:dyDescent="0.2"/>
    <row r="8784" hidden="1" x14ac:dyDescent="0.2"/>
    <row r="8785" hidden="1" x14ac:dyDescent="0.2"/>
    <row r="8786" hidden="1" x14ac:dyDescent="0.2"/>
    <row r="8787" hidden="1" x14ac:dyDescent="0.2"/>
    <row r="8788" hidden="1" x14ac:dyDescent="0.2"/>
    <row r="8789" hidden="1" x14ac:dyDescent="0.2"/>
    <row r="8790" hidden="1" x14ac:dyDescent="0.2"/>
    <row r="8791" hidden="1" x14ac:dyDescent="0.2"/>
    <row r="8792" hidden="1" x14ac:dyDescent="0.2"/>
    <row r="8793" hidden="1" x14ac:dyDescent="0.2"/>
    <row r="8794" hidden="1" x14ac:dyDescent="0.2"/>
    <row r="8795" hidden="1" x14ac:dyDescent="0.2"/>
    <row r="8796" hidden="1" x14ac:dyDescent="0.2"/>
    <row r="8797" hidden="1" x14ac:dyDescent="0.2"/>
    <row r="8798" hidden="1" x14ac:dyDescent="0.2"/>
    <row r="8799" hidden="1" x14ac:dyDescent="0.2"/>
    <row r="8800" hidden="1" x14ac:dyDescent="0.2"/>
    <row r="8801" hidden="1" x14ac:dyDescent="0.2"/>
    <row r="8802" hidden="1" x14ac:dyDescent="0.2"/>
    <row r="8803" hidden="1" x14ac:dyDescent="0.2"/>
    <row r="8804" hidden="1" x14ac:dyDescent="0.2"/>
    <row r="8805" hidden="1" x14ac:dyDescent="0.2"/>
    <row r="8806" hidden="1" x14ac:dyDescent="0.2"/>
    <row r="8807" hidden="1" x14ac:dyDescent="0.2"/>
    <row r="8808" hidden="1" x14ac:dyDescent="0.2"/>
    <row r="8809" hidden="1" x14ac:dyDescent="0.2"/>
    <row r="8810" hidden="1" x14ac:dyDescent="0.2"/>
    <row r="8811" hidden="1" x14ac:dyDescent="0.2"/>
    <row r="8812" hidden="1" x14ac:dyDescent="0.2"/>
    <row r="8813" hidden="1" x14ac:dyDescent="0.2"/>
    <row r="8814" hidden="1" x14ac:dyDescent="0.2"/>
    <row r="8815" hidden="1" x14ac:dyDescent="0.2"/>
    <row r="8816" hidden="1" x14ac:dyDescent="0.2"/>
    <row r="8817" hidden="1" x14ac:dyDescent="0.2"/>
    <row r="8818" hidden="1" x14ac:dyDescent="0.2"/>
    <row r="8819" hidden="1" x14ac:dyDescent="0.2"/>
    <row r="8820" hidden="1" x14ac:dyDescent="0.2"/>
    <row r="8821" hidden="1" x14ac:dyDescent="0.2"/>
    <row r="8822" hidden="1" x14ac:dyDescent="0.2"/>
    <row r="8823" hidden="1" x14ac:dyDescent="0.2"/>
    <row r="8824" hidden="1" x14ac:dyDescent="0.2"/>
    <row r="8825" hidden="1" x14ac:dyDescent="0.2"/>
    <row r="8826" hidden="1" x14ac:dyDescent="0.2"/>
    <row r="8827" hidden="1" x14ac:dyDescent="0.2"/>
    <row r="8828" hidden="1" x14ac:dyDescent="0.2"/>
    <row r="8829" hidden="1" x14ac:dyDescent="0.2"/>
    <row r="8830" hidden="1" x14ac:dyDescent="0.2"/>
    <row r="8831" hidden="1" x14ac:dyDescent="0.2"/>
    <row r="8832" hidden="1" x14ac:dyDescent="0.2"/>
    <row r="8833" hidden="1" x14ac:dyDescent="0.2"/>
    <row r="8834" hidden="1" x14ac:dyDescent="0.2"/>
    <row r="8835" hidden="1" x14ac:dyDescent="0.2"/>
    <row r="8836" hidden="1" x14ac:dyDescent="0.2"/>
    <row r="8837" hidden="1" x14ac:dyDescent="0.2"/>
    <row r="8838" hidden="1" x14ac:dyDescent="0.2"/>
    <row r="8839" hidden="1" x14ac:dyDescent="0.2"/>
    <row r="8840" hidden="1" x14ac:dyDescent="0.2"/>
    <row r="8841" hidden="1" x14ac:dyDescent="0.2"/>
    <row r="8842" hidden="1" x14ac:dyDescent="0.2"/>
    <row r="8843" hidden="1" x14ac:dyDescent="0.2"/>
    <row r="8844" hidden="1" x14ac:dyDescent="0.2"/>
    <row r="8845" hidden="1" x14ac:dyDescent="0.2"/>
    <row r="8846" hidden="1" x14ac:dyDescent="0.2"/>
    <row r="8847" hidden="1" x14ac:dyDescent="0.2"/>
    <row r="8848" hidden="1" x14ac:dyDescent="0.2"/>
    <row r="8849" hidden="1" x14ac:dyDescent="0.2"/>
    <row r="8850" hidden="1" x14ac:dyDescent="0.2"/>
    <row r="8851" hidden="1" x14ac:dyDescent="0.2"/>
    <row r="8852" hidden="1" x14ac:dyDescent="0.2"/>
    <row r="8853" hidden="1" x14ac:dyDescent="0.2"/>
    <row r="8854" hidden="1" x14ac:dyDescent="0.2"/>
    <row r="8855" hidden="1" x14ac:dyDescent="0.2"/>
    <row r="8856" hidden="1" x14ac:dyDescent="0.2"/>
    <row r="8857" hidden="1" x14ac:dyDescent="0.2"/>
    <row r="8858" hidden="1" x14ac:dyDescent="0.2"/>
    <row r="8859" hidden="1" x14ac:dyDescent="0.2"/>
    <row r="8860" hidden="1" x14ac:dyDescent="0.2"/>
    <row r="8861" hidden="1" x14ac:dyDescent="0.2"/>
    <row r="8862" hidden="1" x14ac:dyDescent="0.2"/>
    <row r="8863" hidden="1" x14ac:dyDescent="0.2"/>
    <row r="8864" hidden="1" x14ac:dyDescent="0.2"/>
    <row r="8865" hidden="1" x14ac:dyDescent="0.2"/>
    <row r="8866" hidden="1" x14ac:dyDescent="0.2"/>
    <row r="8867" hidden="1" x14ac:dyDescent="0.2"/>
    <row r="8868" hidden="1" x14ac:dyDescent="0.2"/>
    <row r="8869" hidden="1" x14ac:dyDescent="0.2"/>
    <row r="8870" hidden="1" x14ac:dyDescent="0.2"/>
    <row r="8871" hidden="1" x14ac:dyDescent="0.2"/>
    <row r="8872" hidden="1" x14ac:dyDescent="0.2"/>
    <row r="8873" hidden="1" x14ac:dyDescent="0.2"/>
    <row r="8874" hidden="1" x14ac:dyDescent="0.2"/>
    <row r="8875" hidden="1" x14ac:dyDescent="0.2"/>
    <row r="8876" hidden="1" x14ac:dyDescent="0.2"/>
    <row r="8877" hidden="1" x14ac:dyDescent="0.2"/>
    <row r="8878" hidden="1" x14ac:dyDescent="0.2"/>
    <row r="8879" hidden="1" x14ac:dyDescent="0.2"/>
    <row r="8880" hidden="1" x14ac:dyDescent="0.2"/>
    <row r="8881" hidden="1" x14ac:dyDescent="0.2"/>
    <row r="8882" hidden="1" x14ac:dyDescent="0.2"/>
    <row r="8883" hidden="1" x14ac:dyDescent="0.2"/>
    <row r="8884" hidden="1" x14ac:dyDescent="0.2"/>
    <row r="8885" hidden="1" x14ac:dyDescent="0.2"/>
    <row r="8886" hidden="1" x14ac:dyDescent="0.2"/>
    <row r="8887" hidden="1" x14ac:dyDescent="0.2"/>
    <row r="8888" hidden="1" x14ac:dyDescent="0.2"/>
    <row r="8889" hidden="1" x14ac:dyDescent="0.2"/>
    <row r="8890" hidden="1" x14ac:dyDescent="0.2"/>
    <row r="8891" hidden="1" x14ac:dyDescent="0.2"/>
    <row r="8892" hidden="1" x14ac:dyDescent="0.2"/>
    <row r="8893" hidden="1" x14ac:dyDescent="0.2"/>
    <row r="8894" hidden="1" x14ac:dyDescent="0.2"/>
    <row r="8895" hidden="1" x14ac:dyDescent="0.2"/>
    <row r="8896" hidden="1" x14ac:dyDescent="0.2"/>
    <row r="8897" hidden="1" x14ac:dyDescent="0.2"/>
    <row r="8898" hidden="1" x14ac:dyDescent="0.2"/>
    <row r="8899" hidden="1" x14ac:dyDescent="0.2"/>
    <row r="8900" hidden="1" x14ac:dyDescent="0.2"/>
    <row r="8901" hidden="1" x14ac:dyDescent="0.2"/>
    <row r="8902" hidden="1" x14ac:dyDescent="0.2"/>
    <row r="8903" hidden="1" x14ac:dyDescent="0.2"/>
    <row r="8904" hidden="1" x14ac:dyDescent="0.2"/>
    <row r="8905" hidden="1" x14ac:dyDescent="0.2"/>
    <row r="8906" hidden="1" x14ac:dyDescent="0.2"/>
    <row r="8907" hidden="1" x14ac:dyDescent="0.2"/>
    <row r="8908" hidden="1" x14ac:dyDescent="0.2"/>
    <row r="8909" hidden="1" x14ac:dyDescent="0.2"/>
    <row r="8910" hidden="1" x14ac:dyDescent="0.2"/>
    <row r="8911" hidden="1" x14ac:dyDescent="0.2"/>
    <row r="8912" hidden="1" x14ac:dyDescent="0.2"/>
    <row r="8913" hidden="1" x14ac:dyDescent="0.2"/>
    <row r="8914" hidden="1" x14ac:dyDescent="0.2"/>
    <row r="8915" hidden="1" x14ac:dyDescent="0.2"/>
    <row r="8916" hidden="1" x14ac:dyDescent="0.2"/>
    <row r="8917" hidden="1" x14ac:dyDescent="0.2"/>
    <row r="8918" hidden="1" x14ac:dyDescent="0.2"/>
    <row r="8919" hidden="1" x14ac:dyDescent="0.2"/>
    <row r="8920" hidden="1" x14ac:dyDescent="0.2"/>
    <row r="8921" hidden="1" x14ac:dyDescent="0.2"/>
    <row r="8922" hidden="1" x14ac:dyDescent="0.2"/>
    <row r="8923" hidden="1" x14ac:dyDescent="0.2"/>
    <row r="8924" hidden="1" x14ac:dyDescent="0.2"/>
    <row r="8925" hidden="1" x14ac:dyDescent="0.2"/>
    <row r="8926" hidden="1" x14ac:dyDescent="0.2"/>
    <row r="8927" hidden="1" x14ac:dyDescent="0.2"/>
    <row r="8928" hidden="1" x14ac:dyDescent="0.2"/>
    <row r="8929" hidden="1" x14ac:dyDescent="0.2"/>
    <row r="8930" hidden="1" x14ac:dyDescent="0.2"/>
    <row r="8931" hidden="1" x14ac:dyDescent="0.2"/>
    <row r="8932" hidden="1" x14ac:dyDescent="0.2"/>
    <row r="8933" hidden="1" x14ac:dyDescent="0.2"/>
    <row r="8934" hidden="1" x14ac:dyDescent="0.2"/>
    <row r="8935" hidden="1" x14ac:dyDescent="0.2"/>
    <row r="8936" hidden="1" x14ac:dyDescent="0.2"/>
    <row r="8937" hidden="1" x14ac:dyDescent="0.2"/>
    <row r="8938" hidden="1" x14ac:dyDescent="0.2"/>
    <row r="8939" hidden="1" x14ac:dyDescent="0.2"/>
    <row r="8940" hidden="1" x14ac:dyDescent="0.2"/>
    <row r="8941" hidden="1" x14ac:dyDescent="0.2"/>
    <row r="8942" hidden="1" x14ac:dyDescent="0.2"/>
    <row r="8943" hidden="1" x14ac:dyDescent="0.2"/>
    <row r="8944" hidden="1" x14ac:dyDescent="0.2"/>
    <row r="8945" hidden="1" x14ac:dyDescent="0.2"/>
    <row r="8946" hidden="1" x14ac:dyDescent="0.2"/>
    <row r="8947" hidden="1" x14ac:dyDescent="0.2"/>
    <row r="8948" hidden="1" x14ac:dyDescent="0.2"/>
    <row r="8949" hidden="1" x14ac:dyDescent="0.2"/>
    <row r="8950" hidden="1" x14ac:dyDescent="0.2"/>
    <row r="8951" hidden="1" x14ac:dyDescent="0.2"/>
    <row r="8952" hidden="1" x14ac:dyDescent="0.2"/>
    <row r="8953" hidden="1" x14ac:dyDescent="0.2"/>
    <row r="8954" hidden="1" x14ac:dyDescent="0.2"/>
    <row r="8955" hidden="1" x14ac:dyDescent="0.2"/>
    <row r="8956" hidden="1" x14ac:dyDescent="0.2"/>
    <row r="8957" hidden="1" x14ac:dyDescent="0.2"/>
    <row r="8958" hidden="1" x14ac:dyDescent="0.2"/>
    <row r="8959" hidden="1" x14ac:dyDescent="0.2"/>
    <row r="8960" hidden="1" x14ac:dyDescent="0.2"/>
    <row r="8961" hidden="1" x14ac:dyDescent="0.2"/>
    <row r="8962" hidden="1" x14ac:dyDescent="0.2"/>
    <row r="8963" hidden="1" x14ac:dyDescent="0.2"/>
    <row r="8964" hidden="1" x14ac:dyDescent="0.2"/>
    <row r="8965" hidden="1" x14ac:dyDescent="0.2"/>
    <row r="8966" hidden="1" x14ac:dyDescent="0.2"/>
    <row r="8967" hidden="1" x14ac:dyDescent="0.2"/>
    <row r="8968" hidden="1" x14ac:dyDescent="0.2"/>
    <row r="8969" hidden="1" x14ac:dyDescent="0.2"/>
    <row r="8970" hidden="1" x14ac:dyDescent="0.2"/>
    <row r="8971" hidden="1" x14ac:dyDescent="0.2"/>
    <row r="8972" hidden="1" x14ac:dyDescent="0.2"/>
    <row r="8973" hidden="1" x14ac:dyDescent="0.2"/>
    <row r="8974" hidden="1" x14ac:dyDescent="0.2"/>
    <row r="8975" hidden="1" x14ac:dyDescent="0.2"/>
    <row r="8976" hidden="1" x14ac:dyDescent="0.2"/>
    <row r="8977" hidden="1" x14ac:dyDescent="0.2"/>
    <row r="8978" hidden="1" x14ac:dyDescent="0.2"/>
    <row r="8979" hidden="1" x14ac:dyDescent="0.2"/>
    <row r="8980" hidden="1" x14ac:dyDescent="0.2"/>
    <row r="8981" hidden="1" x14ac:dyDescent="0.2"/>
    <row r="8982" hidden="1" x14ac:dyDescent="0.2"/>
    <row r="8983" hidden="1" x14ac:dyDescent="0.2"/>
    <row r="8984" hidden="1" x14ac:dyDescent="0.2"/>
    <row r="8985" hidden="1" x14ac:dyDescent="0.2"/>
    <row r="8986" hidden="1" x14ac:dyDescent="0.2"/>
    <row r="8987" hidden="1" x14ac:dyDescent="0.2"/>
    <row r="8988" hidden="1" x14ac:dyDescent="0.2"/>
    <row r="8989" hidden="1" x14ac:dyDescent="0.2"/>
    <row r="8990" hidden="1" x14ac:dyDescent="0.2"/>
    <row r="8991" hidden="1" x14ac:dyDescent="0.2"/>
    <row r="8992" hidden="1" x14ac:dyDescent="0.2"/>
    <row r="8993" hidden="1" x14ac:dyDescent="0.2"/>
    <row r="8994" hidden="1" x14ac:dyDescent="0.2"/>
    <row r="8995" hidden="1" x14ac:dyDescent="0.2"/>
    <row r="8996" hidden="1" x14ac:dyDescent="0.2"/>
    <row r="8997" hidden="1" x14ac:dyDescent="0.2"/>
    <row r="8998" hidden="1" x14ac:dyDescent="0.2"/>
    <row r="8999" hidden="1" x14ac:dyDescent="0.2"/>
    <row r="9000" hidden="1" x14ac:dyDescent="0.2"/>
    <row r="9001" hidden="1" x14ac:dyDescent="0.2"/>
    <row r="9002" hidden="1" x14ac:dyDescent="0.2"/>
    <row r="9003" hidden="1" x14ac:dyDescent="0.2"/>
    <row r="9004" hidden="1" x14ac:dyDescent="0.2"/>
    <row r="9005" hidden="1" x14ac:dyDescent="0.2"/>
    <row r="9006" hidden="1" x14ac:dyDescent="0.2"/>
    <row r="9007" hidden="1" x14ac:dyDescent="0.2"/>
    <row r="9008" hidden="1" x14ac:dyDescent="0.2"/>
    <row r="9009" hidden="1" x14ac:dyDescent="0.2"/>
    <row r="9010" hidden="1" x14ac:dyDescent="0.2"/>
    <row r="9011" hidden="1" x14ac:dyDescent="0.2"/>
    <row r="9012" hidden="1" x14ac:dyDescent="0.2"/>
    <row r="9013" hidden="1" x14ac:dyDescent="0.2"/>
    <row r="9014" hidden="1" x14ac:dyDescent="0.2"/>
    <row r="9015" hidden="1" x14ac:dyDescent="0.2"/>
    <row r="9016" hidden="1" x14ac:dyDescent="0.2"/>
    <row r="9017" hidden="1" x14ac:dyDescent="0.2"/>
    <row r="9018" hidden="1" x14ac:dyDescent="0.2"/>
    <row r="9019" hidden="1" x14ac:dyDescent="0.2"/>
    <row r="9020" hidden="1" x14ac:dyDescent="0.2"/>
    <row r="9021" hidden="1" x14ac:dyDescent="0.2"/>
    <row r="9022" hidden="1" x14ac:dyDescent="0.2"/>
    <row r="9023" hidden="1" x14ac:dyDescent="0.2"/>
    <row r="9024" hidden="1" x14ac:dyDescent="0.2"/>
    <row r="9025" hidden="1" x14ac:dyDescent="0.2"/>
    <row r="9026" hidden="1" x14ac:dyDescent="0.2"/>
    <row r="9027" hidden="1" x14ac:dyDescent="0.2"/>
    <row r="9028" hidden="1" x14ac:dyDescent="0.2"/>
    <row r="9029" hidden="1" x14ac:dyDescent="0.2"/>
    <row r="9030" hidden="1" x14ac:dyDescent="0.2"/>
    <row r="9031" hidden="1" x14ac:dyDescent="0.2"/>
    <row r="9032" hidden="1" x14ac:dyDescent="0.2"/>
    <row r="9033" hidden="1" x14ac:dyDescent="0.2"/>
    <row r="9034" hidden="1" x14ac:dyDescent="0.2"/>
    <row r="9035" hidden="1" x14ac:dyDescent="0.2"/>
    <row r="9036" hidden="1" x14ac:dyDescent="0.2"/>
    <row r="9037" hidden="1" x14ac:dyDescent="0.2"/>
    <row r="9038" hidden="1" x14ac:dyDescent="0.2"/>
    <row r="9039" hidden="1" x14ac:dyDescent="0.2"/>
    <row r="9040" hidden="1" x14ac:dyDescent="0.2"/>
    <row r="9041" hidden="1" x14ac:dyDescent="0.2"/>
    <row r="9042" hidden="1" x14ac:dyDescent="0.2"/>
    <row r="9043" hidden="1" x14ac:dyDescent="0.2"/>
    <row r="9044" hidden="1" x14ac:dyDescent="0.2"/>
    <row r="9045" hidden="1" x14ac:dyDescent="0.2"/>
    <row r="9046" hidden="1" x14ac:dyDescent="0.2"/>
    <row r="9047" hidden="1" x14ac:dyDescent="0.2"/>
    <row r="9048" hidden="1" x14ac:dyDescent="0.2"/>
    <row r="9049" hidden="1" x14ac:dyDescent="0.2"/>
    <row r="9050" hidden="1" x14ac:dyDescent="0.2"/>
    <row r="9051" hidden="1" x14ac:dyDescent="0.2"/>
    <row r="9052" hidden="1" x14ac:dyDescent="0.2"/>
    <row r="9053" hidden="1" x14ac:dyDescent="0.2"/>
    <row r="9054" hidden="1" x14ac:dyDescent="0.2"/>
    <row r="9055" hidden="1" x14ac:dyDescent="0.2"/>
    <row r="9056" hidden="1" x14ac:dyDescent="0.2"/>
    <row r="9057" hidden="1" x14ac:dyDescent="0.2"/>
    <row r="9058" hidden="1" x14ac:dyDescent="0.2"/>
    <row r="9059" hidden="1" x14ac:dyDescent="0.2"/>
    <row r="9060" hidden="1" x14ac:dyDescent="0.2"/>
    <row r="9061" hidden="1" x14ac:dyDescent="0.2"/>
    <row r="9062" hidden="1" x14ac:dyDescent="0.2"/>
    <row r="9063" hidden="1" x14ac:dyDescent="0.2"/>
    <row r="9064" hidden="1" x14ac:dyDescent="0.2"/>
    <row r="9065" hidden="1" x14ac:dyDescent="0.2"/>
    <row r="9066" hidden="1" x14ac:dyDescent="0.2"/>
    <row r="9067" hidden="1" x14ac:dyDescent="0.2"/>
    <row r="9068" hidden="1" x14ac:dyDescent="0.2"/>
    <row r="9069" hidden="1" x14ac:dyDescent="0.2"/>
    <row r="9070" hidden="1" x14ac:dyDescent="0.2"/>
    <row r="9071" hidden="1" x14ac:dyDescent="0.2"/>
    <row r="9072" hidden="1" x14ac:dyDescent="0.2"/>
    <row r="9073" hidden="1" x14ac:dyDescent="0.2"/>
    <row r="9074" hidden="1" x14ac:dyDescent="0.2"/>
    <row r="9075" hidden="1" x14ac:dyDescent="0.2"/>
    <row r="9076" hidden="1" x14ac:dyDescent="0.2"/>
    <row r="9077" hidden="1" x14ac:dyDescent="0.2"/>
    <row r="9078" hidden="1" x14ac:dyDescent="0.2"/>
    <row r="9079" hidden="1" x14ac:dyDescent="0.2"/>
    <row r="9080" hidden="1" x14ac:dyDescent="0.2"/>
    <row r="9081" hidden="1" x14ac:dyDescent="0.2"/>
    <row r="9082" hidden="1" x14ac:dyDescent="0.2"/>
    <row r="9083" hidden="1" x14ac:dyDescent="0.2"/>
    <row r="9084" hidden="1" x14ac:dyDescent="0.2"/>
    <row r="9085" hidden="1" x14ac:dyDescent="0.2"/>
    <row r="9086" hidden="1" x14ac:dyDescent="0.2"/>
    <row r="9087" hidden="1" x14ac:dyDescent="0.2"/>
    <row r="9088" hidden="1" x14ac:dyDescent="0.2"/>
    <row r="9089" hidden="1" x14ac:dyDescent="0.2"/>
    <row r="9090" hidden="1" x14ac:dyDescent="0.2"/>
    <row r="9091" hidden="1" x14ac:dyDescent="0.2"/>
    <row r="9092" hidden="1" x14ac:dyDescent="0.2"/>
    <row r="9093" hidden="1" x14ac:dyDescent="0.2"/>
    <row r="9094" hidden="1" x14ac:dyDescent="0.2"/>
    <row r="9095" hidden="1" x14ac:dyDescent="0.2"/>
    <row r="9096" hidden="1" x14ac:dyDescent="0.2"/>
    <row r="9097" hidden="1" x14ac:dyDescent="0.2"/>
    <row r="9098" hidden="1" x14ac:dyDescent="0.2"/>
    <row r="9099" hidden="1" x14ac:dyDescent="0.2"/>
    <row r="9100" hidden="1" x14ac:dyDescent="0.2"/>
    <row r="9101" hidden="1" x14ac:dyDescent="0.2"/>
    <row r="9102" hidden="1" x14ac:dyDescent="0.2"/>
    <row r="9103" hidden="1" x14ac:dyDescent="0.2"/>
    <row r="9104" hidden="1" x14ac:dyDescent="0.2"/>
    <row r="9105" hidden="1" x14ac:dyDescent="0.2"/>
    <row r="9106" hidden="1" x14ac:dyDescent="0.2"/>
    <row r="9107" hidden="1" x14ac:dyDescent="0.2"/>
    <row r="9108" hidden="1" x14ac:dyDescent="0.2"/>
    <row r="9109" hidden="1" x14ac:dyDescent="0.2"/>
    <row r="9110" hidden="1" x14ac:dyDescent="0.2"/>
    <row r="9111" hidden="1" x14ac:dyDescent="0.2"/>
    <row r="9112" hidden="1" x14ac:dyDescent="0.2"/>
    <row r="9113" hidden="1" x14ac:dyDescent="0.2"/>
    <row r="9114" hidden="1" x14ac:dyDescent="0.2"/>
    <row r="9115" hidden="1" x14ac:dyDescent="0.2"/>
    <row r="9116" hidden="1" x14ac:dyDescent="0.2"/>
    <row r="9117" hidden="1" x14ac:dyDescent="0.2"/>
    <row r="9118" hidden="1" x14ac:dyDescent="0.2"/>
    <row r="9119" hidden="1" x14ac:dyDescent="0.2"/>
    <row r="9120" hidden="1" x14ac:dyDescent="0.2"/>
    <row r="9121" hidden="1" x14ac:dyDescent="0.2"/>
    <row r="9122" hidden="1" x14ac:dyDescent="0.2"/>
    <row r="9123" hidden="1" x14ac:dyDescent="0.2"/>
    <row r="9124" hidden="1" x14ac:dyDescent="0.2"/>
    <row r="9125" hidden="1" x14ac:dyDescent="0.2"/>
    <row r="9126" hidden="1" x14ac:dyDescent="0.2"/>
    <row r="9127" hidden="1" x14ac:dyDescent="0.2"/>
    <row r="9128" hidden="1" x14ac:dyDescent="0.2"/>
    <row r="9129" hidden="1" x14ac:dyDescent="0.2"/>
    <row r="9130" hidden="1" x14ac:dyDescent="0.2"/>
    <row r="9131" hidden="1" x14ac:dyDescent="0.2"/>
    <row r="9132" hidden="1" x14ac:dyDescent="0.2"/>
    <row r="9133" hidden="1" x14ac:dyDescent="0.2"/>
    <row r="9134" hidden="1" x14ac:dyDescent="0.2"/>
    <row r="9135" hidden="1" x14ac:dyDescent="0.2"/>
    <row r="9136" hidden="1" x14ac:dyDescent="0.2"/>
    <row r="9137" hidden="1" x14ac:dyDescent="0.2"/>
    <row r="9138" hidden="1" x14ac:dyDescent="0.2"/>
    <row r="9139" hidden="1" x14ac:dyDescent="0.2"/>
    <row r="9140" hidden="1" x14ac:dyDescent="0.2"/>
    <row r="9141" hidden="1" x14ac:dyDescent="0.2"/>
    <row r="9142" hidden="1" x14ac:dyDescent="0.2"/>
    <row r="9143" hidden="1" x14ac:dyDescent="0.2"/>
    <row r="9144" hidden="1" x14ac:dyDescent="0.2"/>
    <row r="9145" hidden="1" x14ac:dyDescent="0.2"/>
    <row r="9146" hidden="1" x14ac:dyDescent="0.2"/>
    <row r="9147" hidden="1" x14ac:dyDescent="0.2"/>
    <row r="9148" hidden="1" x14ac:dyDescent="0.2"/>
    <row r="9149" hidden="1" x14ac:dyDescent="0.2"/>
    <row r="9150" hidden="1" x14ac:dyDescent="0.2"/>
    <row r="9151" hidden="1" x14ac:dyDescent="0.2"/>
    <row r="9152" hidden="1" x14ac:dyDescent="0.2"/>
    <row r="9153" hidden="1" x14ac:dyDescent="0.2"/>
    <row r="9154" hidden="1" x14ac:dyDescent="0.2"/>
    <row r="9155" hidden="1" x14ac:dyDescent="0.2"/>
    <row r="9156" hidden="1" x14ac:dyDescent="0.2"/>
    <row r="9157" hidden="1" x14ac:dyDescent="0.2"/>
    <row r="9158" hidden="1" x14ac:dyDescent="0.2"/>
    <row r="9159" hidden="1" x14ac:dyDescent="0.2"/>
    <row r="9160" hidden="1" x14ac:dyDescent="0.2"/>
    <row r="9161" hidden="1" x14ac:dyDescent="0.2"/>
    <row r="9162" hidden="1" x14ac:dyDescent="0.2"/>
    <row r="9163" hidden="1" x14ac:dyDescent="0.2"/>
    <row r="9164" hidden="1" x14ac:dyDescent="0.2"/>
    <row r="9165" hidden="1" x14ac:dyDescent="0.2"/>
    <row r="9166" hidden="1" x14ac:dyDescent="0.2"/>
    <row r="9167" hidden="1" x14ac:dyDescent="0.2"/>
    <row r="9168" hidden="1" x14ac:dyDescent="0.2"/>
    <row r="9169" hidden="1" x14ac:dyDescent="0.2"/>
    <row r="9170" hidden="1" x14ac:dyDescent="0.2"/>
    <row r="9171" hidden="1" x14ac:dyDescent="0.2"/>
    <row r="9172" hidden="1" x14ac:dyDescent="0.2"/>
    <row r="9173" hidden="1" x14ac:dyDescent="0.2"/>
    <row r="9174" hidden="1" x14ac:dyDescent="0.2"/>
    <row r="9175" hidden="1" x14ac:dyDescent="0.2"/>
    <row r="9176" hidden="1" x14ac:dyDescent="0.2"/>
    <row r="9177" hidden="1" x14ac:dyDescent="0.2"/>
    <row r="9178" hidden="1" x14ac:dyDescent="0.2"/>
    <row r="9179" hidden="1" x14ac:dyDescent="0.2"/>
    <row r="9180" hidden="1" x14ac:dyDescent="0.2"/>
    <row r="9181" hidden="1" x14ac:dyDescent="0.2"/>
    <row r="9182" hidden="1" x14ac:dyDescent="0.2"/>
    <row r="9183" hidden="1" x14ac:dyDescent="0.2"/>
    <row r="9184" hidden="1" x14ac:dyDescent="0.2"/>
    <row r="9185" hidden="1" x14ac:dyDescent="0.2"/>
    <row r="9186" hidden="1" x14ac:dyDescent="0.2"/>
    <row r="9187" hidden="1" x14ac:dyDescent="0.2"/>
    <row r="9188" hidden="1" x14ac:dyDescent="0.2"/>
    <row r="9189" hidden="1" x14ac:dyDescent="0.2"/>
    <row r="9190" hidden="1" x14ac:dyDescent="0.2"/>
    <row r="9191" hidden="1" x14ac:dyDescent="0.2"/>
    <row r="9192" hidden="1" x14ac:dyDescent="0.2"/>
    <row r="9193" hidden="1" x14ac:dyDescent="0.2"/>
    <row r="9194" hidden="1" x14ac:dyDescent="0.2"/>
    <row r="9195" hidden="1" x14ac:dyDescent="0.2"/>
    <row r="9196" hidden="1" x14ac:dyDescent="0.2"/>
    <row r="9197" hidden="1" x14ac:dyDescent="0.2"/>
    <row r="9198" hidden="1" x14ac:dyDescent="0.2"/>
    <row r="9199" hidden="1" x14ac:dyDescent="0.2"/>
    <row r="9200" hidden="1" x14ac:dyDescent="0.2"/>
    <row r="9201" hidden="1" x14ac:dyDescent="0.2"/>
    <row r="9202" hidden="1" x14ac:dyDescent="0.2"/>
    <row r="9203" hidden="1" x14ac:dyDescent="0.2"/>
    <row r="9204" hidden="1" x14ac:dyDescent="0.2"/>
    <row r="9205" hidden="1" x14ac:dyDescent="0.2"/>
    <row r="9206" hidden="1" x14ac:dyDescent="0.2"/>
    <row r="9207" hidden="1" x14ac:dyDescent="0.2"/>
    <row r="9208" hidden="1" x14ac:dyDescent="0.2"/>
    <row r="9209" hidden="1" x14ac:dyDescent="0.2"/>
    <row r="9210" hidden="1" x14ac:dyDescent="0.2"/>
    <row r="9211" hidden="1" x14ac:dyDescent="0.2"/>
    <row r="9212" hidden="1" x14ac:dyDescent="0.2"/>
    <row r="9213" hidden="1" x14ac:dyDescent="0.2"/>
    <row r="9214" hidden="1" x14ac:dyDescent="0.2"/>
    <row r="9215" hidden="1" x14ac:dyDescent="0.2"/>
    <row r="9216" hidden="1" x14ac:dyDescent="0.2"/>
    <row r="9217" hidden="1" x14ac:dyDescent="0.2"/>
    <row r="9218" hidden="1" x14ac:dyDescent="0.2"/>
    <row r="9219" hidden="1" x14ac:dyDescent="0.2"/>
    <row r="9220" hidden="1" x14ac:dyDescent="0.2"/>
    <row r="9221" hidden="1" x14ac:dyDescent="0.2"/>
    <row r="9222" hidden="1" x14ac:dyDescent="0.2"/>
    <row r="9223" hidden="1" x14ac:dyDescent="0.2"/>
    <row r="9224" hidden="1" x14ac:dyDescent="0.2"/>
    <row r="9225" hidden="1" x14ac:dyDescent="0.2"/>
    <row r="9226" hidden="1" x14ac:dyDescent="0.2"/>
    <row r="9227" hidden="1" x14ac:dyDescent="0.2"/>
    <row r="9228" hidden="1" x14ac:dyDescent="0.2"/>
    <row r="9229" hidden="1" x14ac:dyDescent="0.2"/>
    <row r="9230" hidden="1" x14ac:dyDescent="0.2"/>
    <row r="9231" hidden="1" x14ac:dyDescent="0.2"/>
    <row r="9232" hidden="1" x14ac:dyDescent="0.2"/>
    <row r="9233" hidden="1" x14ac:dyDescent="0.2"/>
    <row r="9234" hidden="1" x14ac:dyDescent="0.2"/>
    <row r="9235" hidden="1" x14ac:dyDescent="0.2"/>
    <row r="9236" hidden="1" x14ac:dyDescent="0.2"/>
    <row r="9237" hidden="1" x14ac:dyDescent="0.2"/>
    <row r="9238" hidden="1" x14ac:dyDescent="0.2"/>
    <row r="9239" hidden="1" x14ac:dyDescent="0.2"/>
    <row r="9240" hidden="1" x14ac:dyDescent="0.2"/>
    <row r="9241" hidden="1" x14ac:dyDescent="0.2"/>
    <row r="9242" hidden="1" x14ac:dyDescent="0.2"/>
    <row r="9243" hidden="1" x14ac:dyDescent="0.2"/>
    <row r="9244" hidden="1" x14ac:dyDescent="0.2"/>
    <row r="9245" hidden="1" x14ac:dyDescent="0.2"/>
    <row r="9246" hidden="1" x14ac:dyDescent="0.2"/>
    <row r="9247" hidden="1" x14ac:dyDescent="0.2"/>
    <row r="9248" hidden="1" x14ac:dyDescent="0.2"/>
    <row r="9249" hidden="1" x14ac:dyDescent="0.2"/>
    <row r="9250" hidden="1" x14ac:dyDescent="0.2"/>
    <row r="9251" hidden="1" x14ac:dyDescent="0.2"/>
    <row r="9252" hidden="1" x14ac:dyDescent="0.2"/>
    <row r="9253" hidden="1" x14ac:dyDescent="0.2"/>
    <row r="9254" hidden="1" x14ac:dyDescent="0.2"/>
    <row r="9255" hidden="1" x14ac:dyDescent="0.2"/>
    <row r="9256" hidden="1" x14ac:dyDescent="0.2"/>
    <row r="9257" hidden="1" x14ac:dyDescent="0.2"/>
    <row r="9258" hidden="1" x14ac:dyDescent="0.2"/>
    <row r="9259" hidden="1" x14ac:dyDescent="0.2"/>
    <row r="9260" hidden="1" x14ac:dyDescent="0.2"/>
    <row r="9261" hidden="1" x14ac:dyDescent="0.2"/>
    <row r="9262" hidden="1" x14ac:dyDescent="0.2"/>
    <row r="9263" hidden="1" x14ac:dyDescent="0.2"/>
    <row r="9264" hidden="1" x14ac:dyDescent="0.2"/>
    <row r="9265" hidden="1" x14ac:dyDescent="0.2"/>
    <row r="9266" hidden="1" x14ac:dyDescent="0.2"/>
    <row r="9267" hidden="1" x14ac:dyDescent="0.2"/>
    <row r="9268" hidden="1" x14ac:dyDescent="0.2"/>
    <row r="9269" hidden="1" x14ac:dyDescent="0.2"/>
    <row r="9270" hidden="1" x14ac:dyDescent="0.2"/>
    <row r="9271" hidden="1" x14ac:dyDescent="0.2"/>
    <row r="9272" hidden="1" x14ac:dyDescent="0.2"/>
    <row r="9273" hidden="1" x14ac:dyDescent="0.2"/>
    <row r="9274" hidden="1" x14ac:dyDescent="0.2"/>
    <row r="9275" hidden="1" x14ac:dyDescent="0.2"/>
    <row r="9276" hidden="1" x14ac:dyDescent="0.2"/>
    <row r="9277" hidden="1" x14ac:dyDescent="0.2"/>
    <row r="9278" hidden="1" x14ac:dyDescent="0.2"/>
    <row r="9279" hidden="1" x14ac:dyDescent="0.2"/>
    <row r="9280" hidden="1" x14ac:dyDescent="0.2"/>
    <row r="9281" hidden="1" x14ac:dyDescent="0.2"/>
    <row r="9282" hidden="1" x14ac:dyDescent="0.2"/>
    <row r="9283" hidden="1" x14ac:dyDescent="0.2"/>
    <row r="9284" hidden="1" x14ac:dyDescent="0.2"/>
    <row r="9285" hidden="1" x14ac:dyDescent="0.2"/>
    <row r="9286" hidden="1" x14ac:dyDescent="0.2"/>
    <row r="9287" hidden="1" x14ac:dyDescent="0.2"/>
    <row r="9288" hidden="1" x14ac:dyDescent="0.2"/>
    <row r="9289" hidden="1" x14ac:dyDescent="0.2"/>
    <row r="9290" hidden="1" x14ac:dyDescent="0.2"/>
    <row r="9291" hidden="1" x14ac:dyDescent="0.2"/>
    <row r="9292" hidden="1" x14ac:dyDescent="0.2"/>
    <row r="9293" hidden="1" x14ac:dyDescent="0.2"/>
    <row r="9294" hidden="1" x14ac:dyDescent="0.2"/>
    <row r="9295" hidden="1" x14ac:dyDescent="0.2"/>
    <row r="9296" hidden="1" x14ac:dyDescent="0.2"/>
    <row r="9297" hidden="1" x14ac:dyDescent="0.2"/>
    <row r="9298" hidden="1" x14ac:dyDescent="0.2"/>
    <row r="9299" hidden="1" x14ac:dyDescent="0.2"/>
    <row r="9300" hidden="1" x14ac:dyDescent="0.2"/>
    <row r="9301" hidden="1" x14ac:dyDescent="0.2"/>
    <row r="9302" hidden="1" x14ac:dyDescent="0.2"/>
    <row r="9303" hidden="1" x14ac:dyDescent="0.2"/>
    <row r="9304" hidden="1" x14ac:dyDescent="0.2"/>
    <row r="9305" hidden="1" x14ac:dyDescent="0.2"/>
    <row r="9306" hidden="1" x14ac:dyDescent="0.2"/>
    <row r="9307" hidden="1" x14ac:dyDescent="0.2"/>
    <row r="9308" hidden="1" x14ac:dyDescent="0.2"/>
    <row r="9309" hidden="1" x14ac:dyDescent="0.2"/>
    <row r="9310" hidden="1" x14ac:dyDescent="0.2"/>
    <row r="9311" hidden="1" x14ac:dyDescent="0.2"/>
    <row r="9312" hidden="1" x14ac:dyDescent="0.2"/>
    <row r="9313" hidden="1" x14ac:dyDescent="0.2"/>
    <row r="9314" hidden="1" x14ac:dyDescent="0.2"/>
    <row r="9315" hidden="1" x14ac:dyDescent="0.2"/>
    <row r="9316" hidden="1" x14ac:dyDescent="0.2"/>
    <row r="9317" hidden="1" x14ac:dyDescent="0.2"/>
    <row r="9318" hidden="1" x14ac:dyDescent="0.2"/>
    <row r="9319" hidden="1" x14ac:dyDescent="0.2"/>
    <row r="9320" hidden="1" x14ac:dyDescent="0.2"/>
    <row r="9321" hidden="1" x14ac:dyDescent="0.2"/>
    <row r="9322" hidden="1" x14ac:dyDescent="0.2"/>
    <row r="9323" hidden="1" x14ac:dyDescent="0.2"/>
    <row r="9324" hidden="1" x14ac:dyDescent="0.2"/>
    <row r="9325" hidden="1" x14ac:dyDescent="0.2"/>
    <row r="9326" hidden="1" x14ac:dyDescent="0.2"/>
    <row r="9327" hidden="1" x14ac:dyDescent="0.2"/>
    <row r="9328" hidden="1" x14ac:dyDescent="0.2"/>
    <row r="9329" hidden="1" x14ac:dyDescent="0.2"/>
    <row r="9330" hidden="1" x14ac:dyDescent="0.2"/>
    <row r="9331" hidden="1" x14ac:dyDescent="0.2"/>
    <row r="9332" hidden="1" x14ac:dyDescent="0.2"/>
    <row r="9333" hidden="1" x14ac:dyDescent="0.2"/>
    <row r="9334" hidden="1" x14ac:dyDescent="0.2"/>
    <row r="9335" hidden="1" x14ac:dyDescent="0.2"/>
    <row r="9336" hidden="1" x14ac:dyDescent="0.2"/>
    <row r="9337" hidden="1" x14ac:dyDescent="0.2"/>
    <row r="9338" hidden="1" x14ac:dyDescent="0.2"/>
    <row r="9339" hidden="1" x14ac:dyDescent="0.2"/>
    <row r="9340" hidden="1" x14ac:dyDescent="0.2"/>
    <row r="9341" hidden="1" x14ac:dyDescent="0.2"/>
    <row r="9342" hidden="1" x14ac:dyDescent="0.2"/>
    <row r="9343" hidden="1" x14ac:dyDescent="0.2"/>
    <row r="9344" hidden="1" x14ac:dyDescent="0.2"/>
    <row r="9345" hidden="1" x14ac:dyDescent="0.2"/>
    <row r="9346" hidden="1" x14ac:dyDescent="0.2"/>
    <row r="9347" hidden="1" x14ac:dyDescent="0.2"/>
    <row r="9348" hidden="1" x14ac:dyDescent="0.2"/>
    <row r="9349" hidden="1" x14ac:dyDescent="0.2"/>
    <row r="9350" hidden="1" x14ac:dyDescent="0.2"/>
    <row r="9351" hidden="1" x14ac:dyDescent="0.2"/>
    <row r="9352" hidden="1" x14ac:dyDescent="0.2"/>
    <row r="9353" hidden="1" x14ac:dyDescent="0.2"/>
    <row r="9354" hidden="1" x14ac:dyDescent="0.2"/>
    <row r="9355" hidden="1" x14ac:dyDescent="0.2"/>
    <row r="9356" hidden="1" x14ac:dyDescent="0.2"/>
    <row r="9357" hidden="1" x14ac:dyDescent="0.2"/>
    <row r="9358" hidden="1" x14ac:dyDescent="0.2"/>
    <row r="9359" hidden="1" x14ac:dyDescent="0.2"/>
    <row r="9360" hidden="1" x14ac:dyDescent="0.2"/>
    <row r="9361" hidden="1" x14ac:dyDescent="0.2"/>
    <row r="9362" hidden="1" x14ac:dyDescent="0.2"/>
    <row r="9363" hidden="1" x14ac:dyDescent="0.2"/>
    <row r="9364" hidden="1" x14ac:dyDescent="0.2"/>
    <row r="9365" hidden="1" x14ac:dyDescent="0.2"/>
    <row r="9366" hidden="1" x14ac:dyDescent="0.2"/>
    <row r="9367" hidden="1" x14ac:dyDescent="0.2"/>
    <row r="9368" hidden="1" x14ac:dyDescent="0.2"/>
    <row r="9369" hidden="1" x14ac:dyDescent="0.2"/>
    <row r="9370" hidden="1" x14ac:dyDescent="0.2"/>
    <row r="9371" hidden="1" x14ac:dyDescent="0.2"/>
    <row r="9372" hidden="1" x14ac:dyDescent="0.2"/>
    <row r="9373" hidden="1" x14ac:dyDescent="0.2"/>
    <row r="9374" hidden="1" x14ac:dyDescent="0.2"/>
    <row r="9375" hidden="1" x14ac:dyDescent="0.2"/>
    <row r="9376" hidden="1" x14ac:dyDescent="0.2"/>
    <row r="9377" hidden="1" x14ac:dyDescent="0.2"/>
    <row r="9378" hidden="1" x14ac:dyDescent="0.2"/>
    <row r="9379" hidden="1" x14ac:dyDescent="0.2"/>
    <row r="9380" hidden="1" x14ac:dyDescent="0.2"/>
    <row r="9381" hidden="1" x14ac:dyDescent="0.2"/>
    <row r="9382" hidden="1" x14ac:dyDescent="0.2"/>
    <row r="9383" hidden="1" x14ac:dyDescent="0.2"/>
    <row r="9384" hidden="1" x14ac:dyDescent="0.2"/>
    <row r="9385" hidden="1" x14ac:dyDescent="0.2"/>
    <row r="9386" hidden="1" x14ac:dyDescent="0.2"/>
    <row r="9387" hidden="1" x14ac:dyDescent="0.2"/>
    <row r="9388" hidden="1" x14ac:dyDescent="0.2"/>
    <row r="9389" hidden="1" x14ac:dyDescent="0.2"/>
    <row r="9390" hidden="1" x14ac:dyDescent="0.2"/>
    <row r="9391" hidden="1" x14ac:dyDescent="0.2"/>
    <row r="9392" hidden="1" x14ac:dyDescent="0.2"/>
    <row r="9393" hidden="1" x14ac:dyDescent="0.2"/>
    <row r="9394" hidden="1" x14ac:dyDescent="0.2"/>
    <row r="9395" hidden="1" x14ac:dyDescent="0.2"/>
    <row r="9396" hidden="1" x14ac:dyDescent="0.2"/>
    <row r="9397" hidden="1" x14ac:dyDescent="0.2"/>
    <row r="9398" hidden="1" x14ac:dyDescent="0.2"/>
    <row r="9399" hidden="1" x14ac:dyDescent="0.2"/>
    <row r="9400" hidden="1" x14ac:dyDescent="0.2"/>
    <row r="9401" hidden="1" x14ac:dyDescent="0.2"/>
    <row r="9402" hidden="1" x14ac:dyDescent="0.2"/>
    <row r="9403" hidden="1" x14ac:dyDescent="0.2"/>
    <row r="9404" hidden="1" x14ac:dyDescent="0.2"/>
    <row r="9405" hidden="1" x14ac:dyDescent="0.2"/>
    <row r="9406" hidden="1" x14ac:dyDescent="0.2"/>
    <row r="9407" hidden="1" x14ac:dyDescent="0.2"/>
    <row r="9408" hidden="1" x14ac:dyDescent="0.2"/>
    <row r="9409" hidden="1" x14ac:dyDescent="0.2"/>
    <row r="9410" hidden="1" x14ac:dyDescent="0.2"/>
    <row r="9411" hidden="1" x14ac:dyDescent="0.2"/>
    <row r="9412" hidden="1" x14ac:dyDescent="0.2"/>
    <row r="9413" hidden="1" x14ac:dyDescent="0.2"/>
    <row r="9414" hidden="1" x14ac:dyDescent="0.2"/>
    <row r="9415" hidden="1" x14ac:dyDescent="0.2"/>
    <row r="9416" hidden="1" x14ac:dyDescent="0.2"/>
    <row r="9417" hidden="1" x14ac:dyDescent="0.2"/>
    <row r="9418" hidden="1" x14ac:dyDescent="0.2"/>
    <row r="9419" hidden="1" x14ac:dyDescent="0.2"/>
    <row r="9420" hidden="1" x14ac:dyDescent="0.2"/>
    <row r="9421" hidden="1" x14ac:dyDescent="0.2"/>
    <row r="9422" hidden="1" x14ac:dyDescent="0.2"/>
    <row r="9423" hidden="1" x14ac:dyDescent="0.2"/>
    <row r="9424" hidden="1" x14ac:dyDescent="0.2"/>
    <row r="9425" hidden="1" x14ac:dyDescent="0.2"/>
    <row r="9426" hidden="1" x14ac:dyDescent="0.2"/>
    <row r="9427" hidden="1" x14ac:dyDescent="0.2"/>
    <row r="9428" hidden="1" x14ac:dyDescent="0.2"/>
    <row r="9429" hidden="1" x14ac:dyDescent="0.2"/>
    <row r="9430" hidden="1" x14ac:dyDescent="0.2"/>
    <row r="9431" hidden="1" x14ac:dyDescent="0.2"/>
    <row r="9432" hidden="1" x14ac:dyDescent="0.2"/>
    <row r="9433" hidden="1" x14ac:dyDescent="0.2"/>
    <row r="9434" hidden="1" x14ac:dyDescent="0.2"/>
    <row r="9435" hidden="1" x14ac:dyDescent="0.2"/>
    <row r="9436" hidden="1" x14ac:dyDescent="0.2"/>
    <row r="9437" hidden="1" x14ac:dyDescent="0.2"/>
    <row r="9438" hidden="1" x14ac:dyDescent="0.2"/>
    <row r="9439" hidden="1" x14ac:dyDescent="0.2"/>
    <row r="9440" hidden="1" x14ac:dyDescent="0.2"/>
    <row r="9441" hidden="1" x14ac:dyDescent="0.2"/>
    <row r="9442" hidden="1" x14ac:dyDescent="0.2"/>
    <row r="9443" hidden="1" x14ac:dyDescent="0.2"/>
    <row r="9444" hidden="1" x14ac:dyDescent="0.2"/>
    <row r="9445" hidden="1" x14ac:dyDescent="0.2"/>
    <row r="9446" hidden="1" x14ac:dyDescent="0.2"/>
    <row r="9447" hidden="1" x14ac:dyDescent="0.2"/>
    <row r="9448" hidden="1" x14ac:dyDescent="0.2"/>
    <row r="9449" hidden="1" x14ac:dyDescent="0.2"/>
    <row r="9450" hidden="1" x14ac:dyDescent="0.2"/>
    <row r="9451" hidden="1" x14ac:dyDescent="0.2"/>
    <row r="9452" hidden="1" x14ac:dyDescent="0.2"/>
    <row r="9453" hidden="1" x14ac:dyDescent="0.2"/>
    <row r="9454" hidden="1" x14ac:dyDescent="0.2"/>
    <row r="9455" hidden="1" x14ac:dyDescent="0.2"/>
    <row r="9456" hidden="1" x14ac:dyDescent="0.2"/>
    <row r="9457" hidden="1" x14ac:dyDescent="0.2"/>
    <row r="9458" hidden="1" x14ac:dyDescent="0.2"/>
    <row r="9459" hidden="1" x14ac:dyDescent="0.2"/>
    <row r="9460" hidden="1" x14ac:dyDescent="0.2"/>
    <row r="9461" hidden="1" x14ac:dyDescent="0.2"/>
    <row r="9462" hidden="1" x14ac:dyDescent="0.2"/>
    <row r="9463" hidden="1" x14ac:dyDescent="0.2"/>
    <row r="9464" hidden="1" x14ac:dyDescent="0.2"/>
    <row r="9465" hidden="1" x14ac:dyDescent="0.2"/>
    <row r="9466" hidden="1" x14ac:dyDescent="0.2"/>
    <row r="9467" hidden="1" x14ac:dyDescent="0.2"/>
    <row r="9468" hidden="1" x14ac:dyDescent="0.2"/>
    <row r="9469" hidden="1" x14ac:dyDescent="0.2"/>
    <row r="9470" hidden="1" x14ac:dyDescent="0.2"/>
    <row r="9471" hidden="1" x14ac:dyDescent="0.2"/>
    <row r="9472" hidden="1" x14ac:dyDescent="0.2"/>
    <row r="9473" hidden="1" x14ac:dyDescent="0.2"/>
    <row r="9474" hidden="1" x14ac:dyDescent="0.2"/>
    <row r="9475" hidden="1" x14ac:dyDescent="0.2"/>
    <row r="9476" hidden="1" x14ac:dyDescent="0.2"/>
    <row r="9477" hidden="1" x14ac:dyDescent="0.2"/>
    <row r="9478" hidden="1" x14ac:dyDescent="0.2"/>
    <row r="9479" hidden="1" x14ac:dyDescent="0.2"/>
    <row r="9480" hidden="1" x14ac:dyDescent="0.2"/>
    <row r="9481" hidden="1" x14ac:dyDescent="0.2"/>
    <row r="9482" hidden="1" x14ac:dyDescent="0.2"/>
    <row r="9483" hidden="1" x14ac:dyDescent="0.2"/>
    <row r="9484" hidden="1" x14ac:dyDescent="0.2"/>
    <row r="9485" hidden="1" x14ac:dyDescent="0.2"/>
    <row r="9486" hidden="1" x14ac:dyDescent="0.2"/>
    <row r="9487" hidden="1" x14ac:dyDescent="0.2"/>
    <row r="9488" hidden="1" x14ac:dyDescent="0.2"/>
    <row r="9489" hidden="1" x14ac:dyDescent="0.2"/>
    <row r="9490" hidden="1" x14ac:dyDescent="0.2"/>
    <row r="9491" hidden="1" x14ac:dyDescent="0.2"/>
    <row r="9492" hidden="1" x14ac:dyDescent="0.2"/>
    <row r="9493" hidden="1" x14ac:dyDescent="0.2"/>
    <row r="9494" hidden="1" x14ac:dyDescent="0.2"/>
    <row r="9495" hidden="1" x14ac:dyDescent="0.2"/>
    <row r="9496" hidden="1" x14ac:dyDescent="0.2"/>
    <row r="9497" hidden="1" x14ac:dyDescent="0.2"/>
    <row r="9498" hidden="1" x14ac:dyDescent="0.2"/>
    <row r="9499" hidden="1" x14ac:dyDescent="0.2"/>
    <row r="9500" hidden="1" x14ac:dyDescent="0.2"/>
    <row r="9501" hidden="1" x14ac:dyDescent="0.2"/>
    <row r="9502" hidden="1" x14ac:dyDescent="0.2"/>
    <row r="9503" hidden="1" x14ac:dyDescent="0.2"/>
    <row r="9504" hidden="1" x14ac:dyDescent="0.2"/>
    <row r="9505" hidden="1" x14ac:dyDescent="0.2"/>
    <row r="9506" hidden="1" x14ac:dyDescent="0.2"/>
    <row r="9507" hidden="1" x14ac:dyDescent="0.2"/>
    <row r="9508" hidden="1" x14ac:dyDescent="0.2"/>
    <row r="9509" hidden="1" x14ac:dyDescent="0.2"/>
    <row r="9510" hidden="1" x14ac:dyDescent="0.2"/>
    <row r="9511" hidden="1" x14ac:dyDescent="0.2"/>
    <row r="9512" hidden="1" x14ac:dyDescent="0.2"/>
    <row r="9513" hidden="1" x14ac:dyDescent="0.2"/>
    <row r="9514" hidden="1" x14ac:dyDescent="0.2"/>
    <row r="9515" hidden="1" x14ac:dyDescent="0.2"/>
    <row r="9516" hidden="1" x14ac:dyDescent="0.2"/>
    <row r="9517" hidden="1" x14ac:dyDescent="0.2"/>
    <row r="9518" hidden="1" x14ac:dyDescent="0.2"/>
    <row r="9519" hidden="1" x14ac:dyDescent="0.2"/>
    <row r="9520" hidden="1" x14ac:dyDescent="0.2"/>
    <row r="9521" hidden="1" x14ac:dyDescent="0.2"/>
    <row r="9522" hidden="1" x14ac:dyDescent="0.2"/>
    <row r="9523" hidden="1" x14ac:dyDescent="0.2"/>
    <row r="9524" hidden="1" x14ac:dyDescent="0.2"/>
    <row r="9525" hidden="1" x14ac:dyDescent="0.2"/>
    <row r="9526" hidden="1" x14ac:dyDescent="0.2"/>
    <row r="9527" hidden="1" x14ac:dyDescent="0.2"/>
    <row r="9528" hidden="1" x14ac:dyDescent="0.2"/>
    <row r="9529" hidden="1" x14ac:dyDescent="0.2"/>
    <row r="9530" hidden="1" x14ac:dyDescent="0.2"/>
    <row r="9531" hidden="1" x14ac:dyDescent="0.2"/>
    <row r="9532" hidden="1" x14ac:dyDescent="0.2"/>
    <row r="9533" hidden="1" x14ac:dyDescent="0.2"/>
    <row r="9534" hidden="1" x14ac:dyDescent="0.2"/>
    <row r="9535" hidden="1" x14ac:dyDescent="0.2"/>
    <row r="9536" hidden="1" x14ac:dyDescent="0.2"/>
    <row r="9537" hidden="1" x14ac:dyDescent="0.2"/>
    <row r="9538" hidden="1" x14ac:dyDescent="0.2"/>
    <row r="9539" hidden="1" x14ac:dyDescent="0.2"/>
    <row r="9540" hidden="1" x14ac:dyDescent="0.2"/>
    <row r="9541" hidden="1" x14ac:dyDescent="0.2"/>
    <row r="9542" hidden="1" x14ac:dyDescent="0.2"/>
    <row r="9543" hidden="1" x14ac:dyDescent="0.2"/>
    <row r="9544" hidden="1" x14ac:dyDescent="0.2"/>
    <row r="9545" hidden="1" x14ac:dyDescent="0.2"/>
    <row r="9546" hidden="1" x14ac:dyDescent="0.2"/>
    <row r="9547" hidden="1" x14ac:dyDescent="0.2"/>
    <row r="9548" hidden="1" x14ac:dyDescent="0.2"/>
    <row r="9549" hidden="1" x14ac:dyDescent="0.2"/>
    <row r="9550" hidden="1" x14ac:dyDescent="0.2"/>
    <row r="9551" hidden="1" x14ac:dyDescent="0.2"/>
    <row r="9552" hidden="1" x14ac:dyDescent="0.2"/>
    <row r="9553" hidden="1" x14ac:dyDescent="0.2"/>
    <row r="9554" hidden="1" x14ac:dyDescent="0.2"/>
    <row r="9555" hidden="1" x14ac:dyDescent="0.2"/>
    <row r="9556" hidden="1" x14ac:dyDescent="0.2"/>
    <row r="9557" hidden="1" x14ac:dyDescent="0.2"/>
    <row r="9558" hidden="1" x14ac:dyDescent="0.2"/>
    <row r="9559" hidden="1" x14ac:dyDescent="0.2"/>
    <row r="9560" hidden="1" x14ac:dyDescent="0.2"/>
    <row r="9561" hidden="1" x14ac:dyDescent="0.2"/>
    <row r="9562" hidden="1" x14ac:dyDescent="0.2"/>
    <row r="9563" hidden="1" x14ac:dyDescent="0.2"/>
    <row r="9564" hidden="1" x14ac:dyDescent="0.2"/>
    <row r="9565" hidden="1" x14ac:dyDescent="0.2"/>
    <row r="9566" hidden="1" x14ac:dyDescent="0.2"/>
    <row r="9567" hidden="1" x14ac:dyDescent="0.2"/>
    <row r="9568" hidden="1" x14ac:dyDescent="0.2"/>
    <row r="9569" hidden="1" x14ac:dyDescent="0.2"/>
    <row r="9570" hidden="1" x14ac:dyDescent="0.2"/>
    <row r="9571" hidden="1" x14ac:dyDescent="0.2"/>
    <row r="9572" hidden="1" x14ac:dyDescent="0.2"/>
    <row r="9573" hidden="1" x14ac:dyDescent="0.2"/>
    <row r="9574" hidden="1" x14ac:dyDescent="0.2"/>
    <row r="9575" hidden="1" x14ac:dyDescent="0.2"/>
    <row r="9576" hidden="1" x14ac:dyDescent="0.2"/>
    <row r="9577" hidden="1" x14ac:dyDescent="0.2"/>
    <row r="9578" hidden="1" x14ac:dyDescent="0.2"/>
    <row r="9579" hidden="1" x14ac:dyDescent="0.2"/>
    <row r="9580" hidden="1" x14ac:dyDescent="0.2"/>
    <row r="9581" hidden="1" x14ac:dyDescent="0.2"/>
    <row r="9582" hidden="1" x14ac:dyDescent="0.2"/>
    <row r="9583" hidden="1" x14ac:dyDescent="0.2"/>
    <row r="9584" hidden="1" x14ac:dyDescent="0.2"/>
    <row r="9585" hidden="1" x14ac:dyDescent="0.2"/>
    <row r="9586" hidden="1" x14ac:dyDescent="0.2"/>
    <row r="9587" hidden="1" x14ac:dyDescent="0.2"/>
    <row r="9588" hidden="1" x14ac:dyDescent="0.2"/>
    <row r="9589" hidden="1" x14ac:dyDescent="0.2"/>
    <row r="9590" hidden="1" x14ac:dyDescent="0.2"/>
    <row r="9591" hidden="1" x14ac:dyDescent="0.2"/>
    <row r="9592" hidden="1" x14ac:dyDescent="0.2"/>
    <row r="9593" hidden="1" x14ac:dyDescent="0.2"/>
    <row r="9594" hidden="1" x14ac:dyDescent="0.2"/>
    <row r="9595" hidden="1" x14ac:dyDescent="0.2"/>
    <row r="9596" hidden="1" x14ac:dyDescent="0.2"/>
    <row r="9597" hidden="1" x14ac:dyDescent="0.2"/>
    <row r="9598" hidden="1" x14ac:dyDescent="0.2"/>
    <row r="9599" hidden="1" x14ac:dyDescent="0.2"/>
    <row r="9600" hidden="1" x14ac:dyDescent="0.2"/>
    <row r="9601" hidden="1" x14ac:dyDescent="0.2"/>
    <row r="9602" hidden="1" x14ac:dyDescent="0.2"/>
    <row r="9603" hidden="1" x14ac:dyDescent="0.2"/>
    <row r="9604" hidden="1" x14ac:dyDescent="0.2"/>
    <row r="9605" hidden="1" x14ac:dyDescent="0.2"/>
    <row r="9606" hidden="1" x14ac:dyDescent="0.2"/>
    <row r="9607" hidden="1" x14ac:dyDescent="0.2"/>
    <row r="9608" hidden="1" x14ac:dyDescent="0.2"/>
    <row r="9609" hidden="1" x14ac:dyDescent="0.2"/>
    <row r="9610" hidden="1" x14ac:dyDescent="0.2"/>
    <row r="9611" hidden="1" x14ac:dyDescent="0.2"/>
    <row r="9612" hidden="1" x14ac:dyDescent="0.2"/>
    <row r="9613" hidden="1" x14ac:dyDescent="0.2"/>
    <row r="9614" hidden="1" x14ac:dyDescent="0.2"/>
    <row r="9615" hidden="1" x14ac:dyDescent="0.2"/>
    <row r="9616" hidden="1" x14ac:dyDescent="0.2"/>
    <row r="9617" hidden="1" x14ac:dyDescent="0.2"/>
    <row r="9618" hidden="1" x14ac:dyDescent="0.2"/>
    <row r="9619" hidden="1" x14ac:dyDescent="0.2"/>
    <row r="9620" hidden="1" x14ac:dyDescent="0.2"/>
    <row r="9621" hidden="1" x14ac:dyDescent="0.2"/>
    <row r="9622" hidden="1" x14ac:dyDescent="0.2"/>
    <row r="9623" hidden="1" x14ac:dyDescent="0.2"/>
    <row r="9624" hidden="1" x14ac:dyDescent="0.2"/>
    <row r="9625" hidden="1" x14ac:dyDescent="0.2"/>
    <row r="9626" hidden="1" x14ac:dyDescent="0.2"/>
    <row r="9627" hidden="1" x14ac:dyDescent="0.2"/>
    <row r="9628" hidden="1" x14ac:dyDescent="0.2"/>
    <row r="9629" hidden="1" x14ac:dyDescent="0.2"/>
    <row r="9630" hidden="1" x14ac:dyDescent="0.2"/>
    <row r="9631" hidden="1" x14ac:dyDescent="0.2"/>
    <row r="9632" hidden="1" x14ac:dyDescent="0.2"/>
    <row r="9633" hidden="1" x14ac:dyDescent="0.2"/>
    <row r="9634" hidden="1" x14ac:dyDescent="0.2"/>
    <row r="9635" hidden="1" x14ac:dyDescent="0.2"/>
    <row r="9636" hidden="1" x14ac:dyDescent="0.2"/>
    <row r="9637" hidden="1" x14ac:dyDescent="0.2"/>
    <row r="9638" hidden="1" x14ac:dyDescent="0.2"/>
    <row r="9639" hidden="1" x14ac:dyDescent="0.2"/>
    <row r="9640" hidden="1" x14ac:dyDescent="0.2"/>
    <row r="9641" hidden="1" x14ac:dyDescent="0.2"/>
    <row r="9642" hidden="1" x14ac:dyDescent="0.2"/>
    <row r="9643" hidden="1" x14ac:dyDescent="0.2"/>
    <row r="9644" hidden="1" x14ac:dyDescent="0.2"/>
    <row r="9645" hidden="1" x14ac:dyDescent="0.2"/>
    <row r="9646" hidden="1" x14ac:dyDescent="0.2"/>
    <row r="9647" hidden="1" x14ac:dyDescent="0.2"/>
    <row r="9648" hidden="1" x14ac:dyDescent="0.2"/>
    <row r="9649" hidden="1" x14ac:dyDescent="0.2"/>
    <row r="9650" hidden="1" x14ac:dyDescent="0.2"/>
    <row r="9651" hidden="1" x14ac:dyDescent="0.2"/>
    <row r="9652" hidden="1" x14ac:dyDescent="0.2"/>
    <row r="9653" hidden="1" x14ac:dyDescent="0.2"/>
    <row r="9654" hidden="1" x14ac:dyDescent="0.2"/>
    <row r="9655" hidden="1" x14ac:dyDescent="0.2"/>
    <row r="9656" hidden="1" x14ac:dyDescent="0.2"/>
    <row r="9657" hidden="1" x14ac:dyDescent="0.2"/>
    <row r="9658" hidden="1" x14ac:dyDescent="0.2"/>
    <row r="9659" hidden="1" x14ac:dyDescent="0.2"/>
    <row r="9660" hidden="1" x14ac:dyDescent="0.2"/>
    <row r="9661" hidden="1" x14ac:dyDescent="0.2"/>
    <row r="9662" hidden="1" x14ac:dyDescent="0.2"/>
    <row r="9663" hidden="1" x14ac:dyDescent="0.2"/>
    <row r="9664" hidden="1" x14ac:dyDescent="0.2"/>
    <row r="9665" hidden="1" x14ac:dyDescent="0.2"/>
    <row r="9666" hidden="1" x14ac:dyDescent="0.2"/>
    <row r="9667" hidden="1" x14ac:dyDescent="0.2"/>
    <row r="9668" hidden="1" x14ac:dyDescent="0.2"/>
    <row r="9669" hidden="1" x14ac:dyDescent="0.2"/>
    <row r="9670" hidden="1" x14ac:dyDescent="0.2"/>
    <row r="9671" hidden="1" x14ac:dyDescent="0.2"/>
    <row r="9672" hidden="1" x14ac:dyDescent="0.2"/>
    <row r="9673" hidden="1" x14ac:dyDescent="0.2"/>
    <row r="9674" hidden="1" x14ac:dyDescent="0.2"/>
    <row r="9675" hidden="1" x14ac:dyDescent="0.2"/>
    <row r="9676" hidden="1" x14ac:dyDescent="0.2"/>
    <row r="9677" hidden="1" x14ac:dyDescent="0.2"/>
    <row r="9678" hidden="1" x14ac:dyDescent="0.2"/>
    <row r="9679" hidden="1" x14ac:dyDescent="0.2"/>
    <row r="9680" hidden="1" x14ac:dyDescent="0.2"/>
    <row r="9681" hidden="1" x14ac:dyDescent="0.2"/>
    <row r="9682" hidden="1" x14ac:dyDescent="0.2"/>
    <row r="9683" hidden="1" x14ac:dyDescent="0.2"/>
    <row r="9684" hidden="1" x14ac:dyDescent="0.2"/>
    <row r="9685" hidden="1" x14ac:dyDescent="0.2"/>
    <row r="9686" hidden="1" x14ac:dyDescent="0.2"/>
    <row r="9687" hidden="1" x14ac:dyDescent="0.2"/>
    <row r="9688" hidden="1" x14ac:dyDescent="0.2"/>
    <row r="9689" hidden="1" x14ac:dyDescent="0.2"/>
    <row r="9690" hidden="1" x14ac:dyDescent="0.2"/>
    <row r="9691" hidden="1" x14ac:dyDescent="0.2"/>
    <row r="9692" hidden="1" x14ac:dyDescent="0.2"/>
    <row r="9693" hidden="1" x14ac:dyDescent="0.2"/>
    <row r="9694" hidden="1" x14ac:dyDescent="0.2"/>
    <row r="9695" hidden="1" x14ac:dyDescent="0.2"/>
    <row r="9696" hidden="1" x14ac:dyDescent="0.2"/>
    <row r="9697" hidden="1" x14ac:dyDescent="0.2"/>
    <row r="9698" hidden="1" x14ac:dyDescent="0.2"/>
    <row r="9699" hidden="1" x14ac:dyDescent="0.2"/>
    <row r="9700" hidden="1" x14ac:dyDescent="0.2"/>
    <row r="9701" hidden="1" x14ac:dyDescent="0.2"/>
    <row r="9702" hidden="1" x14ac:dyDescent="0.2"/>
    <row r="9703" hidden="1" x14ac:dyDescent="0.2"/>
    <row r="9704" hidden="1" x14ac:dyDescent="0.2"/>
    <row r="9705" hidden="1" x14ac:dyDescent="0.2"/>
    <row r="9706" hidden="1" x14ac:dyDescent="0.2"/>
    <row r="9707" hidden="1" x14ac:dyDescent="0.2"/>
    <row r="9708" hidden="1" x14ac:dyDescent="0.2"/>
    <row r="9709" hidden="1" x14ac:dyDescent="0.2"/>
    <row r="9710" hidden="1" x14ac:dyDescent="0.2"/>
    <row r="9711" hidden="1" x14ac:dyDescent="0.2"/>
    <row r="9712" hidden="1" x14ac:dyDescent="0.2"/>
    <row r="9713" hidden="1" x14ac:dyDescent="0.2"/>
    <row r="9714" hidden="1" x14ac:dyDescent="0.2"/>
    <row r="9715" hidden="1" x14ac:dyDescent="0.2"/>
    <row r="9716" hidden="1" x14ac:dyDescent="0.2"/>
    <row r="9717" hidden="1" x14ac:dyDescent="0.2"/>
    <row r="9718" hidden="1" x14ac:dyDescent="0.2"/>
    <row r="9719" hidden="1" x14ac:dyDescent="0.2"/>
    <row r="9720" hidden="1" x14ac:dyDescent="0.2"/>
    <row r="9721" hidden="1" x14ac:dyDescent="0.2"/>
    <row r="9722" hidden="1" x14ac:dyDescent="0.2"/>
    <row r="9723" hidden="1" x14ac:dyDescent="0.2"/>
    <row r="9724" hidden="1" x14ac:dyDescent="0.2"/>
    <row r="9725" hidden="1" x14ac:dyDescent="0.2"/>
    <row r="9726" hidden="1" x14ac:dyDescent="0.2"/>
    <row r="9727" hidden="1" x14ac:dyDescent="0.2"/>
    <row r="9728" hidden="1" x14ac:dyDescent="0.2"/>
    <row r="9729" hidden="1" x14ac:dyDescent="0.2"/>
    <row r="9730" hidden="1" x14ac:dyDescent="0.2"/>
    <row r="9731" hidden="1" x14ac:dyDescent="0.2"/>
    <row r="9732" hidden="1" x14ac:dyDescent="0.2"/>
    <row r="9733" hidden="1" x14ac:dyDescent="0.2"/>
    <row r="9734" hidden="1" x14ac:dyDescent="0.2"/>
    <row r="9735" hidden="1" x14ac:dyDescent="0.2"/>
    <row r="9736" hidden="1" x14ac:dyDescent="0.2"/>
    <row r="9737" hidden="1" x14ac:dyDescent="0.2"/>
    <row r="9738" hidden="1" x14ac:dyDescent="0.2"/>
    <row r="9739" hidden="1" x14ac:dyDescent="0.2"/>
    <row r="9740" hidden="1" x14ac:dyDescent="0.2"/>
    <row r="9741" hidden="1" x14ac:dyDescent="0.2"/>
    <row r="9742" hidden="1" x14ac:dyDescent="0.2"/>
    <row r="9743" hidden="1" x14ac:dyDescent="0.2"/>
    <row r="9744" hidden="1" x14ac:dyDescent="0.2"/>
    <row r="9745" hidden="1" x14ac:dyDescent="0.2"/>
    <row r="9746" hidden="1" x14ac:dyDescent="0.2"/>
    <row r="9747" hidden="1" x14ac:dyDescent="0.2"/>
    <row r="9748" hidden="1" x14ac:dyDescent="0.2"/>
    <row r="9749" hidden="1" x14ac:dyDescent="0.2"/>
    <row r="9750" hidden="1" x14ac:dyDescent="0.2"/>
    <row r="9751" hidden="1" x14ac:dyDescent="0.2"/>
    <row r="9752" hidden="1" x14ac:dyDescent="0.2"/>
    <row r="9753" hidden="1" x14ac:dyDescent="0.2"/>
    <row r="9754" hidden="1" x14ac:dyDescent="0.2"/>
    <row r="9755" hidden="1" x14ac:dyDescent="0.2"/>
    <row r="9756" hidden="1" x14ac:dyDescent="0.2"/>
    <row r="9757" hidden="1" x14ac:dyDescent="0.2"/>
    <row r="9758" hidden="1" x14ac:dyDescent="0.2"/>
    <row r="9759" hidden="1" x14ac:dyDescent="0.2"/>
    <row r="9760" hidden="1" x14ac:dyDescent="0.2"/>
    <row r="9761" hidden="1" x14ac:dyDescent="0.2"/>
    <row r="9762" hidden="1" x14ac:dyDescent="0.2"/>
    <row r="9763" hidden="1" x14ac:dyDescent="0.2"/>
    <row r="9764" hidden="1" x14ac:dyDescent="0.2"/>
    <row r="9765" hidden="1" x14ac:dyDescent="0.2"/>
    <row r="9766" hidden="1" x14ac:dyDescent="0.2"/>
    <row r="9767" hidden="1" x14ac:dyDescent="0.2"/>
    <row r="9768" hidden="1" x14ac:dyDescent="0.2"/>
    <row r="9769" hidden="1" x14ac:dyDescent="0.2"/>
    <row r="9770" hidden="1" x14ac:dyDescent="0.2"/>
    <row r="9771" hidden="1" x14ac:dyDescent="0.2"/>
    <row r="9772" hidden="1" x14ac:dyDescent="0.2"/>
    <row r="9773" hidden="1" x14ac:dyDescent="0.2"/>
    <row r="9774" hidden="1" x14ac:dyDescent="0.2"/>
    <row r="9775" hidden="1" x14ac:dyDescent="0.2"/>
    <row r="9776" hidden="1" x14ac:dyDescent="0.2"/>
    <row r="9777" hidden="1" x14ac:dyDescent="0.2"/>
    <row r="9778" hidden="1" x14ac:dyDescent="0.2"/>
    <row r="9779" hidden="1" x14ac:dyDescent="0.2"/>
    <row r="9780" hidden="1" x14ac:dyDescent="0.2"/>
    <row r="9781" hidden="1" x14ac:dyDescent="0.2"/>
    <row r="9782" hidden="1" x14ac:dyDescent="0.2"/>
    <row r="9783" hidden="1" x14ac:dyDescent="0.2"/>
    <row r="9784" hidden="1" x14ac:dyDescent="0.2"/>
    <row r="9785" hidden="1" x14ac:dyDescent="0.2"/>
    <row r="9786" hidden="1" x14ac:dyDescent="0.2"/>
    <row r="9787" hidden="1" x14ac:dyDescent="0.2"/>
    <row r="9788" hidden="1" x14ac:dyDescent="0.2"/>
    <row r="9789" hidden="1" x14ac:dyDescent="0.2"/>
    <row r="9790" hidden="1" x14ac:dyDescent="0.2"/>
    <row r="9791" hidden="1" x14ac:dyDescent="0.2"/>
    <row r="9792" hidden="1" x14ac:dyDescent="0.2"/>
    <row r="9793" hidden="1" x14ac:dyDescent="0.2"/>
    <row r="9794" hidden="1" x14ac:dyDescent="0.2"/>
    <row r="9795" hidden="1" x14ac:dyDescent="0.2"/>
    <row r="9796" hidden="1" x14ac:dyDescent="0.2"/>
    <row r="9797" hidden="1" x14ac:dyDescent="0.2"/>
    <row r="9798" hidden="1" x14ac:dyDescent="0.2"/>
    <row r="9799" hidden="1" x14ac:dyDescent="0.2"/>
    <row r="9800" hidden="1" x14ac:dyDescent="0.2"/>
    <row r="9801" hidden="1" x14ac:dyDescent="0.2"/>
    <row r="9802" hidden="1" x14ac:dyDescent="0.2"/>
    <row r="9803" hidden="1" x14ac:dyDescent="0.2"/>
    <row r="9804" hidden="1" x14ac:dyDescent="0.2"/>
    <row r="9805" hidden="1" x14ac:dyDescent="0.2"/>
    <row r="9806" hidden="1" x14ac:dyDescent="0.2"/>
    <row r="9807" hidden="1" x14ac:dyDescent="0.2"/>
    <row r="9808" hidden="1" x14ac:dyDescent="0.2"/>
    <row r="9809" hidden="1" x14ac:dyDescent="0.2"/>
    <row r="9810" hidden="1" x14ac:dyDescent="0.2"/>
  </sheetData>
  <pageMargins left="0.7" right="0.7" top="0.75" bottom="0.75" header="0.3" footer="0.3"/>
  <pageSetup paperSize="17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Substitution</vt:lpstr>
      <vt:lpstr>WillMartinModel</vt:lpstr>
      <vt:lpstr>SubstitutionCurve</vt:lpstr>
      <vt:lpstr>SolarLCOEChart</vt:lpstr>
      <vt:lpstr>GasolinePrice</vt:lpstr>
      <vt:lpstr>SolarVsGas</vt:lpstr>
      <vt:lpstr>Substitution!Print_Area</vt:lpstr>
      <vt:lpstr>WillMartinModel!Print_Area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Martin</dc:creator>
  <cp:lastModifiedBy>Windows</cp:lastModifiedBy>
  <cp:lastPrinted>2014-12-03T18:04:33Z</cp:lastPrinted>
  <dcterms:created xsi:type="dcterms:W3CDTF">2014-10-30T22:23:20Z</dcterms:created>
  <dcterms:modified xsi:type="dcterms:W3CDTF">2014-12-12T19:23:55Z</dcterms:modified>
</cp:coreProperties>
</file>
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heets/sheet1.xml" ContentType="application/vnd.openxmlformats-officedocument.spreadsheetml.chartsheet+xml"/>
  <Override PartName="/xl/worksheets/sheet2.xml" ContentType="application/vnd.openxmlformats-officedocument.spreadsheetml.worksheet+xml"/>
  <Override PartName="/xl/chartsheets/sheet2.xml" ContentType="application/vnd.openxmlformats-officedocument.spreadsheetml.chartsheet+xml"/>
  <Override PartName="/xl/chartsheets/sheet3.xml" ContentType="application/vnd.openxmlformats-officedocument.spreadsheetml.chartsheet+xml"/>
  <Override PartName="/xl/chartsheets/sheet4.xml" ContentType="application/vnd.openxmlformats-officedocument.spreadsheetml.chartsheet+xml"/>
  <Override PartName="/xl/chartsheets/sheet5.xml" ContentType="application/vnd.openxmlformats-officedocument.spreadsheetml.chartsheet+xml"/>
  <Override PartName="/xl/chartsheets/sheet6.xml" ContentType="application/vnd.openxmlformats-officedocument.spreadsheetml.chartsheet+xml"/>
  <Override PartName="/xl/chartsheets/sheet7.xml" ContentType="application/vnd.openxmlformats-officedocument.spreadsheetml.chartsheet+xml"/>
  <Override PartName="/xl/chartsheets/sheet8.xml" ContentType="application/vnd.openxmlformats-officedocument.spreadsheetml.chart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ml.chartshapes+xml"/>
  <Override PartName="/xl/drawings/drawing3.xml" ContentType="application/vnd.openxmlformats-officedocument.drawing+xml"/>
  <Override PartName="/xl/comments1.xml" ContentType="application/vnd.openxmlformats-officedocument.spreadsheetml.comments+xml"/>
  <Override PartName="/xl/charts/chart2.xml" ContentType="application/vnd.openxmlformats-officedocument.drawingml.chart+xml"/>
  <Override PartName="/xl/drawings/drawing4.xml" ContentType="application/vnd.openxmlformats-officedocument.drawing+xml"/>
  <Override PartName="/xl/charts/chart3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5.xml" ContentType="application/vnd.openxmlformats-officedocument.drawing+xml"/>
  <Override PartName="/xl/charts/chart4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6.xml" ContentType="application/vnd.openxmlformats-officedocument.drawing+xml"/>
  <Override PartName="/xl/charts/chart5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7.xml" ContentType="application/vnd.openxmlformats-officedocument.drawing+xml"/>
  <Override PartName="/xl/charts/chart6.xml" ContentType="application/vnd.openxmlformats-officedocument.drawingml.chart+xml"/>
  <Override PartName="/xl/drawings/drawing8.xml" ContentType="application/vnd.openxmlformats-officedocument.drawing+xml"/>
  <Override PartName="/xl/charts/chart7.xml" ContentType="application/vnd.openxmlformats-officedocument.drawingml.chart+xml"/>
  <Override PartName="/xl/drawings/drawing9.xml" ContentType="application/vnd.openxmlformats-officedocument.drawing+xml"/>
  <Override PartName="/xl/charts/chart8.xml" ContentType="application/vnd.openxmlformats-officedocument.drawingml.chart+xml"/>
  <Override PartName="/xl/drawings/drawing10.xml" ContentType="application/vnd.openxmlformats-officedocument.drawing+xml"/>
  <Override PartName="/xl/charts/chart9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Windows\Documents\GitHub\peakoilproof.com\"/>
    </mc:Choice>
  </mc:AlternateContent>
  <bookViews>
    <workbookView xWindow="480" yWindow="120" windowWidth="23520" windowHeight="10005" activeTab="2"/>
  </bookViews>
  <sheets>
    <sheet name="Substitution" sheetId="9" r:id="rId1"/>
    <sheet name="SubstitutionCurve" sheetId="10" r:id="rId2"/>
    <sheet name="WillMartinModel" sheetId="4" r:id="rId3"/>
    <sheet name="SolarLCOEChart" sheetId="5" r:id="rId4"/>
    <sheet name="GasolinePrice" sheetId="6" r:id="rId5"/>
    <sheet name="SolarVsGas" sheetId="7" r:id="rId6"/>
    <sheet name="Battery Cost" sheetId="11" r:id="rId7"/>
    <sheet name="NissanVersaNoteTCO" sheetId="13" r:id="rId8"/>
    <sheet name="NissanLeafTCO" sheetId="14" r:id="rId9"/>
    <sheet name="TCO" sheetId="12" r:id="rId10"/>
  </sheets>
  <definedNames>
    <definedName name="_AtRisk_SimSetting_AutomaticallyGenerateReports" hidden="1">FALSE</definedName>
    <definedName name="_AtRisk_SimSetting_AutomaticResultsDisplayMode" hidden="1">0</definedName>
    <definedName name="_AtRisk_SimSetting_ConvergenceConfidenceLevel" hidden="1">0.95</definedName>
    <definedName name="_AtRisk_SimSetting_ConvergencePercentileToTest" hidden="1">0.9</definedName>
    <definedName name="_AtRisk_SimSetting_ConvergencePerformMeanTest" hidden="1">TRUE</definedName>
    <definedName name="_AtRisk_SimSetting_ConvergencePerformPercentileTest" hidden="1">FALSE</definedName>
    <definedName name="_AtRisk_SimSetting_ConvergencePerformStdDeviationTest" hidden="1">FALSE</definedName>
    <definedName name="_AtRisk_SimSetting_ConvergenceTestAllOutputs" hidden="1">TRUE</definedName>
    <definedName name="_AtRisk_SimSetting_ConvergenceTestingPeriod" hidden="1">100</definedName>
    <definedName name="_AtRisk_SimSetting_ConvergenceTolerance" hidden="1">0.03</definedName>
    <definedName name="_AtRisk_SimSetting_LiveUpdate" hidden="1">FALSE</definedName>
    <definedName name="_AtRisk_SimSetting_LiveUpdatePeriod" hidden="1">-1</definedName>
    <definedName name="_AtRisk_SimSetting_RandomNumberGenerator" hidden="1">0</definedName>
    <definedName name="_AtRisk_SimSetting_ReportsList" hidden="1">0</definedName>
    <definedName name="_AtRisk_SimSetting_SimNameCount" hidden="1">0</definedName>
    <definedName name="_AtRisk_SimSetting_SmartSensitivityAnalysisEnabled" hidden="1">FALSE</definedName>
    <definedName name="_AtRisk_SimSetting_StatisticFunctionUpdating" hidden="1">1</definedName>
    <definedName name="_AtRisk_SimSetting_StdRecalcBehavior" hidden="1">0</definedName>
    <definedName name="_AtRisk_SimSetting_StdRecalcWithoutRiskStatic" hidden="1">0</definedName>
    <definedName name="_AtRisk_SimSetting_StdRecalcWithoutRiskStaticPercentile" hidden="1">0.5</definedName>
    <definedName name="Pal_Workbook_GUID" hidden="1">"NGJ1JMH37WU41NKZ67MUSN2G"</definedName>
    <definedName name="_xlnm.Print_Area" localSheetId="0">Substitution!$A$1:$BH$10</definedName>
    <definedName name="_xlnm.Print_Area" localSheetId="2">WillMartinModel!$A$1:$BK$169</definedName>
    <definedName name="RiskAfterRecalcMacro" hidden="1">""</definedName>
    <definedName name="RiskAfterSimMacro" hidden="1">""</definedName>
    <definedName name="RiskBeforeRecalcMacro" hidden="1">""</definedName>
    <definedName name="RiskBeforeSimMacro" hidden="1">""</definedName>
    <definedName name="RiskCollectDistributionSamples" hidden="1">2</definedName>
    <definedName name="RiskFixedSeed" hidden="1">1</definedName>
    <definedName name="RiskHasSettings" hidden="1">5</definedName>
    <definedName name="RiskMinimizeOnStart" hidden="1">FALSE</definedName>
    <definedName name="RiskMonitorConvergence" hidden="1">FALSE</definedName>
    <definedName name="RiskMultipleCPUSupportEnabled" hidden="1">TRUE</definedName>
    <definedName name="RiskNumIterations" hidden="1">10000</definedName>
    <definedName name="RiskNumSimulations" hidden="1">1</definedName>
    <definedName name="RiskPauseOnError" hidden="1">FALSE</definedName>
    <definedName name="RiskRunAfterRecalcMacro" hidden="1">FALSE</definedName>
    <definedName name="RiskRunAfterSimMacro" hidden="1">FALSE</definedName>
    <definedName name="RiskRunBeforeRecalcMacro" hidden="1">FALSE</definedName>
    <definedName name="RiskRunBeforeSimMacro" hidden="1">FALSE</definedName>
    <definedName name="RiskSamplingType" hidden="1">3</definedName>
    <definedName name="RiskStandardRecalc" hidden="1">1</definedName>
    <definedName name="RiskUpdateDisplay" hidden="1">FALSE</definedName>
    <definedName name="RiskUseDifferentSeedForEachSim" hidden="1">FALSE</definedName>
    <definedName name="RiskUseFixedSeed" hidden="1">FALSE</definedName>
    <definedName name="RiskUseMultipleCPUs" hidden="1">TRUE</definedName>
  </definedNames>
  <calcPr calcId="152511"/>
</workbook>
</file>

<file path=xl/calcChain.xml><?xml version="1.0" encoding="utf-8"?>
<calcChain xmlns="http://schemas.openxmlformats.org/spreadsheetml/2006/main">
  <c r="AT99" i="4" l="1"/>
  <c r="AT100" i="4" s="1"/>
  <c r="AO93" i="4"/>
  <c r="AT93" i="4"/>
  <c r="L75" i="4"/>
  <c r="K75" i="4"/>
  <c r="J75" i="4"/>
  <c r="I75" i="4"/>
  <c r="H75" i="4"/>
  <c r="L72" i="4"/>
  <c r="K72" i="4"/>
  <c r="J72" i="4"/>
  <c r="I72" i="4"/>
  <c r="H72" i="4"/>
  <c r="L67" i="4"/>
  <c r="K67" i="4"/>
  <c r="J67" i="4"/>
  <c r="I67" i="4"/>
  <c r="H67" i="4"/>
  <c r="L62" i="4"/>
  <c r="K62" i="4"/>
  <c r="J62" i="4"/>
  <c r="I62" i="4"/>
  <c r="H62" i="4"/>
  <c r="L43" i="4"/>
  <c r="K43" i="4"/>
  <c r="J43" i="4"/>
  <c r="I43" i="4"/>
  <c r="H43" i="4"/>
  <c r="L40" i="4"/>
  <c r="K40" i="4"/>
  <c r="J40" i="4"/>
  <c r="I40" i="4"/>
  <c r="H40" i="4"/>
  <c r="L35" i="4"/>
  <c r="K35" i="4"/>
  <c r="J35" i="4"/>
  <c r="I35" i="4"/>
  <c r="H35" i="4"/>
  <c r="H30" i="4"/>
  <c r="L30" i="4"/>
  <c r="K30" i="4"/>
  <c r="J30" i="4"/>
  <c r="I30" i="4"/>
  <c r="H84" i="4"/>
  <c r="H87" i="4"/>
  <c r="BC117" i="4" s="1"/>
  <c r="H86" i="4"/>
  <c r="H85" i="4"/>
  <c r="L87" i="4"/>
  <c r="K87" i="4"/>
  <c r="J87" i="4"/>
  <c r="I87" i="4"/>
  <c r="L86" i="4"/>
  <c r="K86" i="4"/>
  <c r="J86" i="4"/>
  <c r="I86" i="4"/>
  <c r="L85" i="4"/>
  <c r="K85" i="4"/>
  <c r="J85" i="4"/>
  <c r="I85" i="4"/>
  <c r="L84" i="4"/>
  <c r="K84" i="4"/>
  <c r="J84" i="4"/>
  <c r="I84" i="4"/>
  <c r="L55" i="4"/>
  <c r="K55" i="4"/>
  <c r="J55" i="4"/>
  <c r="I55" i="4"/>
  <c r="H55" i="4"/>
  <c r="L54" i="4"/>
  <c r="K54" i="4"/>
  <c r="J54" i="4"/>
  <c r="I54" i="4"/>
  <c r="H54" i="4"/>
  <c r="L53" i="4"/>
  <c r="K53" i="4"/>
  <c r="J53" i="4"/>
  <c r="I53" i="4"/>
  <c r="H53" i="4"/>
  <c r="L52" i="4"/>
  <c r="K52" i="4"/>
  <c r="J52" i="4"/>
  <c r="I52" i="4"/>
  <c r="H52" i="4"/>
  <c r="L59" i="4"/>
  <c r="K59" i="4"/>
  <c r="J59" i="4"/>
  <c r="I59" i="4"/>
  <c r="H59" i="4"/>
  <c r="L27" i="4"/>
  <c r="K27" i="4"/>
  <c r="J27" i="4"/>
  <c r="I27" i="4"/>
  <c r="H27" i="4"/>
  <c r="AS100" i="4"/>
  <c r="AR100" i="4"/>
  <c r="AQ100" i="4"/>
  <c r="AP100" i="4"/>
  <c r="AO100" i="4"/>
  <c r="AN100" i="4"/>
  <c r="AM100" i="4"/>
  <c r="AL100" i="4"/>
  <c r="AK100" i="4"/>
  <c r="AJ100" i="4"/>
  <c r="AI100" i="4"/>
  <c r="AH100" i="4"/>
  <c r="AG100" i="4"/>
  <c r="AF100" i="4"/>
  <c r="AE100" i="4"/>
  <c r="AD100" i="4"/>
  <c r="AC100" i="4"/>
  <c r="AB100" i="4"/>
  <c r="AA100" i="4"/>
  <c r="Z100" i="4"/>
  <c r="Y100" i="4"/>
  <c r="X100" i="4"/>
  <c r="W100" i="4"/>
  <c r="V100" i="4"/>
  <c r="L83" i="4" l="1"/>
  <c r="H83" i="4"/>
  <c r="AU99" i="4"/>
  <c r="AV99" i="4" s="1"/>
  <c r="AW99" i="4" s="1"/>
  <c r="AX99" i="4" s="1"/>
  <c r="AY99" i="4" s="1"/>
  <c r="AZ99" i="4" s="1"/>
  <c r="BA99" i="4" s="1"/>
  <c r="BB99" i="4" s="1"/>
  <c r="BC99" i="4" s="1"/>
  <c r="BD99" i="4" s="1"/>
  <c r="BE99" i="4" s="1"/>
  <c r="BF99" i="4" s="1"/>
  <c r="BG99" i="4" s="1"/>
  <c r="BH99" i="4" s="1"/>
  <c r="BH100" i="4" s="1"/>
  <c r="BH101" i="4" s="1"/>
  <c r="I51" i="4"/>
  <c r="BD114" i="4"/>
  <c r="BA115" i="4"/>
  <c r="BD125" i="4"/>
  <c r="AZ125" i="4"/>
  <c r="AV125" i="4"/>
  <c r="AR125" i="4"/>
  <c r="AN125" i="4"/>
  <c r="AJ125" i="4"/>
  <c r="AF125" i="4"/>
  <c r="AB125" i="4"/>
  <c r="BC125" i="4"/>
  <c r="AY125" i="4"/>
  <c r="AU125" i="4"/>
  <c r="AQ125" i="4"/>
  <c r="AM125" i="4"/>
  <c r="AI125" i="4"/>
  <c r="AE125" i="4"/>
  <c r="AA125" i="4"/>
  <c r="BB125" i="4"/>
  <c r="AX125" i="4"/>
  <c r="AT125" i="4"/>
  <c r="AP125" i="4"/>
  <c r="AL125" i="4"/>
  <c r="AH125" i="4"/>
  <c r="AD125" i="4"/>
  <c r="Z125" i="4"/>
  <c r="BA125" i="4"/>
  <c r="AW125" i="4"/>
  <c r="AS125" i="4"/>
  <c r="AO125" i="4"/>
  <c r="AK125" i="4"/>
  <c r="AG125" i="4"/>
  <c r="AC125" i="4"/>
  <c r="Y125" i="4"/>
  <c r="AW100" i="4"/>
  <c r="AW101" i="4" s="1"/>
  <c r="AT101" i="4"/>
  <c r="AA114" i="4"/>
  <c r="AE114" i="4"/>
  <c r="AI114" i="4"/>
  <c r="AM114" i="4"/>
  <c r="AQ114" i="4"/>
  <c r="AU114" i="4"/>
  <c r="AY114" i="4"/>
  <c r="BC114" i="4"/>
  <c r="AA115" i="4"/>
  <c r="AE115" i="4"/>
  <c r="AI115" i="4"/>
  <c r="AM115" i="4"/>
  <c r="AQ115" i="4"/>
  <c r="AU115" i="4"/>
  <c r="AY115" i="4"/>
  <c r="BC115" i="4"/>
  <c r="AA116" i="4"/>
  <c r="AE116" i="4"/>
  <c r="AI116" i="4"/>
  <c r="AM116" i="4"/>
  <c r="AQ116" i="4"/>
  <c r="AU116" i="4"/>
  <c r="AY116" i="4"/>
  <c r="BC116" i="4"/>
  <c r="AA117" i="4"/>
  <c r="AE117" i="4"/>
  <c r="AI117" i="4"/>
  <c r="AM117" i="4"/>
  <c r="AQ117" i="4"/>
  <c r="AU117" i="4"/>
  <c r="AY117" i="4"/>
  <c r="BD126" i="4"/>
  <c r="AZ126" i="4"/>
  <c r="AV126" i="4"/>
  <c r="AR126" i="4"/>
  <c r="AN126" i="4"/>
  <c r="AJ126" i="4"/>
  <c r="AF126" i="4"/>
  <c r="AB126" i="4"/>
  <c r="BC126" i="4"/>
  <c r="AY126" i="4"/>
  <c r="AU126" i="4"/>
  <c r="AQ126" i="4"/>
  <c r="AM126" i="4"/>
  <c r="AI126" i="4"/>
  <c r="AE126" i="4"/>
  <c r="AA126" i="4"/>
  <c r="BB126" i="4"/>
  <c r="AX126" i="4"/>
  <c r="AT126" i="4"/>
  <c r="AP126" i="4"/>
  <c r="AL126" i="4"/>
  <c r="AH126" i="4"/>
  <c r="AD126" i="4"/>
  <c r="Z126" i="4"/>
  <c r="BA126" i="4"/>
  <c r="AW126" i="4"/>
  <c r="AS126" i="4"/>
  <c r="AO126" i="4"/>
  <c r="AK126" i="4"/>
  <c r="AG126" i="4"/>
  <c r="AC126" i="4"/>
  <c r="Y126" i="4"/>
  <c r="BB100" i="4"/>
  <c r="BB101" i="4" s="1"/>
  <c r="BF100" i="4"/>
  <c r="BF101" i="4" s="1"/>
  <c r="AB114" i="4"/>
  <c r="AF114" i="4"/>
  <c r="AJ114" i="4"/>
  <c r="AN114" i="4"/>
  <c r="AR114" i="4"/>
  <c r="AV114" i="4"/>
  <c r="AZ114" i="4"/>
  <c r="AB115" i="4"/>
  <c r="AF115" i="4"/>
  <c r="AJ115" i="4"/>
  <c r="AN115" i="4"/>
  <c r="AR115" i="4"/>
  <c r="AV115" i="4"/>
  <c r="AZ115" i="4"/>
  <c r="BD115" i="4"/>
  <c r="AB116" i="4"/>
  <c r="AF116" i="4"/>
  <c r="AJ116" i="4"/>
  <c r="AN116" i="4"/>
  <c r="AR116" i="4"/>
  <c r="AV116" i="4"/>
  <c r="AZ116" i="4"/>
  <c r="BD116" i="4"/>
  <c r="AB117" i="4"/>
  <c r="AF117" i="4"/>
  <c r="AJ117" i="4"/>
  <c r="AN117" i="4"/>
  <c r="AR117" i="4"/>
  <c r="AV117" i="4"/>
  <c r="AZ117" i="4"/>
  <c r="BD117" i="4"/>
  <c r="AE108" i="4"/>
  <c r="BD123" i="4"/>
  <c r="AZ123" i="4"/>
  <c r="AV123" i="4"/>
  <c r="AR123" i="4"/>
  <c r="AN123" i="4"/>
  <c r="AJ123" i="4"/>
  <c r="AF123" i="4"/>
  <c r="AB123" i="4"/>
  <c r="Y114" i="4"/>
  <c r="BC123" i="4"/>
  <c r="AY123" i="4"/>
  <c r="AU123" i="4"/>
  <c r="AQ123" i="4"/>
  <c r="AM123" i="4"/>
  <c r="AI123" i="4"/>
  <c r="AE123" i="4"/>
  <c r="AA123" i="4"/>
  <c r="BB123" i="4"/>
  <c r="AX123" i="4"/>
  <c r="AT123" i="4"/>
  <c r="AP123" i="4"/>
  <c r="AL123" i="4"/>
  <c r="AH123" i="4"/>
  <c r="AD123" i="4"/>
  <c r="Z123" i="4"/>
  <c r="BA123" i="4"/>
  <c r="AW123" i="4"/>
  <c r="AS123" i="4"/>
  <c r="AO123" i="4"/>
  <c r="AK123" i="4"/>
  <c r="AG123" i="4"/>
  <c r="AC123" i="4"/>
  <c r="Y123" i="4"/>
  <c r="BG100" i="4"/>
  <c r="BG101" i="4" s="1"/>
  <c r="AC114" i="4"/>
  <c r="AG114" i="4"/>
  <c r="AK114" i="4"/>
  <c r="AO114" i="4"/>
  <c r="AS114" i="4"/>
  <c r="AW114" i="4"/>
  <c r="BA114" i="4"/>
  <c r="Y115" i="4"/>
  <c r="AC115" i="4"/>
  <c r="AG115" i="4"/>
  <c r="AK115" i="4"/>
  <c r="AO115" i="4"/>
  <c r="AS115" i="4"/>
  <c r="AW115" i="4"/>
  <c r="Y116" i="4"/>
  <c r="AC116" i="4"/>
  <c r="AG116" i="4"/>
  <c r="AK116" i="4"/>
  <c r="AO116" i="4"/>
  <c r="AS116" i="4"/>
  <c r="AW116" i="4"/>
  <c r="BA116" i="4"/>
  <c r="Y117" i="4"/>
  <c r="AC117" i="4"/>
  <c r="AG117" i="4"/>
  <c r="AK117" i="4"/>
  <c r="AO117" i="4"/>
  <c r="AS117" i="4"/>
  <c r="AW117" i="4"/>
  <c r="BA117" i="4"/>
  <c r="Y105" i="4"/>
  <c r="BD124" i="4"/>
  <c r="AZ124" i="4"/>
  <c r="AV124" i="4"/>
  <c r="AR124" i="4"/>
  <c r="AN124" i="4"/>
  <c r="AJ124" i="4"/>
  <c r="AF124" i="4"/>
  <c r="AB124" i="4"/>
  <c r="BC124" i="4"/>
  <c r="AY124" i="4"/>
  <c r="AU124" i="4"/>
  <c r="AQ124" i="4"/>
  <c r="AM124" i="4"/>
  <c r="AI124" i="4"/>
  <c r="AE124" i="4"/>
  <c r="AA124" i="4"/>
  <c r="BB124" i="4"/>
  <c r="AX124" i="4"/>
  <c r="AT124" i="4"/>
  <c r="AP124" i="4"/>
  <c r="AL124" i="4"/>
  <c r="AH124" i="4"/>
  <c r="AD124" i="4"/>
  <c r="Z124" i="4"/>
  <c r="BA124" i="4"/>
  <c r="AW124" i="4"/>
  <c r="AS124" i="4"/>
  <c r="AO124" i="4"/>
  <c r="AK124" i="4"/>
  <c r="AG124" i="4"/>
  <c r="AC124" i="4"/>
  <c r="Y124" i="4"/>
  <c r="BD100" i="4"/>
  <c r="BD101" i="4" s="1"/>
  <c r="Z114" i="4"/>
  <c r="AD114" i="4"/>
  <c r="AH114" i="4"/>
  <c r="AL114" i="4"/>
  <c r="AP114" i="4"/>
  <c r="AT114" i="4"/>
  <c r="AX114" i="4"/>
  <c r="BB114" i="4"/>
  <c r="Z115" i="4"/>
  <c r="AD115" i="4"/>
  <c r="AH115" i="4"/>
  <c r="AL115" i="4"/>
  <c r="AP115" i="4"/>
  <c r="AT115" i="4"/>
  <c r="AX115" i="4"/>
  <c r="BB115" i="4"/>
  <c r="Z116" i="4"/>
  <c r="AD116" i="4"/>
  <c r="AH116" i="4"/>
  <c r="AL116" i="4"/>
  <c r="AP116" i="4"/>
  <c r="AT116" i="4"/>
  <c r="AX116" i="4"/>
  <c r="BB116" i="4"/>
  <c r="Z117" i="4"/>
  <c r="AD117" i="4"/>
  <c r="AH117" i="4"/>
  <c r="AL117" i="4"/>
  <c r="AP117" i="4"/>
  <c r="AT117" i="4"/>
  <c r="AX117" i="4"/>
  <c r="BB117" i="4"/>
  <c r="J51" i="4"/>
  <c r="H51" i="4"/>
  <c r="L51" i="4"/>
  <c r="K83" i="4"/>
  <c r="I83" i="4"/>
  <c r="K51" i="4"/>
  <c r="J83" i="4"/>
  <c r="AA107" i="4"/>
  <c r="AD105" i="4"/>
  <c r="AU106" i="4"/>
  <c r="AU107" i="4"/>
  <c r="AQ106" i="4"/>
  <c r="AS101" i="4"/>
  <c r="BB105" i="4"/>
  <c r="AP105" i="4"/>
  <c r="AQ107" i="4"/>
  <c r="AT105" i="4"/>
  <c r="BA106" i="4"/>
  <c r="Z105" i="4"/>
  <c r="AA106" i="4"/>
  <c r="AA108" i="4"/>
  <c r="BA107" i="4"/>
  <c r="AE106" i="4"/>
  <c r="AE107" i="4"/>
  <c r="BD106" i="4"/>
  <c r="AV106" i="4"/>
  <c r="AN106" i="4"/>
  <c r="AF106" i="4"/>
  <c r="AZ106" i="4"/>
  <c r="AR106" i="4"/>
  <c r="AJ106" i="4"/>
  <c r="AB106" i="4"/>
  <c r="AZ107" i="4"/>
  <c r="AR107" i="4"/>
  <c r="AN107" i="4"/>
  <c r="AF107" i="4"/>
  <c r="BD107" i="4"/>
  <c r="AV107" i="4"/>
  <c r="AJ107" i="4"/>
  <c r="AB107" i="4"/>
  <c r="BA108" i="4"/>
  <c r="AW108" i="4"/>
  <c r="AS108" i="4"/>
  <c r="AO108" i="4"/>
  <c r="AK108" i="4"/>
  <c r="AG108" i="4"/>
  <c r="AC108" i="4"/>
  <c r="Y108" i="4"/>
  <c r="BD108" i="4"/>
  <c r="AR108" i="4"/>
  <c r="AJ108" i="4"/>
  <c r="AB108" i="4"/>
  <c r="AY108" i="4"/>
  <c r="AU108" i="4"/>
  <c r="BB108" i="4"/>
  <c r="AX108" i="4"/>
  <c r="AT108" i="4"/>
  <c r="AP108" i="4"/>
  <c r="AL108" i="4"/>
  <c r="AH108" i="4"/>
  <c r="AD108" i="4"/>
  <c r="Z108" i="4"/>
  <c r="AZ108" i="4"/>
  <c r="AV108" i="4"/>
  <c r="AN108" i="4"/>
  <c r="AF108" i="4"/>
  <c r="BC108" i="4"/>
  <c r="AQ108" i="4"/>
  <c r="AH105" i="4"/>
  <c r="AX105" i="4"/>
  <c r="AI106" i="4"/>
  <c r="AY106" i="4"/>
  <c r="AI107" i="4"/>
  <c r="AY107" i="4"/>
  <c r="AI108" i="4"/>
  <c r="AZ105" i="4"/>
  <c r="AL105" i="4"/>
  <c r="AM106" i="4"/>
  <c r="BC106" i="4"/>
  <c r="AM107" i="4"/>
  <c r="BC107" i="4"/>
  <c r="AM108" i="4"/>
  <c r="AA105" i="4"/>
  <c r="AI105" i="4"/>
  <c r="AQ105" i="4"/>
  <c r="AY105" i="4"/>
  <c r="AC105" i="4"/>
  <c r="AG105" i="4"/>
  <c r="AK105" i="4"/>
  <c r="AO105" i="4"/>
  <c r="AS105" i="4"/>
  <c r="AW105" i="4"/>
  <c r="BA105" i="4"/>
  <c r="Z106" i="4"/>
  <c r="AD106" i="4"/>
  <c r="AH106" i="4"/>
  <c r="AL106" i="4"/>
  <c r="AP106" i="4"/>
  <c r="AT106" i="4"/>
  <c r="AX106" i="4"/>
  <c r="BB106" i="4"/>
  <c r="Z107" i="4"/>
  <c r="AD107" i="4"/>
  <c r="AH107" i="4"/>
  <c r="AL107" i="4"/>
  <c r="AP107" i="4"/>
  <c r="AT107" i="4"/>
  <c r="AX107" i="4"/>
  <c r="BB107" i="4"/>
  <c r="AE105" i="4"/>
  <c r="AM105" i="4"/>
  <c r="AU105" i="4"/>
  <c r="BC105" i="4"/>
  <c r="BD105" i="4"/>
  <c r="AB105" i="4"/>
  <c r="AF105" i="4"/>
  <c r="AJ105" i="4"/>
  <c r="AN105" i="4"/>
  <c r="AR105" i="4"/>
  <c r="AV105" i="4"/>
  <c r="Y106" i="4"/>
  <c r="AC106" i="4"/>
  <c r="AG106" i="4"/>
  <c r="AK106" i="4"/>
  <c r="AO106" i="4"/>
  <c r="AS106" i="4"/>
  <c r="AW106" i="4"/>
  <c r="Y107" i="4"/>
  <c r="AC107" i="4"/>
  <c r="AG107" i="4"/>
  <c r="AK107" i="4"/>
  <c r="AO107" i="4"/>
  <c r="AS107" i="4"/>
  <c r="AW107" i="4"/>
  <c r="Z101" i="4"/>
  <c r="AD101" i="4"/>
  <c r="AD122" i="4" s="1"/>
  <c r="AH101" i="4"/>
  <c r="AL101" i="4"/>
  <c r="AP101" i="4"/>
  <c r="AA101" i="4"/>
  <c r="AE101" i="4"/>
  <c r="AE122" i="4" s="1"/>
  <c r="AI101" i="4"/>
  <c r="AM101" i="4"/>
  <c r="AQ101" i="4"/>
  <c r="X101" i="4"/>
  <c r="AB101" i="4"/>
  <c r="AF101" i="4"/>
  <c r="AJ101" i="4"/>
  <c r="AN101" i="4"/>
  <c r="AR101" i="4"/>
  <c r="Y101" i="4"/>
  <c r="AC101" i="4"/>
  <c r="AC122" i="4" s="1"/>
  <c r="AG101" i="4"/>
  <c r="AK101" i="4"/>
  <c r="AO101" i="4"/>
  <c r="AN122" i="4" l="1"/>
  <c r="AA122" i="4"/>
  <c r="AF122" i="4"/>
  <c r="AG113" i="4"/>
  <c r="AH113" i="4"/>
  <c r="AU100" i="4"/>
  <c r="AU101" i="4" s="1"/>
  <c r="AQ122" i="4" s="1"/>
  <c r="BA100" i="4"/>
  <c r="BA101" i="4" s="1"/>
  <c r="Y122" i="4"/>
  <c r="AM113" i="4"/>
  <c r="Z113" i="4"/>
  <c r="AZ100" i="4"/>
  <c r="AZ101" i="4" s="1"/>
  <c r="AI113" i="4"/>
  <c r="AV100" i="4"/>
  <c r="AV101" i="4" s="1"/>
  <c r="AJ113" i="4"/>
  <c r="AO122" i="4"/>
  <c r="AP122" i="4"/>
  <c r="BC100" i="4"/>
  <c r="BC101" i="4" s="1"/>
  <c r="BC122" i="4" s="1"/>
  <c r="AX100" i="4"/>
  <c r="AX101" i="4" s="1"/>
  <c r="AX113" i="4" s="1"/>
  <c r="AK113" i="4"/>
  <c r="AB113" i="4"/>
  <c r="AL113" i="4"/>
  <c r="AY100" i="4"/>
  <c r="AY101" i="4" s="1"/>
  <c r="AY113" i="4" s="1"/>
  <c r="BE100" i="4"/>
  <c r="BE101" i="4" s="1"/>
  <c r="BD113" i="4" s="1"/>
  <c r="BA113" i="4"/>
  <c r="BB122" i="4"/>
  <c r="AO113" i="4"/>
  <c r="AC113" i="4"/>
  <c r="AH122" i="4"/>
  <c r="AI122" i="4"/>
  <c r="AY122" i="4"/>
  <c r="AJ122" i="4"/>
  <c r="AG122" i="4"/>
  <c r="AN113" i="4"/>
  <c r="AE113" i="4"/>
  <c r="BC113" i="4"/>
  <c r="Y113" i="4"/>
  <c r="AL122" i="4"/>
  <c r="AM122" i="4"/>
  <c r="BD122" i="4"/>
  <c r="AK122" i="4"/>
  <c r="AA113" i="4"/>
  <c r="AP113" i="4"/>
  <c r="AD113" i="4"/>
  <c r="Z122" i="4"/>
  <c r="AB122" i="4"/>
  <c r="AF113" i="4"/>
  <c r="AT113" i="4"/>
  <c r="BD104" i="4"/>
  <c r="AZ104" i="4"/>
  <c r="AV104" i="4"/>
  <c r="AR104" i="4"/>
  <c r="AN104" i="4"/>
  <c r="AJ104" i="4"/>
  <c r="AF104" i="4"/>
  <c r="AB104" i="4"/>
  <c r="AY104" i="4"/>
  <c r="AU104" i="4"/>
  <c r="AQ104" i="4"/>
  <c r="AI104" i="4"/>
  <c r="AE104" i="4"/>
  <c r="AX104" i="4"/>
  <c r="AH104" i="4"/>
  <c r="Z104" i="4"/>
  <c r="BA104" i="4"/>
  <c r="AW104" i="4"/>
  <c r="AS104" i="4"/>
  <c r="AO104" i="4"/>
  <c r="AK104" i="4"/>
  <c r="AG104" i="4"/>
  <c r="AC104" i="4"/>
  <c r="Y104" i="4"/>
  <c r="BC104" i="4"/>
  <c r="AM104" i="4"/>
  <c r="AA104" i="4"/>
  <c r="BB104" i="4"/>
  <c r="AT104" i="4"/>
  <c r="AP104" i="4"/>
  <c r="AL104" i="4"/>
  <c r="AD104" i="4"/>
  <c r="AU113" i="4" l="1"/>
  <c r="BB113" i="4"/>
  <c r="AV122" i="4"/>
  <c r="AR113" i="4"/>
  <c r="AX122" i="4"/>
  <c r="BA122" i="4"/>
  <c r="AZ113" i="4"/>
  <c r="AR122" i="4"/>
  <c r="AV113" i="4"/>
  <c r="AS113" i="4"/>
  <c r="AW122" i="4"/>
  <c r="AS122" i="4"/>
  <c r="AU122" i="4"/>
  <c r="AT122" i="4"/>
  <c r="AQ113" i="4"/>
  <c r="AZ122" i="4"/>
  <c r="AW113" i="4"/>
  <c r="F7" i="9"/>
  <c r="G7" i="9" s="1"/>
  <c r="H7" i="9" s="1"/>
  <c r="I7" i="9" s="1"/>
  <c r="J7" i="9" s="1"/>
  <c r="K7" i="9" s="1"/>
  <c r="L7" i="9" s="1"/>
  <c r="M7" i="9" s="1"/>
  <c r="N7" i="9" s="1"/>
  <c r="O7" i="9" s="1"/>
  <c r="P7" i="9" s="1"/>
  <c r="Q7" i="9" s="1"/>
  <c r="R7" i="9" s="1"/>
  <c r="S7" i="9" s="1"/>
  <c r="T7" i="9" s="1"/>
  <c r="U7" i="9" s="1"/>
  <c r="V7" i="9" s="1"/>
  <c r="W7" i="9" s="1"/>
  <c r="X7" i="9" s="1"/>
  <c r="Y7" i="9" s="1"/>
  <c r="Z7" i="9" s="1"/>
  <c r="AA7" i="9" s="1"/>
  <c r="AB7" i="9" s="1"/>
  <c r="AC7" i="9" s="1"/>
  <c r="AD7" i="9" s="1"/>
  <c r="AE7" i="9" s="1"/>
  <c r="AF7" i="9" s="1"/>
  <c r="AG7" i="9" s="1"/>
  <c r="AH7" i="9" s="1"/>
  <c r="AI7" i="9" s="1"/>
  <c r="AJ7" i="9" s="1"/>
  <c r="AK7" i="9" s="1"/>
  <c r="AL7" i="9" s="1"/>
  <c r="AM7" i="9" s="1"/>
  <c r="AN7" i="9" s="1"/>
  <c r="AO7" i="9" s="1"/>
  <c r="AP7" i="9" s="1"/>
  <c r="AQ7" i="9" s="1"/>
  <c r="AR7" i="9" s="1"/>
  <c r="AS7" i="9" s="1"/>
  <c r="AT7" i="9" s="1"/>
  <c r="AU7" i="9" s="1"/>
  <c r="AV7" i="9" s="1"/>
  <c r="AW7" i="9" s="1"/>
  <c r="AX7" i="9" s="1"/>
  <c r="AY7" i="9" s="1"/>
  <c r="AZ7" i="9" s="1"/>
  <c r="BA7" i="9" s="1"/>
  <c r="BB7" i="9" s="1"/>
  <c r="BC7" i="9" s="1"/>
  <c r="BD7" i="9" s="1"/>
  <c r="BE7" i="9" s="1"/>
  <c r="BH94" i="4"/>
  <c r="BH98" i="4" s="1"/>
  <c r="BC94" i="4"/>
  <c r="AX94" i="4"/>
  <c r="AS94" i="4"/>
  <c r="AN94" i="4"/>
  <c r="AI94" i="4"/>
  <c r="AD94" i="4"/>
  <c r="Z94" i="4"/>
  <c r="Y94" i="4"/>
  <c r="X94" i="4"/>
  <c r="X98" i="4" s="1"/>
  <c r="W94" i="4"/>
  <c r="W98" i="4" s="1"/>
  <c r="V94" i="4"/>
  <c r="V98" i="4" s="1"/>
  <c r="U94" i="4"/>
  <c r="U98" i="4" s="1"/>
  <c r="T94" i="4"/>
  <c r="T98" i="4" s="1"/>
  <c r="S94" i="4"/>
  <c r="S98" i="4" s="1"/>
  <c r="R94" i="4"/>
  <c r="R98" i="4" s="1"/>
  <c r="Q94" i="4"/>
  <c r="Q98" i="4" s="1"/>
  <c r="P94" i="4"/>
  <c r="P98" i="4" s="1"/>
  <c r="O94" i="4"/>
  <c r="O98" i="4" s="1"/>
  <c r="N94" i="4"/>
  <c r="N98" i="4" s="1"/>
  <c r="M94" i="4"/>
  <c r="M98" i="4" s="1"/>
  <c r="L94" i="4"/>
  <c r="L98" i="4" s="1"/>
  <c r="K94" i="4"/>
  <c r="K98" i="4" s="1"/>
  <c r="J94" i="4"/>
  <c r="J98" i="4" s="1"/>
  <c r="I94" i="4"/>
  <c r="I98" i="4" s="1"/>
  <c r="H94" i="4"/>
  <c r="H98" i="4" s="1"/>
  <c r="E8" i="9"/>
  <c r="F8" i="9" l="1"/>
  <c r="AX98" i="4"/>
  <c r="AI98" i="4"/>
  <c r="BC98" i="4"/>
  <c r="AN98" i="4"/>
  <c r="AS98" i="4"/>
  <c r="Y98" i="4"/>
  <c r="AD98" i="4"/>
  <c r="Z98" i="4"/>
  <c r="W97" i="4"/>
  <c r="V97" i="4"/>
  <c r="U97" i="4"/>
  <c r="T97" i="4"/>
  <c r="S97" i="4"/>
  <c r="R97" i="4"/>
  <c r="Q97" i="4"/>
  <c r="P97" i="4"/>
  <c r="O97" i="4"/>
  <c r="N97" i="4"/>
  <c r="M97" i="4"/>
  <c r="L97" i="4"/>
  <c r="K97" i="4"/>
  <c r="J97" i="4"/>
  <c r="I97" i="4"/>
  <c r="H97" i="4"/>
  <c r="X96" i="4"/>
  <c r="X97" i="4" s="1"/>
  <c r="BD93" i="4"/>
  <c r="BD94" i="4" s="1"/>
  <c r="AY93" i="4"/>
  <c r="AY94" i="4" s="1"/>
  <c r="AT94" i="4"/>
  <c r="AO94" i="4"/>
  <c r="AJ93" i="4"/>
  <c r="AJ94" i="4" s="1"/>
  <c r="AE93" i="4"/>
  <c r="AE94" i="4" s="1"/>
  <c r="AA93" i="4"/>
  <c r="AA94" i="4" s="1"/>
  <c r="AT98" i="4" l="1"/>
  <c r="AY98" i="4"/>
  <c r="AJ98" i="4"/>
  <c r="BD98" i="4"/>
  <c r="AO98" i="4"/>
  <c r="AA98" i="4"/>
  <c r="AE98" i="4"/>
  <c r="G8" i="9"/>
  <c r="AF93" i="4"/>
  <c r="Y96" i="4"/>
  <c r="AZ93" i="4"/>
  <c r="AP93" i="4"/>
  <c r="AK93" i="4"/>
  <c r="AU93" i="4"/>
  <c r="BE93" i="4"/>
  <c r="AB93" i="4"/>
  <c r="H8" i="9" l="1"/>
  <c r="BE94" i="4"/>
  <c r="BF93" i="4"/>
  <c r="AP94" i="4"/>
  <c r="AQ93" i="4"/>
  <c r="AB94" i="4"/>
  <c r="AC93" i="4"/>
  <c r="AC94" i="4" s="1"/>
  <c r="AK94" i="4"/>
  <c r="AL93" i="4"/>
  <c r="Y97" i="4"/>
  <c r="Z96" i="4"/>
  <c r="AU94" i="4"/>
  <c r="AV93" i="4"/>
  <c r="AZ94" i="4"/>
  <c r="BA93" i="4"/>
  <c r="AF94" i="4"/>
  <c r="AG93" i="4"/>
  <c r="AK98" i="4" l="1"/>
  <c r="AU98" i="4"/>
  <c r="AZ98" i="4"/>
  <c r="AB127" i="4"/>
  <c r="AB128" i="4" s="1"/>
  <c r="H133" i="4" s="1"/>
  <c r="AB118" i="4"/>
  <c r="AB119" i="4" s="1"/>
  <c r="H132" i="4" s="1"/>
  <c r="Z118" i="4"/>
  <c r="Z119" i="4" s="1"/>
  <c r="F132" i="4" s="1"/>
  <c r="Y118" i="4"/>
  <c r="Y119" i="4" s="1"/>
  <c r="E132" i="4" s="1"/>
  <c r="Z127" i="4"/>
  <c r="Z128" i="4" s="1"/>
  <c r="F133" i="4" s="1"/>
  <c r="AA127" i="4"/>
  <c r="AA128" i="4" s="1"/>
  <c r="G133" i="4" s="1"/>
  <c r="Y127" i="4"/>
  <c r="Y128" i="4" s="1"/>
  <c r="E133" i="4" s="1"/>
  <c r="AA118" i="4"/>
  <c r="AA119" i="4" s="1"/>
  <c r="G132" i="4" s="1"/>
  <c r="BE98" i="4"/>
  <c r="AP98" i="4"/>
  <c r="AC98" i="4"/>
  <c r="AF98" i="4"/>
  <c r="AB98" i="4"/>
  <c r="I8" i="9"/>
  <c r="AG94" i="4"/>
  <c r="AH93" i="4"/>
  <c r="AH94" i="4" s="1"/>
  <c r="BA94" i="4"/>
  <c r="BB93" i="4"/>
  <c r="BB94" i="4" s="1"/>
  <c r="AL94" i="4"/>
  <c r="AM93" i="4"/>
  <c r="AM94" i="4" s="1"/>
  <c r="AV94" i="4"/>
  <c r="AS127" i="4" s="1"/>
  <c r="AS128" i="4" s="1"/>
  <c r="Y133" i="4" s="1"/>
  <c r="AW93" i="4"/>
  <c r="AW94" i="4" s="1"/>
  <c r="AA96" i="4"/>
  <c r="Z97" i="4"/>
  <c r="BF94" i="4"/>
  <c r="BF98" i="4" s="1"/>
  <c r="BG93" i="4"/>
  <c r="BG94" i="4" s="1"/>
  <c r="BG98" i="4" s="1"/>
  <c r="AQ94" i="4"/>
  <c r="AR93" i="4"/>
  <c r="AR94" i="4" s="1"/>
  <c r="AN127" i="4" s="1"/>
  <c r="AN128" i="4" s="1"/>
  <c r="T133" i="4" s="1"/>
  <c r="AO127" i="4" l="1"/>
  <c r="AO128" i="4" s="1"/>
  <c r="U133" i="4" s="1"/>
  <c r="AY118" i="4"/>
  <c r="AY119" i="4" s="1"/>
  <c r="AE132" i="4" s="1"/>
  <c r="AI127" i="4"/>
  <c r="AI128" i="4" s="1"/>
  <c r="O133" i="4" s="1"/>
  <c r="AE127" i="4"/>
  <c r="AE128" i="4" s="1"/>
  <c r="K133" i="4" s="1"/>
  <c r="AP118" i="4"/>
  <c r="AP119" i="4" s="1"/>
  <c r="V132" i="4" s="1"/>
  <c r="BC118" i="4"/>
  <c r="BC119" i="4" s="1"/>
  <c r="AI132" i="4" s="1"/>
  <c r="AX127" i="4"/>
  <c r="AX128" i="4" s="1"/>
  <c r="AD133" i="4" s="1"/>
  <c r="AZ127" i="4"/>
  <c r="AZ128" i="4" s="1"/>
  <c r="AF133" i="4" s="1"/>
  <c r="AT118" i="4"/>
  <c r="AT119" i="4" s="1"/>
  <c r="Z132" i="4" s="1"/>
  <c r="AI118" i="4"/>
  <c r="AI119" i="4" s="1"/>
  <c r="O132" i="4" s="1"/>
  <c r="AK127" i="4"/>
  <c r="AK128" i="4" s="1"/>
  <c r="Q133" i="4" s="1"/>
  <c r="AE118" i="4"/>
  <c r="AE119" i="4" s="1"/>
  <c r="K132" i="4" s="1"/>
  <c r="AW98" i="4"/>
  <c r="AW127" i="4"/>
  <c r="AW128" i="4" s="1"/>
  <c r="AC133" i="4" s="1"/>
  <c r="AW118" i="4"/>
  <c r="AW119" i="4" s="1"/>
  <c r="AC132" i="4" s="1"/>
  <c r="AR98" i="4"/>
  <c r="AR127" i="4"/>
  <c r="AR128" i="4" s="1"/>
  <c r="X133" i="4" s="1"/>
  <c r="AR118" i="4"/>
  <c r="AR119" i="4" s="1"/>
  <c r="X132" i="4" s="1"/>
  <c r="AH118" i="4"/>
  <c r="AH119" i="4" s="1"/>
  <c r="N132" i="4" s="1"/>
  <c r="AH127" i="4"/>
  <c r="AH128" i="4" s="1"/>
  <c r="N133" i="4" s="1"/>
  <c r="BC127" i="4"/>
  <c r="BC128" i="4" s="1"/>
  <c r="AI133" i="4" s="1"/>
  <c r="AC118" i="4"/>
  <c r="AC119" i="4" s="1"/>
  <c r="I132" i="4" s="1"/>
  <c r="AV98" i="4"/>
  <c r="AV127" i="4"/>
  <c r="AV128" i="4" s="1"/>
  <c r="AB133" i="4" s="1"/>
  <c r="AV118" i="4"/>
  <c r="AV119" i="4" s="1"/>
  <c r="AB132" i="4" s="1"/>
  <c r="BA98" i="4"/>
  <c r="BA127" i="4"/>
  <c r="BA128" i="4" s="1"/>
  <c r="AG133" i="4" s="1"/>
  <c r="BA118" i="4"/>
  <c r="BA119" i="4" s="1"/>
  <c r="AG132" i="4" s="1"/>
  <c r="AM98" i="4"/>
  <c r="AM127" i="4"/>
  <c r="AM128" i="4" s="1"/>
  <c r="S133" i="4" s="1"/>
  <c r="AM118" i="4"/>
  <c r="AM119" i="4" s="1"/>
  <c r="S132" i="4" s="1"/>
  <c r="AQ98" i="4"/>
  <c r="AQ127" i="4"/>
  <c r="AQ128" i="4" s="1"/>
  <c r="W133" i="4" s="1"/>
  <c r="AQ118" i="4"/>
  <c r="AQ119" i="4" s="1"/>
  <c r="W132" i="4" s="1"/>
  <c r="AL98" i="4"/>
  <c r="AL118" i="4"/>
  <c r="AL119" i="4" s="1"/>
  <c r="R132" i="4" s="1"/>
  <c r="AL127" i="4"/>
  <c r="AL128" i="4" s="1"/>
  <c r="R133" i="4" s="1"/>
  <c r="AG127" i="4"/>
  <c r="AG128" i="4" s="1"/>
  <c r="M133" i="4" s="1"/>
  <c r="AG118" i="4"/>
  <c r="AG119" i="4" s="1"/>
  <c r="M132" i="4" s="1"/>
  <c r="AN118" i="4"/>
  <c r="AN119" i="4" s="1"/>
  <c r="T132" i="4" s="1"/>
  <c r="BD118" i="4"/>
  <c r="BD119" i="4" s="1"/>
  <c r="AJ132" i="4" s="1"/>
  <c r="AX118" i="4"/>
  <c r="AX119" i="4" s="1"/>
  <c r="AD132" i="4" s="1"/>
  <c r="AT127" i="4"/>
  <c r="AT128" i="4" s="1"/>
  <c r="Z133" i="4" s="1"/>
  <c r="AU118" i="4"/>
  <c r="AU119" i="4" s="1"/>
  <c r="AA132" i="4" s="1"/>
  <c r="AC127" i="4"/>
  <c r="AC128" i="4" s="1"/>
  <c r="I133" i="4" s="1"/>
  <c r="AJ118" i="4"/>
  <c r="AJ119" i="4" s="1"/>
  <c r="P132" i="4" s="1"/>
  <c r="AD127" i="4"/>
  <c r="AD128" i="4" s="1"/>
  <c r="J133" i="4" s="1"/>
  <c r="AF118" i="4"/>
  <c r="AF119" i="4" s="1"/>
  <c r="L132" i="4" s="1"/>
  <c r="BB98" i="4"/>
  <c r="BB118" i="4"/>
  <c r="BB119" i="4" s="1"/>
  <c r="AH132" i="4" s="1"/>
  <c r="BB127" i="4"/>
  <c r="BB128" i="4" s="1"/>
  <c r="AH133" i="4" s="1"/>
  <c r="AO118" i="4"/>
  <c r="AO119" i="4" s="1"/>
  <c r="U132" i="4" s="1"/>
  <c r="AP127" i="4"/>
  <c r="AP128" i="4" s="1"/>
  <c r="V133" i="4" s="1"/>
  <c r="BD127" i="4"/>
  <c r="BD128" i="4" s="1"/>
  <c r="AJ133" i="4" s="1"/>
  <c r="AY127" i="4"/>
  <c r="AY128" i="4" s="1"/>
  <c r="AE133" i="4" s="1"/>
  <c r="AZ118" i="4"/>
  <c r="AZ119" i="4" s="1"/>
  <c r="AF132" i="4" s="1"/>
  <c r="AS118" i="4"/>
  <c r="AS119" i="4" s="1"/>
  <c r="Y132" i="4" s="1"/>
  <c r="AU127" i="4"/>
  <c r="AU128" i="4" s="1"/>
  <c r="AA133" i="4" s="1"/>
  <c r="AJ127" i="4"/>
  <c r="AJ128" i="4" s="1"/>
  <c r="P133" i="4" s="1"/>
  <c r="AK118" i="4"/>
  <c r="AK119" i="4" s="1"/>
  <c r="Q132" i="4" s="1"/>
  <c r="AD118" i="4"/>
  <c r="AD119" i="4" s="1"/>
  <c r="J132" i="4" s="1"/>
  <c r="AF127" i="4"/>
  <c r="AF128" i="4" s="1"/>
  <c r="L133" i="4" s="1"/>
  <c r="AH98" i="4"/>
  <c r="AG98" i="4"/>
  <c r="J8" i="9"/>
  <c r="AB96" i="4"/>
  <c r="AA97" i="4"/>
  <c r="K8" i="9" l="1"/>
  <c r="AC96" i="4"/>
  <c r="AB97" i="4"/>
  <c r="Y109" i="4" l="1"/>
  <c r="Y110" i="4" s="1"/>
  <c r="E131" i="4" s="1"/>
  <c r="L8" i="9"/>
  <c r="AD96" i="4"/>
  <c r="AC97" i="4"/>
  <c r="Z109" i="4" l="1"/>
  <c r="Z110" i="4" s="1"/>
  <c r="F131" i="4" s="1"/>
  <c r="M8" i="9"/>
  <c r="AE96" i="4"/>
  <c r="AD97" i="4"/>
  <c r="AA109" i="4" l="1"/>
  <c r="AA110" i="4" s="1"/>
  <c r="G131" i="4" s="1"/>
  <c r="N8" i="9"/>
  <c r="AE97" i="4"/>
  <c r="AF96" i="4"/>
  <c r="AB109" i="4" l="1"/>
  <c r="AB110" i="4" s="1"/>
  <c r="H131" i="4" s="1"/>
  <c r="O8" i="9"/>
  <c r="AF97" i="4"/>
  <c r="AG96" i="4"/>
  <c r="AC109" i="4" l="1"/>
  <c r="AC110" i="4" s="1"/>
  <c r="I131" i="4" s="1"/>
  <c r="P8" i="9"/>
  <c r="AG97" i="4"/>
  <c r="AH96" i="4"/>
  <c r="AD109" i="4" l="1"/>
  <c r="AD110" i="4" s="1"/>
  <c r="J131" i="4" s="1"/>
  <c r="Q8" i="9"/>
  <c r="AH97" i="4"/>
  <c r="AI96" i="4"/>
  <c r="AE109" i="4" l="1"/>
  <c r="AE110" i="4" s="1"/>
  <c r="K131" i="4" s="1"/>
  <c r="R8" i="9"/>
  <c r="AJ96" i="4"/>
  <c r="AI97" i="4"/>
  <c r="AF109" i="4" l="1"/>
  <c r="AF110" i="4" s="1"/>
  <c r="L131" i="4" s="1"/>
  <c r="S8" i="9"/>
  <c r="AK96" i="4"/>
  <c r="AJ97" i="4"/>
  <c r="AG109" i="4" l="1"/>
  <c r="AG110" i="4" s="1"/>
  <c r="M131" i="4" s="1"/>
  <c r="T8" i="9"/>
  <c r="AL96" i="4"/>
  <c r="AK97" i="4"/>
  <c r="AH109" i="4" l="1"/>
  <c r="AH110" i="4" s="1"/>
  <c r="N131" i="4" s="1"/>
  <c r="U8" i="9"/>
  <c r="AM96" i="4"/>
  <c r="AI109" i="4" s="1"/>
  <c r="AI110" i="4" s="1"/>
  <c r="O131" i="4" s="1"/>
  <c r="AL97" i="4"/>
  <c r="V8" i="9" l="1"/>
  <c r="AM97" i="4"/>
  <c r="AN96" i="4"/>
  <c r="AJ109" i="4" l="1"/>
  <c r="AJ110" i="4" s="1"/>
  <c r="P131" i="4" s="1"/>
  <c r="W8" i="9"/>
  <c r="AN97" i="4"/>
  <c r="AO96" i="4"/>
  <c r="AK109" i="4" l="1"/>
  <c r="AK110" i="4" s="1"/>
  <c r="Q131" i="4" s="1"/>
  <c r="X8" i="9"/>
  <c r="AO97" i="4"/>
  <c r="AP96" i="4"/>
  <c r="AL109" i="4" l="1"/>
  <c r="AL110" i="4" s="1"/>
  <c r="R131" i="4" s="1"/>
  <c r="Y8" i="9"/>
  <c r="AP97" i="4"/>
  <c r="AQ96" i="4"/>
  <c r="AM109" i="4" l="1"/>
  <c r="AM110" i="4" s="1"/>
  <c r="S131" i="4" s="1"/>
  <c r="Z8" i="9"/>
  <c r="AR96" i="4"/>
  <c r="AN109" i="4" s="1"/>
  <c r="AN110" i="4" s="1"/>
  <c r="T131" i="4" s="1"/>
  <c r="AQ97" i="4"/>
  <c r="AA8" i="9" l="1"/>
  <c r="AS96" i="4"/>
  <c r="AR97" i="4"/>
  <c r="AO109" i="4" l="1"/>
  <c r="AO110" i="4" s="1"/>
  <c r="U131" i="4" s="1"/>
  <c r="AB8" i="9"/>
  <c r="AT96" i="4"/>
  <c r="AS97" i="4"/>
  <c r="AP109" i="4" l="1"/>
  <c r="AP110" i="4" s="1"/>
  <c r="V131" i="4" s="1"/>
  <c r="AC8" i="9"/>
  <c r="AT97" i="4"/>
  <c r="AU96" i="4"/>
  <c r="AQ109" i="4" l="1"/>
  <c r="AQ110" i="4" s="1"/>
  <c r="W131" i="4" s="1"/>
  <c r="AD8" i="9"/>
  <c r="AV96" i="4"/>
  <c r="AR109" i="4" s="1"/>
  <c r="AR110" i="4" s="1"/>
  <c r="X131" i="4" s="1"/>
  <c r="AU97" i="4"/>
  <c r="AE8" i="9" l="1"/>
  <c r="AV97" i="4"/>
  <c r="AW96" i="4"/>
  <c r="AS109" i="4" l="1"/>
  <c r="AS110" i="4" s="1"/>
  <c r="Y131" i="4" s="1"/>
  <c r="AF8" i="9"/>
  <c r="AW97" i="4"/>
  <c r="AX96" i="4"/>
  <c r="AT109" i="4" l="1"/>
  <c r="AT110" i="4" s="1"/>
  <c r="Z131" i="4" s="1"/>
  <c r="AG8" i="9"/>
  <c r="AX97" i="4"/>
  <c r="AY96" i="4"/>
  <c r="AU109" i="4" s="1"/>
  <c r="AU110" i="4" s="1"/>
  <c r="AA131" i="4" s="1"/>
  <c r="AH8" i="9" l="1"/>
  <c r="AZ96" i="4"/>
  <c r="AV109" i="4" s="1"/>
  <c r="AV110" i="4" s="1"/>
  <c r="AB131" i="4" s="1"/>
  <c r="AY97" i="4"/>
  <c r="AI8" i="9" l="1"/>
  <c r="BA96" i="4"/>
  <c r="AZ97" i="4"/>
  <c r="AW109" i="4" l="1"/>
  <c r="AW110" i="4" s="1"/>
  <c r="AC131" i="4" s="1"/>
  <c r="AJ8" i="9"/>
  <c r="BB96" i="4"/>
  <c r="AX109" i="4" s="1"/>
  <c r="AX110" i="4" s="1"/>
  <c r="AD131" i="4" s="1"/>
  <c r="BA97" i="4"/>
  <c r="AK8" i="9" l="1"/>
  <c r="BC96" i="4"/>
  <c r="AY109" i="4" s="1"/>
  <c r="AY110" i="4" s="1"/>
  <c r="AE131" i="4" s="1"/>
  <c r="BB97" i="4"/>
  <c r="AL8" i="9" l="1"/>
  <c r="BC97" i="4"/>
  <c r="BD96" i="4"/>
  <c r="AZ109" i="4" l="1"/>
  <c r="AZ110" i="4" s="1"/>
  <c r="AF131" i="4" s="1"/>
  <c r="AM8" i="9"/>
  <c r="BD97" i="4"/>
  <c r="BE96" i="4"/>
  <c r="BA109" i="4" s="1"/>
  <c r="BA110" i="4" s="1"/>
  <c r="AG131" i="4" s="1"/>
  <c r="AN8" i="9" l="1"/>
  <c r="BE97" i="4"/>
  <c r="BF96" i="4"/>
  <c r="BB109" i="4" s="1"/>
  <c r="BB110" i="4" s="1"/>
  <c r="AH131" i="4" s="1"/>
  <c r="AO8" i="9" l="1"/>
  <c r="BF97" i="4"/>
  <c r="BG96" i="4"/>
  <c r="BC109" i="4" s="1"/>
  <c r="BC110" i="4" s="1"/>
  <c r="AI131" i="4" s="1"/>
  <c r="AP8" i="9" l="1"/>
  <c r="BH96" i="4"/>
  <c r="BH97" i="4" s="1"/>
  <c r="BG97" i="4"/>
  <c r="BD109" i="4" l="1"/>
  <c r="BD110" i="4" s="1"/>
  <c r="AJ131" i="4" s="1"/>
  <c r="AQ8" i="9"/>
  <c r="AR8" i="9" l="1"/>
  <c r="AS8" i="9" l="1"/>
  <c r="AT8" i="9" l="1"/>
  <c r="AU8" i="9" l="1"/>
  <c r="AV8" i="9" l="1"/>
  <c r="AW8" i="9" l="1"/>
  <c r="AX8" i="9" l="1"/>
  <c r="AY8" i="9" l="1"/>
  <c r="AZ8" i="9" l="1"/>
  <c r="BA8" i="9" l="1"/>
  <c r="BB8" i="9" l="1"/>
  <c r="BC8" i="9" l="1"/>
  <c r="BE8" i="9" l="1"/>
  <c r="BD8" i="9"/>
</calcChain>
</file>

<file path=xl/comments1.xml><?xml version="1.0" encoding="utf-8"?>
<comments xmlns="http://schemas.openxmlformats.org/spreadsheetml/2006/main">
  <authors>
    <author>Will Martin</author>
  </authors>
  <commentList>
    <comment ref="H84" authorId="0" shapeId="0">
      <text>
        <r>
          <rPr>
            <b/>
            <sz val="9"/>
            <color indexed="81"/>
            <rFont val="Tahoma"/>
            <family val="2"/>
          </rPr>
          <t>Will Martin:</t>
        </r>
        <r>
          <rPr>
            <sz val="9"/>
            <color indexed="81"/>
            <rFont val="Tahoma"/>
            <family val="2"/>
          </rPr>
          <t xml:space="preserve">
Ignoring the tax credit in the cars.com estimate</t>
        </r>
      </text>
    </comment>
  </commentList>
</comments>
</file>

<file path=xl/sharedStrings.xml><?xml version="1.0" encoding="utf-8"?>
<sst xmlns="http://schemas.openxmlformats.org/spreadsheetml/2006/main" count="326" uniqueCount="98">
  <si>
    <t>Key:</t>
  </si>
  <si>
    <t>Assumptions:</t>
  </si>
  <si>
    <t>Category</t>
  </si>
  <si>
    <t>Unit</t>
  </si>
  <si>
    <t>Prepared by Will Martin</t>
  </si>
  <si>
    <t>Green: Inputs</t>
  </si>
  <si>
    <t>Blue: Outputs</t>
  </si>
  <si>
    <t>Historic Residential Solar PV Levelized Cost of Energy (LCOE) ($/kWh)</t>
  </si>
  <si>
    <t>Source</t>
  </si>
  <si>
    <t>Source URL</t>
  </si>
  <si>
    <t>LBNL</t>
  </si>
  <si>
    <t>AEO 2009</t>
  </si>
  <si>
    <t>AEO 2011</t>
  </si>
  <si>
    <t>Black and Veatch 2012</t>
  </si>
  <si>
    <t>http://en.openei.org/apps/TCDB/</t>
  </si>
  <si>
    <t>Forecast Residential Solar PV Levelized Cost of Energy (LCOE) ($/kWh)</t>
  </si>
  <si>
    <t>Historic Average US Gasoline Price</t>
  </si>
  <si>
    <t>$/kWh</t>
  </si>
  <si>
    <t>$/Gallon</t>
  </si>
  <si>
    <t>http://www.eia.gov/dnav/pet/hist/LeafHandler.ashx?n=pet&amp;s=emm_epm0_pte_nus_dpg&amp;f=a</t>
  </si>
  <si>
    <t>Forecast Gasoline Price Based on 5-Year CAGR</t>
  </si>
  <si>
    <t>Solar LCOE Price for Calculation</t>
  </si>
  <si>
    <t>Gasoline Price</t>
  </si>
  <si>
    <t>Home Solar eGallon Price</t>
  </si>
  <si>
    <t>Home residential solar price will be the average of multiple forecasts</t>
  </si>
  <si>
    <t>Gasoline prices will continue to rise at the historic 5-year CAGR</t>
  </si>
  <si>
    <t>http://energy.gov/sites/prod/files/2013/06/f1/eGallon-methodology-final.pdf</t>
  </si>
  <si>
    <t>Energy Department Calc</t>
  </si>
  <si>
    <t>Gray: Info</t>
  </si>
  <si>
    <t>Substitution Curve</t>
  </si>
  <si>
    <t>Renewable Energy Price</t>
  </si>
  <si>
    <t>Fossil Fuel Energy Price</t>
  </si>
  <si>
    <t>Market Energy Price</t>
  </si>
  <si>
    <t xml:space="preserve">Cars.com Nissan Versa Note Estimates </t>
  </si>
  <si>
    <t>Year 1</t>
  </si>
  <si>
    <t>Year 2</t>
  </si>
  <si>
    <t>Year 3</t>
  </si>
  <si>
    <t>Year 4</t>
  </si>
  <si>
    <t>Year 5</t>
  </si>
  <si>
    <t>Depreciation</t>
  </si>
  <si>
    <t>Fees &amp; Taxes</t>
  </si>
  <si>
    <t>Financing</t>
  </si>
  <si>
    <t>Insurance</t>
  </si>
  <si>
    <t>Fuel</t>
  </si>
  <si>
    <t>Maintenance</t>
  </si>
  <si>
    <t>Opportunity Cost</t>
  </si>
  <si>
    <t>Repairs</t>
  </si>
  <si>
    <t>Cars.com</t>
  </si>
  <si>
    <t>http://www.cars.com/nissan/versa-note/2014/costofownership</t>
  </si>
  <si>
    <t>$/Year</t>
  </si>
  <si>
    <t xml:space="preserve">Edmunds.com Nissan Versa Note Estimates </t>
  </si>
  <si>
    <t>Taxes &amp; Fees</t>
  </si>
  <si>
    <t>Tax Credit</t>
  </si>
  <si>
    <t xml:space="preserve">Edmunds.com Nissan Leaf Estimates </t>
  </si>
  <si>
    <t xml:space="preserve">Cars.com Nissan Leaf Estimates </t>
  </si>
  <si>
    <t>http://www.edmunds.com/nissan/versa-note/2014/tco.html?style=200477237&amp;zip=94618</t>
  </si>
  <si>
    <t>http://www.cars.com/nissan/leaf/2014/costofownership</t>
  </si>
  <si>
    <t>Edmonds.com</t>
  </si>
  <si>
    <t>http://www.edmunds.com/nissan/leaf/2014/tco.html?style=200674102</t>
  </si>
  <si>
    <t>Energy Efficiency</t>
  </si>
  <si>
    <t>Nissan Versa Note Real World MPG</t>
  </si>
  <si>
    <t>Nissan Leaf Real World Miles Per kWh</t>
  </si>
  <si>
    <t>Fuelly.com</t>
  </si>
  <si>
    <t>http://www.fuelly.com/car/nissan/versa_note/2014</t>
  </si>
  <si>
    <t>MPG</t>
  </si>
  <si>
    <t>M/kWh</t>
  </si>
  <si>
    <t>Insideevs.com</t>
  </si>
  <si>
    <t>http://insideevs.com/long-term-nissan-leaf-mileageusage-review-once-around-the-sun/</t>
  </si>
  <si>
    <t>Nissan Versa Note</t>
  </si>
  <si>
    <t>Model Assumptions</t>
  </si>
  <si>
    <t>Miles Driven Per Year</t>
  </si>
  <si>
    <t>Discount Factor</t>
  </si>
  <si>
    <t>%</t>
  </si>
  <si>
    <t>Depreciation, Fees, Taxes, Maintenance and Repair costs will remain the same</t>
  </si>
  <si>
    <t>$2010/kWh</t>
  </si>
  <si>
    <t>http://www.eia.gov/todayinenergy/detail.cfm?id=6930</t>
  </si>
  <si>
    <t>Nissan Leaf Battery Size (kWh)</t>
  </si>
  <si>
    <t>The electric car's battery size will remain the same in the future</t>
  </si>
  <si>
    <t>Nissan Versa Purchase Price in 2014</t>
  </si>
  <si>
    <t>Nissan Leaf Purchase Price in 2014</t>
  </si>
  <si>
    <t>Nissan Leaf Purchase Price</t>
  </si>
  <si>
    <t>Cost of Electric Vehicle Batteries (Reference Case)</t>
  </si>
  <si>
    <t>Total Cost of Ownership Nissan Leaf (powered by rooftop solar) vs Nissan Versa Note</t>
  </si>
  <si>
    <t>Depreciation, Fees, Taxes, Maintenance and Repair costs are the average of the estimates from edmunds.com and cars.com</t>
  </si>
  <si>
    <t>Nissan Versa Note Discounted  5-Year Cost</t>
  </si>
  <si>
    <t xml:space="preserve">Nissan Versa Note Averages </t>
  </si>
  <si>
    <t xml:space="preserve">Nissan Leaf Averages </t>
  </si>
  <si>
    <t>Year:</t>
  </si>
  <si>
    <t>Total Discounted 5-Year Cost of Ownership</t>
  </si>
  <si>
    <t>Depreciation, Financing &amp; Opportunity Cost</t>
  </si>
  <si>
    <t>Nissan Leaf w/o Tax Credit Discounted  5-Year Cost</t>
  </si>
  <si>
    <t>Battery Costs will continue to fall at the historic 5-year CAGR</t>
  </si>
  <si>
    <t>Nissan Leaf w/ Tax Credit Discounted  5-Year Cost</t>
  </si>
  <si>
    <t>Nissan Leaf w/o Tax Credit</t>
  </si>
  <si>
    <t>Nissan Leaf w/ Tax Credit</t>
  </si>
  <si>
    <t>Nissan Leaf Battery Cost</t>
  </si>
  <si>
    <t>$Real/Year</t>
  </si>
  <si>
    <t>$Real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</si>
</sst>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??0.0%"/>
    <numFmt numFmtId="165" formatCode="_(&quot;$&quot;* #,##0_);_(&quot;$&quot;* \(#,##0\);_(&quot;$&quot;* &quot;-&quot;??_);_(@_)"/>
    <numFmt numFmtId="166" formatCode="_(* #,##0.0_);_(* \(#,##0.0\);_(* &quot;-&quot;??_);_(@_)"/>
    <numFmt numFmtId="167" formatCode="_(* #,##0_);_(* \(#,##0\);_(* &quot;-&quot;??_);_(@_)"/>
  </numFmts>
  <fonts count="1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Cambria"/>
      <family val="1"/>
      <scheme val="major"/>
    </font>
    <font>
      <b/>
      <sz val="12"/>
      <color rgb="FFFF0000"/>
      <name val="Cambria"/>
      <family val="1"/>
      <scheme val="major"/>
    </font>
    <font>
      <sz val="10"/>
      <name val="Arial"/>
      <family val="2"/>
    </font>
    <font>
      <b/>
      <sz val="16"/>
      <color theme="0"/>
      <name val="Cambria"/>
      <family val="1"/>
      <scheme val="major"/>
    </font>
    <font>
      <b/>
      <sz val="12"/>
      <color theme="0"/>
      <name val="Cambria"/>
      <family val="1"/>
      <scheme val="major"/>
    </font>
    <font>
      <b/>
      <sz val="12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</fonts>
  <fills count="7">
    <fill>
      <patternFill patternType="none"/>
    </fill>
    <fill>
      <patternFill patternType="gray125"/>
    </fill>
    <fill>
      <patternFill patternType="solid">
        <fgColor rgb="FFEAEAEA"/>
        <bgColor indexed="64"/>
      </patternFill>
    </fill>
    <fill>
      <patternFill patternType="solid">
        <fgColor rgb="FF0050AA"/>
        <bgColor indexed="64"/>
      </patternFill>
    </fill>
    <fill>
      <patternFill patternType="solid">
        <fgColor rgb="FFB8E2F9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B8CCE4"/>
        <bgColor indexed="64"/>
      </patternFill>
    </fill>
  </fills>
  <borders count="21">
    <border>
      <left/>
      <right/>
      <top/>
      <bottom/>
      <diagonal/>
    </border>
    <border>
      <left/>
      <right/>
      <top/>
      <bottom style="thick">
        <color theme="0"/>
      </bottom>
      <diagonal/>
    </border>
    <border>
      <left style="thick">
        <color theme="0"/>
      </left>
      <right/>
      <top style="thick">
        <color theme="0"/>
      </top>
      <bottom/>
      <diagonal/>
    </border>
    <border>
      <left/>
      <right/>
      <top style="thick">
        <color theme="0"/>
      </top>
      <bottom/>
      <diagonal/>
    </border>
    <border>
      <left/>
      <right style="thick">
        <color theme="1" tint="0.34998626667073579"/>
      </right>
      <top style="thick">
        <color theme="0"/>
      </top>
      <bottom style="thin">
        <color theme="0"/>
      </bottom>
      <diagonal/>
    </border>
    <border>
      <left style="thick">
        <color theme="0"/>
      </left>
      <right/>
      <top style="thin">
        <color theme="0"/>
      </top>
      <bottom style="thin">
        <color theme="0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/>
      <right style="thick">
        <color theme="1" tint="0.34998626667073579"/>
      </right>
      <top style="thin">
        <color theme="0"/>
      </top>
      <bottom style="thin">
        <color theme="0"/>
      </bottom>
      <diagonal/>
    </border>
    <border>
      <left style="thick">
        <color theme="0"/>
      </left>
      <right/>
      <top style="thin">
        <color theme="0"/>
      </top>
      <bottom/>
      <diagonal/>
    </border>
    <border>
      <left/>
      <right/>
      <top style="thin">
        <color theme="0"/>
      </top>
      <bottom/>
      <diagonal/>
    </border>
    <border>
      <left/>
      <right style="thick">
        <color theme="1" tint="0.34998626667073579"/>
      </right>
      <top style="thin">
        <color theme="0"/>
      </top>
      <bottom/>
      <diagonal/>
    </border>
    <border>
      <left style="thick">
        <color theme="0"/>
      </left>
      <right/>
      <top/>
      <bottom/>
      <diagonal/>
    </border>
    <border>
      <left/>
      <right style="thick">
        <color theme="1" tint="0.34998626667073579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theme="1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theme="0"/>
      </left>
      <right/>
      <top/>
      <bottom style="thick">
        <color theme="1" tint="0.34998626667073579"/>
      </bottom>
      <diagonal/>
    </border>
    <border>
      <left/>
      <right/>
      <top/>
      <bottom style="thick">
        <color theme="1" tint="0.34998626667073579"/>
      </bottom>
      <diagonal/>
    </border>
    <border>
      <left/>
      <right style="thick">
        <color theme="1" tint="0.34998626667073579"/>
      </right>
      <top/>
      <bottom style="thick">
        <color theme="1" tint="0.34998626667073579"/>
      </bottom>
      <diagonal/>
    </border>
    <border>
      <left style="thin">
        <color indexed="64"/>
      </left>
      <right style="thin">
        <color indexed="64"/>
      </right>
      <top style="double">
        <color theme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2">
    <xf numFmtId="0" fontId="0" fillId="0" borderId="0"/>
    <xf numFmtId="44" fontId="1" fillId="0" borderId="0" applyFont="0" applyFill="0" applyBorder="0" applyAlignment="0" applyProtection="0"/>
    <xf numFmtId="0" fontId="2" fillId="0" borderId="0"/>
    <xf numFmtId="0" fontId="5" fillId="0" borderId="0"/>
    <xf numFmtId="0" fontId="1" fillId="0" borderId="0"/>
    <xf numFmtId="4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0" fontId="9" fillId="0" borderId="0" applyNumberFormat="0" applyFill="0" applyBorder="0" applyAlignment="0" applyProtection="0"/>
    <xf numFmtId="0" fontId="5" fillId="0" borderId="0"/>
    <xf numFmtId="0" fontId="5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51">
    <xf numFmtId="0" fontId="0" fillId="0" borderId="0" xfId="0"/>
    <xf numFmtId="0" fontId="3" fillId="2" borderId="0" xfId="2" applyFont="1" applyFill="1"/>
    <xf numFmtId="0" fontId="4" fillId="2" borderId="0" xfId="2" applyFont="1" applyFill="1"/>
    <xf numFmtId="0" fontId="3" fillId="2" borderId="1" xfId="2" applyFont="1" applyFill="1" applyBorder="1"/>
    <xf numFmtId="0" fontId="5" fillId="0" borderId="0" xfId="3"/>
    <xf numFmtId="0" fontId="3" fillId="2" borderId="2" xfId="2" applyFont="1" applyFill="1" applyBorder="1"/>
    <xf numFmtId="0" fontId="3" fillId="2" borderId="3" xfId="2" applyFont="1" applyFill="1" applyBorder="1"/>
    <xf numFmtId="0" fontId="3" fillId="2" borderId="4" xfId="2" applyFont="1" applyFill="1" applyBorder="1"/>
    <xf numFmtId="0" fontId="6" fillId="3" borderId="5" xfId="2" applyFont="1" applyFill="1" applyBorder="1" applyAlignment="1"/>
    <xf numFmtId="0" fontId="6" fillId="3" borderId="6" xfId="2" applyFont="1" applyFill="1" applyBorder="1" applyAlignment="1"/>
    <xf numFmtId="0" fontId="6" fillId="3" borderId="7" xfId="2" applyFont="1" applyFill="1" applyBorder="1" applyAlignment="1"/>
    <xf numFmtId="0" fontId="7" fillId="3" borderId="8" xfId="2" applyFont="1" applyFill="1" applyBorder="1" applyAlignment="1"/>
    <xf numFmtId="0" fontId="7" fillId="3" borderId="9" xfId="2" applyFont="1" applyFill="1" applyBorder="1" applyAlignment="1"/>
    <xf numFmtId="0" fontId="7" fillId="3" borderId="10" xfId="2" applyFont="1" applyFill="1" applyBorder="1" applyAlignment="1"/>
    <xf numFmtId="0" fontId="3" fillId="2" borderId="11" xfId="2" applyFont="1" applyFill="1" applyBorder="1"/>
    <xf numFmtId="0" fontId="3" fillId="2" borderId="0" xfId="2" applyFont="1" applyFill="1" applyBorder="1"/>
    <xf numFmtId="0" fontId="3" fillId="2" borderId="12" xfId="2" applyFont="1" applyFill="1" applyBorder="1"/>
    <xf numFmtId="0" fontId="8" fillId="4" borderId="13" xfId="4" applyFont="1" applyFill="1" applyBorder="1" applyAlignment="1">
      <alignment horizontal="center" vertical="center" wrapText="1" readingOrder="1"/>
    </xf>
    <xf numFmtId="10" fontId="2" fillId="5" borderId="14" xfId="2" applyNumberFormat="1" applyFill="1" applyBorder="1" applyAlignment="1">
      <alignment horizontal="left"/>
    </xf>
    <xf numFmtId="164" fontId="2" fillId="6" borderId="15" xfId="2" applyNumberFormat="1" applyFill="1" applyBorder="1" applyAlignment="1">
      <alignment horizontal="left" vertical="top"/>
    </xf>
    <xf numFmtId="0" fontId="3" fillId="2" borderId="16" xfId="2" applyFont="1" applyFill="1" applyBorder="1"/>
    <xf numFmtId="0" fontId="3" fillId="2" borderId="17" xfId="2" applyFont="1" applyFill="1" applyBorder="1"/>
    <xf numFmtId="0" fontId="3" fillId="2" borderId="18" xfId="2" applyFont="1" applyFill="1" applyBorder="1"/>
    <xf numFmtId="14" fontId="2" fillId="2" borderId="19" xfId="2" applyNumberFormat="1" applyFont="1" applyFill="1" applyBorder="1" applyAlignment="1">
      <alignment vertical="center" readingOrder="1"/>
    </xf>
    <xf numFmtId="14" fontId="2" fillId="2" borderId="15" xfId="2" applyNumberFormat="1" applyFont="1" applyFill="1" applyBorder="1" applyAlignment="1">
      <alignment vertical="center" readingOrder="1"/>
    </xf>
    <xf numFmtId="165" fontId="2" fillId="5" borderId="14" xfId="1" applyNumberFormat="1" applyFont="1" applyFill="1" applyBorder="1" applyAlignment="1">
      <alignment vertical="center"/>
    </xf>
    <xf numFmtId="1" fontId="8" fillId="4" borderId="13" xfId="4" applyNumberFormat="1" applyFont="1" applyFill="1" applyBorder="1" applyAlignment="1">
      <alignment horizontal="center" vertical="center" wrapText="1" readingOrder="1"/>
    </xf>
    <xf numFmtId="44" fontId="2" fillId="5" borderId="14" xfId="1" applyNumberFormat="1" applyFont="1" applyFill="1" applyBorder="1" applyAlignment="1">
      <alignment vertical="center"/>
    </xf>
    <xf numFmtId="14" fontId="2" fillId="2" borderId="15" xfId="2" applyNumberFormat="1" applyFont="1" applyFill="1" applyBorder="1" applyAlignment="1">
      <alignment horizontal="center" vertical="center" readingOrder="1"/>
    </xf>
    <xf numFmtId="44" fontId="2" fillId="6" borderId="15" xfId="1" applyFont="1" applyFill="1" applyBorder="1" applyAlignment="1">
      <alignment horizontal="left" vertical="top"/>
    </xf>
    <xf numFmtId="0" fontId="8" fillId="4" borderId="20" xfId="4" applyFont="1" applyFill="1" applyBorder="1" applyAlignment="1">
      <alignment horizontal="center" vertical="center" wrapText="1" readingOrder="1"/>
    </xf>
    <xf numFmtId="165" fontId="2" fillId="6" borderId="15" xfId="1" applyNumberFormat="1" applyFont="1" applyFill="1" applyBorder="1" applyAlignment="1">
      <alignment horizontal="left" vertical="top"/>
    </xf>
    <xf numFmtId="167" fontId="2" fillId="5" borderId="15" xfId="10" applyNumberFormat="1" applyFont="1" applyFill="1" applyBorder="1" applyAlignment="1">
      <alignment vertical="center"/>
    </xf>
    <xf numFmtId="166" fontId="2" fillId="5" borderId="15" xfId="10" applyNumberFormat="1" applyFont="1" applyFill="1" applyBorder="1" applyAlignment="1">
      <alignment vertical="center"/>
    </xf>
    <xf numFmtId="165" fontId="10" fillId="6" borderId="15" xfId="1" applyNumberFormat="1" applyFont="1" applyFill="1" applyBorder="1" applyAlignment="1">
      <alignment horizontal="left" vertical="top"/>
    </xf>
    <xf numFmtId="9" fontId="2" fillId="6" borderId="15" xfId="11" applyFont="1" applyFill="1" applyBorder="1" applyAlignment="1">
      <alignment horizontal="center" vertical="top"/>
    </xf>
    <xf numFmtId="14" fontId="2" fillId="2" borderId="0" xfId="2" applyNumberFormat="1" applyFont="1" applyFill="1" applyBorder="1" applyAlignment="1">
      <alignment vertical="center" readingOrder="1"/>
    </xf>
    <xf numFmtId="9" fontId="2" fillId="5" borderId="15" xfId="11" applyFont="1" applyFill="1" applyBorder="1" applyAlignment="1">
      <alignment vertical="center"/>
    </xf>
    <xf numFmtId="165" fontId="2" fillId="5" borderId="15" xfId="1" applyNumberFormat="1" applyFont="1" applyFill="1" applyBorder="1" applyAlignment="1">
      <alignment vertical="center"/>
    </xf>
    <xf numFmtId="0" fontId="4" fillId="2" borderId="0" xfId="2" applyFont="1" applyFill="1" applyAlignment="1">
      <alignment horizontal="center"/>
    </xf>
    <xf numFmtId="0" fontId="3" fillId="2" borderId="3" xfId="2" applyFont="1" applyFill="1" applyBorder="1" applyAlignment="1">
      <alignment horizontal="center"/>
    </xf>
    <xf numFmtId="0" fontId="6" fillId="3" borderId="6" xfId="2" applyFont="1" applyFill="1" applyBorder="1" applyAlignment="1">
      <alignment horizontal="center"/>
    </xf>
    <xf numFmtId="0" fontId="7" fillId="3" borderId="9" xfId="2" applyFont="1" applyFill="1" applyBorder="1" applyAlignment="1">
      <alignment horizontal="center"/>
    </xf>
    <xf numFmtId="0" fontId="3" fillId="2" borderId="0" xfId="2" applyFont="1" applyFill="1" applyBorder="1" applyAlignment="1">
      <alignment horizontal="center"/>
    </xf>
    <xf numFmtId="14" fontId="2" fillId="2" borderId="0" xfId="2" applyNumberFormat="1" applyFont="1" applyFill="1" applyBorder="1" applyAlignment="1">
      <alignment horizontal="center" vertical="center" readingOrder="1"/>
    </xf>
    <xf numFmtId="0" fontId="5" fillId="0" borderId="0" xfId="3" applyAlignment="1">
      <alignment horizontal="center"/>
    </xf>
    <xf numFmtId="0" fontId="3" fillId="2" borderId="17" xfId="2" applyFont="1" applyFill="1" applyBorder="1" applyAlignment="1">
      <alignment horizontal="center"/>
    </xf>
    <xf numFmtId="0" fontId="3" fillId="2" borderId="0" xfId="2" applyFont="1" applyFill="1" applyAlignment="1">
      <alignment horizontal="center"/>
    </xf>
    <xf numFmtId="14" fontId="10" fillId="2" borderId="15" xfId="2" applyNumberFormat="1" applyFont="1" applyFill="1" applyBorder="1" applyAlignment="1">
      <alignment vertical="center" readingOrder="1"/>
    </xf>
    <xf numFmtId="14" fontId="10" fillId="2" borderId="15" xfId="2" applyNumberFormat="1" applyFont="1" applyFill="1" applyBorder="1" applyAlignment="1">
      <alignment horizontal="center" vertical="center" readingOrder="1"/>
    </xf>
    <xf numFmtId="0" fontId="8" fillId="4" borderId="15" xfId="4" applyFont="1" applyFill="1" applyBorder="1" applyAlignment="1">
      <alignment horizontal="center" vertical="center" wrapText="1" readingOrder="1"/>
    </xf>
  </cellXfs>
  <cellStyles count="12">
    <cellStyle name="Comma" xfId="10" builtinId="3"/>
    <cellStyle name="Comma 3" xfId="6"/>
    <cellStyle name="Currency" xfId="1" builtinId="4"/>
    <cellStyle name="Currency 2" xfId="5"/>
    <cellStyle name="Hyperlink 2" xfId="7"/>
    <cellStyle name="Normal" xfId="0" builtinId="0"/>
    <cellStyle name="Normal 2" xfId="3"/>
    <cellStyle name="Normal 2 2" xfId="2"/>
    <cellStyle name="Normal 2 2 2" xfId="8"/>
    <cellStyle name="Normal 3" xfId="4"/>
    <cellStyle name="Normal 3 2" xfId="9"/>
    <cellStyle name="Percent" xfId="11" builtinId="5"/>
  </cellStyles>
  <dxfs count="0"/>
  <tableStyles count="0" defaultTableStyle="TableStyleMedium2" defaultPivotStyle="PivotStyleLight16"/>
  <colors>
    <mruColors>
      <color rgb="FFEAEAE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hartsheet" Target="chartsheets/sheet6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2.xml"/><Relationship Id="rId7" Type="http://schemas.openxmlformats.org/officeDocument/2006/relationships/chartsheet" Target="chartsheets/sheet5.xml"/><Relationship Id="rId12" Type="http://schemas.openxmlformats.org/officeDocument/2006/relationships/styles" Target="styles.xml"/><Relationship Id="rId2" Type="http://schemas.openxmlformats.org/officeDocument/2006/relationships/chartsheet" Target="chartsheets/sheet1.xml"/><Relationship Id="rId1" Type="http://schemas.openxmlformats.org/officeDocument/2006/relationships/worksheet" Target="worksheets/sheet1.xml"/><Relationship Id="rId6" Type="http://schemas.openxmlformats.org/officeDocument/2006/relationships/chartsheet" Target="chartsheets/sheet4.xml"/><Relationship Id="rId11" Type="http://schemas.openxmlformats.org/officeDocument/2006/relationships/theme" Target="theme/theme1.xml"/><Relationship Id="rId5" Type="http://schemas.openxmlformats.org/officeDocument/2006/relationships/chartsheet" Target="chartsheets/sheet3.xml"/><Relationship Id="rId10" Type="http://schemas.openxmlformats.org/officeDocument/2006/relationships/chartsheet" Target="chartsheets/sheet8.xml"/><Relationship Id="rId4" Type="http://schemas.openxmlformats.org/officeDocument/2006/relationships/chartsheet" Target="chartsheets/sheet2.xml"/><Relationship Id="rId9" Type="http://schemas.openxmlformats.org/officeDocument/2006/relationships/chartsheet" Target="chartsheets/sheet7.xml"/><Relationship Id="rId14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2.xml"/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92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Tahoma" panose="020B0604030504040204" pitchFamily="34" charset="0"/>
                <a:ea typeface="Tahoma" panose="020B0604030504040204" pitchFamily="34" charset="0"/>
                <a:cs typeface="Tahoma" panose="020B0604030504040204" pitchFamily="34" charset="0"/>
              </a:defRPr>
            </a:pPr>
            <a:r>
              <a:rPr lang="en-US"/>
              <a:t>Substitution Curve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92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1"/>
          <c:order val="0"/>
          <c:tx>
            <c:strRef>
              <c:f>Substitution!$D$7</c:f>
              <c:strCache>
                <c:ptCount val="1"/>
                <c:pt idx="0">
                  <c:v>Fossil Fuel Energy Price</c:v>
                </c:pt>
              </c:strCache>
            </c:strRef>
          </c:tx>
          <c:spPr>
            <a:ln w="571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Substitution!$E$7:$AU$7</c:f>
              <c:numCache>
                <c:formatCode>_("$"* #,##0.00_);_("$"* \(#,##0.00\);_("$"* "-"??_);_(@_)</c:formatCode>
                <c:ptCount val="43"/>
                <c:pt idx="0">
                  <c:v>0.1</c:v>
                </c:pt>
                <c:pt idx="1">
                  <c:v>0.10700000000000001</c:v>
                </c:pt>
                <c:pt idx="2">
                  <c:v>0.11449000000000002</c:v>
                </c:pt>
                <c:pt idx="3">
                  <c:v>0.12250430000000002</c:v>
                </c:pt>
                <c:pt idx="4">
                  <c:v>0.13107960100000005</c:v>
                </c:pt>
                <c:pt idx="5">
                  <c:v>0.14025517307000004</c:v>
                </c:pt>
                <c:pt idx="6">
                  <c:v>0.15007303518490006</c:v>
                </c:pt>
                <c:pt idx="7">
                  <c:v>0.16057814764784306</c:v>
                </c:pt>
                <c:pt idx="8">
                  <c:v>0.17181861798319209</c:v>
                </c:pt>
                <c:pt idx="9">
                  <c:v>0.18384592124201554</c:v>
                </c:pt>
                <c:pt idx="10">
                  <c:v>0.19671513572895663</c:v>
                </c:pt>
                <c:pt idx="11">
                  <c:v>0.2104851952299836</c:v>
                </c:pt>
                <c:pt idx="12">
                  <c:v>0.22521915889608246</c:v>
                </c:pt>
                <c:pt idx="13">
                  <c:v>0.24098450001880825</c:v>
                </c:pt>
                <c:pt idx="14">
                  <c:v>0.25785341502012482</c:v>
                </c:pt>
                <c:pt idx="15">
                  <c:v>0.2759031540715336</c:v>
                </c:pt>
                <c:pt idx="16">
                  <c:v>0.29521637485654095</c:v>
                </c:pt>
                <c:pt idx="17">
                  <c:v>0.31588152109649886</c:v>
                </c:pt>
                <c:pt idx="18">
                  <c:v>0.33799322757325378</c:v>
                </c:pt>
                <c:pt idx="19">
                  <c:v>0.36165275350338155</c:v>
                </c:pt>
                <c:pt idx="20">
                  <c:v>0.38696844624861826</c:v>
                </c:pt>
                <c:pt idx="21">
                  <c:v>0.41405623748602155</c:v>
                </c:pt>
                <c:pt idx="22">
                  <c:v>0.44304017411004309</c:v>
                </c:pt>
                <c:pt idx="23">
                  <c:v>0.47405298629774612</c:v>
                </c:pt>
                <c:pt idx="24">
                  <c:v>0.50723669533858839</c:v>
                </c:pt>
                <c:pt idx="25">
                  <c:v>0.54274326401228956</c:v>
                </c:pt>
                <c:pt idx="26">
                  <c:v>0.58073529249314981</c:v>
                </c:pt>
                <c:pt idx="27">
                  <c:v>0.62138676296767037</c:v>
                </c:pt>
                <c:pt idx="28">
                  <c:v>0.66488383637540738</c:v>
                </c:pt>
                <c:pt idx="29">
                  <c:v>0.71142570492168589</c:v>
                </c:pt>
                <c:pt idx="30">
                  <c:v>0.76122550426620395</c:v>
                </c:pt>
                <c:pt idx="31">
                  <c:v>0.81451128956483831</c:v>
                </c:pt>
                <c:pt idx="32">
                  <c:v>0.87152707983437705</c:v>
                </c:pt>
                <c:pt idx="33">
                  <c:v>0.93253397542278349</c:v>
                </c:pt>
                <c:pt idx="34">
                  <c:v>0.99781135370237839</c:v>
                </c:pt>
                <c:pt idx="35">
                  <c:v>1.0676581484615448</c:v>
                </c:pt>
                <c:pt idx="36">
                  <c:v>1.1423942188538529</c:v>
                </c:pt>
                <c:pt idx="37">
                  <c:v>1.2223618141736228</c:v>
                </c:pt>
                <c:pt idx="38">
                  <c:v>1.3079271411657765</c:v>
                </c:pt>
                <c:pt idx="39">
                  <c:v>1.3994820410473809</c:v>
                </c:pt>
                <c:pt idx="40">
                  <c:v>1.4974457839206976</c:v>
                </c:pt>
                <c:pt idx="41">
                  <c:v>1.6022669887951466</c:v>
                </c:pt>
                <c:pt idx="42">
                  <c:v>1.7144256780108069</c:v>
                </c:pt>
              </c:numCache>
            </c:numRef>
          </c:val>
          <c:smooth val="0"/>
        </c:ser>
        <c:ser>
          <c:idx val="0"/>
          <c:order val="1"/>
          <c:tx>
            <c:strRef>
              <c:f>Substitution!$D$6</c:f>
              <c:strCache>
                <c:ptCount val="1"/>
                <c:pt idx="0">
                  <c:v>Renewable Energy Price</c:v>
                </c:pt>
              </c:strCache>
            </c:strRef>
          </c:tx>
          <c:spPr>
            <a:ln w="571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Substitution!$E$6:$AU$6</c:f>
              <c:numCache>
                <c:formatCode>_("$"* #,##0.00_);_("$"* \(#,##0.00\);_("$"* "-"??_);_(@_)</c:formatCode>
                <c:ptCount val="43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  <c:pt idx="13">
                  <c:v>1</c:v>
                </c:pt>
                <c:pt idx="14">
                  <c:v>1</c:v>
                </c:pt>
                <c:pt idx="15">
                  <c:v>1</c:v>
                </c:pt>
                <c:pt idx="16">
                  <c:v>1</c:v>
                </c:pt>
                <c:pt idx="17">
                  <c:v>1</c:v>
                </c:pt>
                <c:pt idx="18">
                  <c:v>1</c:v>
                </c:pt>
                <c:pt idx="19">
                  <c:v>1</c:v>
                </c:pt>
                <c:pt idx="20">
                  <c:v>1</c:v>
                </c:pt>
                <c:pt idx="21">
                  <c:v>1</c:v>
                </c:pt>
                <c:pt idx="22">
                  <c:v>1</c:v>
                </c:pt>
                <c:pt idx="23">
                  <c:v>1</c:v>
                </c:pt>
                <c:pt idx="24">
                  <c:v>1</c:v>
                </c:pt>
                <c:pt idx="25">
                  <c:v>1</c:v>
                </c:pt>
                <c:pt idx="26">
                  <c:v>1</c:v>
                </c:pt>
                <c:pt idx="27">
                  <c:v>1</c:v>
                </c:pt>
                <c:pt idx="28">
                  <c:v>1</c:v>
                </c:pt>
                <c:pt idx="29">
                  <c:v>1</c:v>
                </c:pt>
                <c:pt idx="30">
                  <c:v>1</c:v>
                </c:pt>
                <c:pt idx="31">
                  <c:v>1</c:v>
                </c:pt>
                <c:pt idx="32">
                  <c:v>1</c:v>
                </c:pt>
                <c:pt idx="33">
                  <c:v>1</c:v>
                </c:pt>
                <c:pt idx="34">
                  <c:v>1</c:v>
                </c:pt>
                <c:pt idx="35">
                  <c:v>1</c:v>
                </c:pt>
                <c:pt idx="36">
                  <c:v>1</c:v>
                </c:pt>
                <c:pt idx="37">
                  <c:v>1</c:v>
                </c:pt>
                <c:pt idx="38">
                  <c:v>1</c:v>
                </c:pt>
                <c:pt idx="39">
                  <c:v>1</c:v>
                </c:pt>
                <c:pt idx="40">
                  <c:v>1</c:v>
                </c:pt>
                <c:pt idx="41">
                  <c:v>1</c:v>
                </c:pt>
                <c:pt idx="42">
                  <c:v>1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Substitution!$D$8</c:f>
              <c:strCache>
                <c:ptCount val="1"/>
                <c:pt idx="0">
                  <c:v>Market Energy Price</c:v>
                </c:pt>
              </c:strCache>
            </c:strRef>
          </c:tx>
          <c:spPr>
            <a:ln w="57150" cap="rnd">
              <a:solidFill>
                <a:schemeClr val="accent3"/>
              </a:solidFill>
              <a:prstDash val="sysDot"/>
              <a:round/>
            </a:ln>
            <a:effectLst/>
          </c:spPr>
          <c:marker>
            <c:symbol val="none"/>
          </c:marker>
          <c:val>
            <c:numRef>
              <c:f>Substitution!$E$8:$AU$8</c:f>
              <c:numCache>
                <c:formatCode>_("$"* #,##0.00_);_("$"* \(#,##0.00\);_("$"* "-"??_);_(@_)</c:formatCode>
                <c:ptCount val="43"/>
                <c:pt idx="0">
                  <c:v>0.1</c:v>
                </c:pt>
                <c:pt idx="1">
                  <c:v>0.10700000000000001</c:v>
                </c:pt>
                <c:pt idx="2">
                  <c:v>0.11449000000000002</c:v>
                </c:pt>
                <c:pt idx="3">
                  <c:v>0.12250430000000002</c:v>
                </c:pt>
                <c:pt idx="4">
                  <c:v>0.13107960100000005</c:v>
                </c:pt>
                <c:pt idx="5">
                  <c:v>0.14025517307000004</c:v>
                </c:pt>
                <c:pt idx="6">
                  <c:v>0.15007303518490006</c:v>
                </c:pt>
                <c:pt idx="7">
                  <c:v>0.16057814764784306</c:v>
                </c:pt>
                <c:pt idx="8">
                  <c:v>0.17181861798319209</c:v>
                </c:pt>
                <c:pt idx="9">
                  <c:v>0.18384592124201554</c:v>
                </c:pt>
                <c:pt idx="10">
                  <c:v>0.19671513572895663</c:v>
                </c:pt>
                <c:pt idx="11">
                  <c:v>0.2104851952299836</c:v>
                </c:pt>
                <c:pt idx="12">
                  <c:v>0.22521915889608246</c:v>
                </c:pt>
                <c:pt idx="13">
                  <c:v>0.24098450001880825</c:v>
                </c:pt>
                <c:pt idx="14">
                  <c:v>0.25785341502012482</c:v>
                </c:pt>
                <c:pt idx="15">
                  <c:v>0.2759031540715336</c:v>
                </c:pt>
                <c:pt idx="16">
                  <c:v>0.29521637485654095</c:v>
                </c:pt>
                <c:pt idx="17">
                  <c:v>0.31588152109649886</c:v>
                </c:pt>
                <c:pt idx="18">
                  <c:v>0.33799322757325378</c:v>
                </c:pt>
                <c:pt idx="19">
                  <c:v>0.36165275350338155</c:v>
                </c:pt>
                <c:pt idx="20">
                  <c:v>0.38696844624861826</c:v>
                </c:pt>
                <c:pt idx="21">
                  <c:v>0.41405623748602155</c:v>
                </c:pt>
                <c:pt idx="22">
                  <c:v>0.44304017411004309</c:v>
                </c:pt>
                <c:pt idx="23">
                  <c:v>0.47405298629774612</c:v>
                </c:pt>
                <c:pt idx="24">
                  <c:v>0.50723669533858839</c:v>
                </c:pt>
                <c:pt idx="25">
                  <c:v>0.54274326401228956</c:v>
                </c:pt>
                <c:pt idx="26">
                  <c:v>0.58073529249314981</c:v>
                </c:pt>
                <c:pt idx="27">
                  <c:v>0.62138676296767037</c:v>
                </c:pt>
                <c:pt idx="28">
                  <c:v>0.66488383637540738</c:v>
                </c:pt>
                <c:pt idx="29">
                  <c:v>0.71142570492168589</c:v>
                </c:pt>
                <c:pt idx="30">
                  <c:v>0.76122550426620395</c:v>
                </c:pt>
                <c:pt idx="31">
                  <c:v>0.81451128956483831</c:v>
                </c:pt>
                <c:pt idx="32">
                  <c:v>0.87152707983437705</c:v>
                </c:pt>
                <c:pt idx="33">
                  <c:v>0.93253397542278349</c:v>
                </c:pt>
                <c:pt idx="34">
                  <c:v>0.99781135370237839</c:v>
                </c:pt>
                <c:pt idx="35">
                  <c:v>1</c:v>
                </c:pt>
                <c:pt idx="36">
                  <c:v>1</c:v>
                </c:pt>
                <c:pt idx="37">
                  <c:v>1</c:v>
                </c:pt>
                <c:pt idx="38">
                  <c:v>1</c:v>
                </c:pt>
                <c:pt idx="39">
                  <c:v>1</c:v>
                </c:pt>
                <c:pt idx="40">
                  <c:v>1</c:v>
                </c:pt>
                <c:pt idx="41">
                  <c:v>1</c:v>
                </c:pt>
                <c:pt idx="42">
                  <c:v>1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59340536"/>
        <c:axId val="259341320"/>
      </c:lineChart>
      <c:catAx>
        <c:axId val="259340536"/>
        <c:scaling>
          <c:orientation val="minMax"/>
        </c:scaling>
        <c:delete val="1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6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Tahoma" panose="020B0604030504040204" pitchFamily="34" charset="0"/>
                    <a:ea typeface="Tahoma" panose="020B0604030504040204" pitchFamily="34" charset="0"/>
                    <a:cs typeface="Tahoma" panose="020B0604030504040204" pitchFamily="34" charset="0"/>
                  </a:defRPr>
                </a:pPr>
                <a:r>
                  <a:rPr lang="en-US"/>
                  <a:t>Time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6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Tahoma" panose="020B0604030504040204" pitchFamily="34" charset="0"/>
                  <a:ea typeface="Tahoma" panose="020B0604030504040204" pitchFamily="34" charset="0"/>
                  <a:cs typeface="Tahoma" panose="020B0604030504040204" pitchFamily="34" charset="0"/>
                </a:defRPr>
              </a:pPr>
              <a:endParaRPr lang="en-US"/>
            </a:p>
          </c:txPr>
        </c:title>
        <c:majorTickMark val="none"/>
        <c:minorTickMark val="none"/>
        <c:tickLblPos val="nextTo"/>
        <c:crossAx val="259341320"/>
        <c:crosses val="autoZero"/>
        <c:auto val="1"/>
        <c:lblAlgn val="ctr"/>
        <c:lblOffset val="100"/>
        <c:noMultiLvlLbl val="0"/>
      </c:catAx>
      <c:valAx>
        <c:axId val="259341320"/>
        <c:scaling>
          <c:orientation val="minMax"/>
        </c:scaling>
        <c:delete val="1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6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Tahoma" panose="020B0604030504040204" pitchFamily="34" charset="0"/>
                    <a:ea typeface="Tahoma" panose="020B0604030504040204" pitchFamily="34" charset="0"/>
                    <a:cs typeface="Tahoma" panose="020B0604030504040204" pitchFamily="34" charset="0"/>
                  </a:defRPr>
                </a:pPr>
                <a:r>
                  <a:rPr lang="en-US"/>
                  <a:t>Price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6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Tahoma" panose="020B0604030504040204" pitchFamily="34" charset="0"/>
                  <a:ea typeface="Tahoma" panose="020B0604030504040204" pitchFamily="34" charset="0"/>
                  <a:cs typeface="Tahoma" panose="020B0604030504040204" pitchFamily="34" charset="0"/>
                </a:defRPr>
              </a:pPr>
              <a:endParaRPr lang="en-US"/>
            </a:p>
          </c:txPr>
        </c:title>
        <c:numFmt formatCode="_(&quot;$&quot;* #,##0.00_);_(&quot;$&quot;* \(#,##0.00\);_(&quot;$&quot;* &quot;-&quot;??_);_(@_)" sourceLinked="1"/>
        <c:majorTickMark val="none"/>
        <c:minorTickMark val="none"/>
        <c:tickLblPos val="nextTo"/>
        <c:crossAx val="25934053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600">
          <a:latin typeface="Tahoma" panose="020B0604030504040204" pitchFamily="34" charset="0"/>
          <a:ea typeface="Tahoma" panose="020B0604030504040204" pitchFamily="34" charset="0"/>
          <a:cs typeface="Tahoma" panose="020B0604030504040204" pitchFamily="34" charset="0"/>
        </a:defRPr>
      </a:pPr>
      <a:endParaRPr lang="en-US"/>
    </a:p>
  </c:txPr>
  <c:userShapes r:id="rId3"/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WillMartinModel!$D$131</c:f>
              <c:strCache>
                <c:ptCount val="1"/>
                <c:pt idx="0">
                  <c:v>Nissan Versa Note</c:v>
                </c:pt>
              </c:strCache>
            </c:strRef>
          </c:tx>
          <c:spPr>
            <a:ln w="57150"/>
          </c:spPr>
          <c:marker>
            <c:symbol val="none"/>
          </c:marker>
          <c:cat>
            <c:numRef>
              <c:f>WillMartinModel!$E$130:$AJ$130</c:f>
              <c:numCache>
                <c:formatCode>0</c:formatCode>
                <c:ptCount val="32"/>
                <c:pt idx="0">
                  <c:v>2015</c:v>
                </c:pt>
                <c:pt idx="1">
                  <c:v>2016</c:v>
                </c:pt>
                <c:pt idx="2">
                  <c:v>2017</c:v>
                </c:pt>
                <c:pt idx="3">
                  <c:v>2018</c:v>
                </c:pt>
                <c:pt idx="4">
                  <c:v>2019</c:v>
                </c:pt>
                <c:pt idx="5">
                  <c:v>2020</c:v>
                </c:pt>
                <c:pt idx="6">
                  <c:v>2021</c:v>
                </c:pt>
                <c:pt idx="7">
                  <c:v>2022</c:v>
                </c:pt>
                <c:pt idx="8">
                  <c:v>2023</c:v>
                </c:pt>
                <c:pt idx="9">
                  <c:v>2024</c:v>
                </c:pt>
                <c:pt idx="10">
                  <c:v>2025</c:v>
                </c:pt>
                <c:pt idx="11">
                  <c:v>2026</c:v>
                </c:pt>
                <c:pt idx="12">
                  <c:v>2027</c:v>
                </c:pt>
                <c:pt idx="13">
                  <c:v>2028</c:v>
                </c:pt>
                <c:pt idx="14">
                  <c:v>2029</c:v>
                </c:pt>
                <c:pt idx="15">
                  <c:v>2030</c:v>
                </c:pt>
                <c:pt idx="16">
                  <c:v>2031</c:v>
                </c:pt>
                <c:pt idx="17">
                  <c:v>2032</c:v>
                </c:pt>
                <c:pt idx="18">
                  <c:v>2033</c:v>
                </c:pt>
                <c:pt idx="19">
                  <c:v>2034</c:v>
                </c:pt>
                <c:pt idx="20">
                  <c:v>2035</c:v>
                </c:pt>
                <c:pt idx="21">
                  <c:v>2036</c:v>
                </c:pt>
                <c:pt idx="22">
                  <c:v>2037</c:v>
                </c:pt>
                <c:pt idx="23">
                  <c:v>2038</c:v>
                </c:pt>
                <c:pt idx="24">
                  <c:v>2039</c:v>
                </c:pt>
                <c:pt idx="25">
                  <c:v>2040</c:v>
                </c:pt>
                <c:pt idx="26">
                  <c:v>2041</c:v>
                </c:pt>
                <c:pt idx="27">
                  <c:v>2042</c:v>
                </c:pt>
                <c:pt idx="28">
                  <c:v>2043</c:v>
                </c:pt>
                <c:pt idx="29">
                  <c:v>2044</c:v>
                </c:pt>
                <c:pt idx="30">
                  <c:v>2045</c:v>
                </c:pt>
                <c:pt idx="31">
                  <c:v>2046</c:v>
                </c:pt>
              </c:numCache>
            </c:numRef>
          </c:cat>
          <c:val>
            <c:numRef>
              <c:f>WillMartinModel!$E$131:$AJ$131</c:f>
              <c:numCache>
                <c:formatCode>_("$"* #,##0_);_("$"* \(#,##0\);_("$"* "-"??_);_(@_)</c:formatCode>
                <c:ptCount val="32"/>
                <c:pt idx="0">
                  <c:v>27229.378150637771</c:v>
                </c:pt>
                <c:pt idx="1">
                  <c:v>27347.844038765044</c:v>
                </c:pt>
                <c:pt idx="2">
                  <c:v>27468.228951078283</c:v>
                </c:pt>
                <c:pt idx="3">
                  <c:v>27590.563973773569</c:v>
                </c:pt>
                <c:pt idx="4">
                  <c:v>27714.880696611017</c:v>
                </c:pt>
                <c:pt idx="5">
                  <c:v>27841.211221072008</c:v>
                </c:pt>
                <c:pt idx="6">
                  <c:v>27969.588168648548</c:v>
                </c:pt>
                <c:pt idx="7">
                  <c:v>28100.044689266866</c:v>
                </c:pt>
                <c:pt idx="8">
                  <c:v>28232.61446984754</c:v>
                </c:pt>
                <c:pt idx="9">
                  <c:v>28367.331743004215</c:v>
                </c:pt>
                <c:pt idx="10">
                  <c:v>28504.231295883284</c:v>
                </c:pt>
                <c:pt idx="11">
                  <c:v>28643.348479146734</c:v>
                </c:pt>
                <c:pt idx="12">
                  <c:v>28784.719216100508</c:v>
                </c:pt>
                <c:pt idx="13">
                  <c:v>28928.380011970738</c:v>
                </c:pt>
                <c:pt idx="14">
                  <c:v>29074.367963330278</c:v>
                </c:pt>
                <c:pt idx="15">
                  <c:v>29222.720767677863</c:v>
                </c:pt>
                <c:pt idx="16">
                  <c:v>29373.476733172505</c:v>
                </c:pt>
                <c:pt idx="17">
                  <c:v>29526.674788525561</c:v>
                </c:pt>
                <c:pt idx="18">
                  <c:v>29682.354493053019</c:v>
                </c:pt>
                <c:pt idx="19">
                  <c:v>29840.556046890655</c:v>
                </c:pt>
                <c:pt idx="20">
                  <c:v>30001.320301374624</c:v>
                </c:pt>
                <c:pt idx="21">
                  <c:v>30164.688769590248</c:v>
                </c:pt>
                <c:pt idx="22">
                  <c:v>30330.703637091665</c:v>
                </c:pt>
                <c:pt idx="23">
                  <c:v>30499.407772795112</c:v>
                </c:pt>
                <c:pt idx="24">
                  <c:v>30670.844740048684</c:v>
                </c:pt>
                <c:pt idx="25">
                  <c:v>30845.058807881418</c:v>
                </c:pt>
                <c:pt idx="26">
                  <c:v>31022.094962434574</c:v>
                </c:pt>
                <c:pt idx="27">
                  <c:v>31201.998918578123</c:v>
                </c:pt>
                <c:pt idx="28">
                  <c:v>31384.817131715383</c:v>
                </c:pt>
                <c:pt idx="29">
                  <c:v>31570.596809778894</c:v>
                </c:pt>
                <c:pt idx="30">
                  <c:v>31759.385925420611</c:v>
                </c:pt>
                <c:pt idx="31">
                  <c:v>31951.233228399557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WillMartinModel!$D$132</c:f>
              <c:strCache>
                <c:ptCount val="1"/>
                <c:pt idx="0">
                  <c:v>Nissan Leaf w/o Tax Credit</c:v>
                </c:pt>
              </c:strCache>
            </c:strRef>
          </c:tx>
          <c:spPr>
            <a:ln w="57150"/>
          </c:spPr>
          <c:marker>
            <c:symbol val="none"/>
          </c:marker>
          <c:cat>
            <c:numRef>
              <c:f>WillMartinModel!$E$130:$AJ$130</c:f>
              <c:numCache>
                <c:formatCode>0</c:formatCode>
                <c:ptCount val="32"/>
                <c:pt idx="0">
                  <c:v>2015</c:v>
                </c:pt>
                <c:pt idx="1">
                  <c:v>2016</c:v>
                </c:pt>
                <c:pt idx="2">
                  <c:v>2017</c:v>
                </c:pt>
                <c:pt idx="3">
                  <c:v>2018</c:v>
                </c:pt>
                <c:pt idx="4">
                  <c:v>2019</c:v>
                </c:pt>
                <c:pt idx="5">
                  <c:v>2020</c:v>
                </c:pt>
                <c:pt idx="6">
                  <c:v>2021</c:v>
                </c:pt>
                <c:pt idx="7">
                  <c:v>2022</c:v>
                </c:pt>
                <c:pt idx="8">
                  <c:v>2023</c:v>
                </c:pt>
                <c:pt idx="9">
                  <c:v>2024</c:v>
                </c:pt>
                <c:pt idx="10">
                  <c:v>2025</c:v>
                </c:pt>
                <c:pt idx="11">
                  <c:v>2026</c:v>
                </c:pt>
                <c:pt idx="12">
                  <c:v>2027</c:v>
                </c:pt>
                <c:pt idx="13">
                  <c:v>2028</c:v>
                </c:pt>
                <c:pt idx="14">
                  <c:v>2029</c:v>
                </c:pt>
                <c:pt idx="15">
                  <c:v>2030</c:v>
                </c:pt>
                <c:pt idx="16">
                  <c:v>2031</c:v>
                </c:pt>
                <c:pt idx="17">
                  <c:v>2032</c:v>
                </c:pt>
                <c:pt idx="18">
                  <c:v>2033</c:v>
                </c:pt>
                <c:pt idx="19">
                  <c:v>2034</c:v>
                </c:pt>
                <c:pt idx="20">
                  <c:v>2035</c:v>
                </c:pt>
                <c:pt idx="21">
                  <c:v>2036</c:v>
                </c:pt>
                <c:pt idx="22">
                  <c:v>2037</c:v>
                </c:pt>
                <c:pt idx="23">
                  <c:v>2038</c:v>
                </c:pt>
                <c:pt idx="24">
                  <c:v>2039</c:v>
                </c:pt>
                <c:pt idx="25">
                  <c:v>2040</c:v>
                </c:pt>
                <c:pt idx="26">
                  <c:v>2041</c:v>
                </c:pt>
                <c:pt idx="27">
                  <c:v>2042</c:v>
                </c:pt>
                <c:pt idx="28">
                  <c:v>2043</c:v>
                </c:pt>
                <c:pt idx="29">
                  <c:v>2044</c:v>
                </c:pt>
                <c:pt idx="30">
                  <c:v>2045</c:v>
                </c:pt>
                <c:pt idx="31">
                  <c:v>2046</c:v>
                </c:pt>
              </c:numCache>
            </c:numRef>
          </c:cat>
          <c:val>
            <c:numRef>
              <c:f>WillMartinModel!$E$132:$AJ$132</c:f>
              <c:numCache>
                <c:formatCode>_("$"* #,##0_);_("$"* \(#,##0\);_("$"* "-"??_);_(@_)</c:formatCode>
                <c:ptCount val="32"/>
                <c:pt idx="0">
                  <c:v>30142.630969649781</c:v>
                </c:pt>
                <c:pt idx="1">
                  <c:v>29511.908749383896</c:v>
                </c:pt>
                <c:pt idx="2">
                  <c:v>28967.253275573566</c:v>
                </c:pt>
                <c:pt idx="3">
                  <c:v>28513.5924425423</c:v>
                </c:pt>
                <c:pt idx="4">
                  <c:v>28099.696724798767</c:v>
                </c:pt>
                <c:pt idx="5">
                  <c:v>27715.774356507405</c:v>
                </c:pt>
                <c:pt idx="6">
                  <c:v>27388.837100201323</c:v>
                </c:pt>
                <c:pt idx="7">
                  <c:v>27074.856176262801</c:v>
                </c:pt>
                <c:pt idx="8">
                  <c:v>26781.629826627344</c:v>
                </c:pt>
                <c:pt idx="9">
                  <c:v>26500.08187291387</c:v>
                </c:pt>
                <c:pt idx="10">
                  <c:v>26227.864631392029</c:v>
                </c:pt>
                <c:pt idx="11">
                  <c:v>25963.899770175543</c:v>
                </c:pt>
                <c:pt idx="12">
                  <c:v>25725.986694224765</c:v>
                </c:pt>
                <c:pt idx="13">
                  <c:v>25499.228182757826</c:v>
                </c:pt>
                <c:pt idx="14">
                  <c:v>25285.20006340032</c:v>
                </c:pt>
                <c:pt idx="15">
                  <c:v>25081.764136839436</c:v>
                </c:pt>
                <c:pt idx="16">
                  <c:v>24902.488325543032</c:v>
                </c:pt>
                <c:pt idx="17">
                  <c:v>24759.432936880912</c:v>
                </c:pt>
                <c:pt idx="18">
                  <c:v>24632.82626271305</c:v>
                </c:pt>
                <c:pt idx="19">
                  <c:v>24524.479184371819</c:v>
                </c:pt>
                <c:pt idx="20">
                  <c:v>24471.177700587756</c:v>
                </c:pt>
                <c:pt idx="21">
                  <c:v>24399.04934821753</c:v>
                </c:pt>
                <c:pt idx="22">
                  <c:v>24274.498268242391</c:v>
                </c:pt>
                <c:pt idx="23">
                  <c:v>24155.795377025272</c:v>
                </c:pt>
                <c:pt idx="24">
                  <c:v>24042.540031305365</c:v>
                </c:pt>
                <c:pt idx="25">
                  <c:v>23934.060706395794</c:v>
                </c:pt>
                <c:pt idx="26">
                  <c:v>23823.643075827273</c:v>
                </c:pt>
                <c:pt idx="27">
                  <c:v>23716.848330385124</c:v>
                </c:pt>
                <c:pt idx="28">
                  <c:v>23613.265720673877</c:v>
                </c:pt>
                <c:pt idx="29">
                  <c:v>23512.438173791805</c:v>
                </c:pt>
                <c:pt idx="30">
                  <c:v>23413.898781638207</c:v>
                </c:pt>
                <c:pt idx="31">
                  <c:v>23317.216097435976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WillMartinModel!$D$133</c:f>
              <c:strCache>
                <c:ptCount val="1"/>
                <c:pt idx="0">
                  <c:v>Nissan Leaf w/ Tax Credit</c:v>
                </c:pt>
              </c:strCache>
            </c:strRef>
          </c:tx>
          <c:spPr>
            <a:ln w="57150"/>
          </c:spPr>
          <c:marker>
            <c:symbol val="none"/>
          </c:marker>
          <c:cat>
            <c:numRef>
              <c:f>WillMartinModel!$E$130:$AJ$130</c:f>
              <c:numCache>
                <c:formatCode>0</c:formatCode>
                <c:ptCount val="32"/>
                <c:pt idx="0">
                  <c:v>2015</c:v>
                </c:pt>
                <c:pt idx="1">
                  <c:v>2016</c:v>
                </c:pt>
                <c:pt idx="2">
                  <c:v>2017</c:v>
                </c:pt>
                <c:pt idx="3">
                  <c:v>2018</c:v>
                </c:pt>
                <c:pt idx="4">
                  <c:v>2019</c:v>
                </c:pt>
                <c:pt idx="5">
                  <c:v>2020</c:v>
                </c:pt>
                <c:pt idx="6">
                  <c:v>2021</c:v>
                </c:pt>
                <c:pt idx="7">
                  <c:v>2022</c:v>
                </c:pt>
                <c:pt idx="8">
                  <c:v>2023</c:v>
                </c:pt>
                <c:pt idx="9">
                  <c:v>2024</c:v>
                </c:pt>
                <c:pt idx="10">
                  <c:v>2025</c:v>
                </c:pt>
                <c:pt idx="11">
                  <c:v>2026</c:v>
                </c:pt>
                <c:pt idx="12">
                  <c:v>2027</c:v>
                </c:pt>
                <c:pt idx="13">
                  <c:v>2028</c:v>
                </c:pt>
                <c:pt idx="14">
                  <c:v>2029</c:v>
                </c:pt>
                <c:pt idx="15">
                  <c:v>2030</c:v>
                </c:pt>
                <c:pt idx="16">
                  <c:v>2031</c:v>
                </c:pt>
                <c:pt idx="17">
                  <c:v>2032</c:v>
                </c:pt>
                <c:pt idx="18">
                  <c:v>2033</c:v>
                </c:pt>
                <c:pt idx="19">
                  <c:v>2034</c:v>
                </c:pt>
                <c:pt idx="20">
                  <c:v>2035</c:v>
                </c:pt>
                <c:pt idx="21">
                  <c:v>2036</c:v>
                </c:pt>
                <c:pt idx="22">
                  <c:v>2037</c:v>
                </c:pt>
                <c:pt idx="23">
                  <c:v>2038</c:v>
                </c:pt>
                <c:pt idx="24">
                  <c:v>2039</c:v>
                </c:pt>
                <c:pt idx="25">
                  <c:v>2040</c:v>
                </c:pt>
                <c:pt idx="26">
                  <c:v>2041</c:v>
                </c:pt>
                <c:pt idx="27">
                  <c:v>2042</c:v>
                </c:pt>
                <c:pt idx="28">
                  <c:v>2043</c:v>
                </c:pt>
                <c:pt idx="29">
                  <c:v>2044</c:v>
                </c:pt>
                <c:pt idx="30">
                  <c:v>2045</c:v>
                </c:pt>
                <c:pt idx="31">
                  <c:v>2046</c:v>
                </c:pt>
              </c:numCache>
            </c:numRef>
          </c:cat>
          <c:val>
            <c:numRef>
              <c:f>WillMartinModel!$E$133:$AJ$133</c:f>
              <c:numCache>
                <c:formatCode>_("$"* #,##0_);_("$"* \(#,##0\);_("$"* "-"??_);_(@_)</c:formatCode>
                <c:ptCount val="32"/>
                <c:pt idx="0">
                  <c:v>27830.61582091116</c:v>
                </c:pt>
                <c:pt idx="1">
                  <c:v>27199.893600645279</c:v>
                </c:pt>
                <c:pt idx="2">
                  <c:v>26655.238126834942</c:v>
                </c:pt>
                <c:pt idx="3">
                  <c:v>26201.577293803675</c:v>
                </c:pt>
                <c:pt idx="4">
                  <c:v>25787.681576060146</c:v>
                </c:pt>
                <c:pt idx="5">
                  <c:v>25403.75920776878</c:v>
                </c:pt>
                <c:pt idx="6">
                  <c:v>25076.821951462702</c:v>
                </c:pt>
                <c:pt idx="7">
                  <c:v>24762.841027524177</c:v>
                </c:pt>
                <c:pt idx="8">
                  <c:v>24469.61467788872</c:v>
                </c:pt>
                <c:pt idx="9">
                  <c:v>24188.066724175249</c:v>
                </c:pt>
                <c:pt idx="10">
                  <c:v>23915.849482653408</c:v>
                </c:pt>
                <c:pt idx="11">
                  <c:v>23651.884621436922</c:v>
                </c:pt>
                <c:pt idx="12">
                  <c:v>23413.971545486143</c:v>
                </c:pt>
                <c:pt idx="13">
                  <c:v>23187.213034019205</c:v>
                </c:pt>
                <c:pt idx="14">
                  <c:v>22973.184914661702</c:v>
                </c:pt>
                <c:pt idx="15">
                  <c:v>22769.748988100811</c:v>
                </c:pt>
                <c:pt idx="16">
                  <c:v>22590.473176804411</c:v>
                </c:pt>
                <c:pt idx="17">
                  <c:v>22447.417788142291</c:v>
                </c:pt>
                <c:pt idx="18">
                  <c:v>22320.811113974429</c:v>
                </c:pt>
                <c:pt idx="19">
                  <c:v>22212.464035633198</c:v>
                </c:pt>
                <c:pt idx="20">
                  <c:v>22159.162551849131</c:v>
                </c:pt>
                <c:pt idx="21">
                  <c:v>22087.034199478909</c:v>
                </c:pt>
                <c:pt idx="22">
                  <c:v>21962.483119503766</c:v>
                </c:pt>
                <c:pt idx="23">
                  <c:v>21843.780228286647</c:v>
                </c:pt>
                <c:pt idx="24">
                  <c:v>21730.524882566744</c:v>
                </c:pt>
                <c:pt idx="25">
                  <c:v>21622.045557657169</c:v>
                </c:pt>
                <c:pt idx="26">
                  <c:v>21511.627927088652</c:v>
                </c:pt>
                <c:pt idx="27">
                  <c:v>21404.8331816465</c:v>
                </c:pt>
                <c:pt idx="28">
                  <c:v>21301.250571935252</c:v>
                </c:pt>
                <c:pt idx="29">
                  <c:v>21200.423025053184</c:v>
                </c:pt>
                <c:pt idx="30">
                  <c:v>21101.883632899586</c:v>
                </c:pt>
                <c:pt idx="31">
                  <c:v>21005.200948697351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59341712"/>
        <c:axId val="259342496"/>
      </c:lineChart>
      <c:catAx>
        <c:axId val="259341712"/>
        <c:scaling>
          <c:orientation val="minMax"/>
        </c:scaling>
        <c:delete val="0"/>
        <c:axPos val="b"/>
        <c:majorGridlines/>
        <c:numFmt formatCode="0" sourceLinked="1"/>
        <c:majorTickMark val="out"/>
        <c:minorTickMark val="none"/>
        <c:tickLblPos val="nextTo"/>
        <c:crossAx val="259342496"/>
        <c:crosses val="autoZero"/>
        <c:auto val="1"/>
        <c:lblAlgn val="ctr"/>
        <c:lblOffset val="100"/>
        <c:noMultiLvlLbl val="0"/>
      </c:catAx>
      <c:valAx>
        <c:axId val="259342496"/>
        <c:scaling>
          <c:orientation val="minMax"/>
          <c:max val="35000"/>
          <c:min val="20000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Discounted 5-Year Total Cost of Ownership</a:t>
                </a:r>
              </a:p>
            </c:rich>
          </c:tx>
          <c:layout/>
          <c:overlay val="0"/>
        </c:title>
        <c:numFmt formatCode="_(&quot;$&quot;* #,##0_);_(&quot;$&quot;* \(#,##0\);_(&quot;$&quot;* &quot;-&quot;??_);_(@_)" sourceLinked="1"/>
        <c:majorTickMark val="out"/>
        <c:minorTickMark val="none"/>
        <c:tickLblPos val="nextTo"/>
        <c:crossAx val="259341712"/>
        <c:crosses val="autoZero"/>
        <c:crossBetween val="between"/>
      </c:valAx>
    </c:plotArea>
    <c:legend>
      <c:legendPos val="r"/>
      <c:layout/>
      <c:overlay val="0"/>
    </c:legend>
    <c:plotVisOnly val="1"/>
    <c:dispBlanksAs val="gap"/>
    <c:showDLblsOverMax val="0"/>
  </c:chart>
  <c:txPr>
    <a:bodyPr/>
    <a:lstStyle/>
    <a:p>
      <a:pPr>
        <a:defRPr sz="1600" b="0">
          <a:latin typeface="Tahoma" panose="020B0604030504040204" pitchFamily="34" charset="0"/>
          <a:ea typeface="Tahoma" panose="020B0604030504040204" pitchFamily="34" charset="0"/>
          <a:cs typeface="Tahoma" panose="020B060403050404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WillMartinModel!$E$90</c:f>
              <c:strCache>
                <c:ptCount val="1"/>
                <c:pt idx="0">
                  <c:v>LBNL</c:v>
                </c:pt>
              </c:strCache>
            </c:strRef>
          </c:tx>
          <c:spPr>
            <a:ln w="571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WillMartinModel!$H$89:$BH$89</c:f>
              <c:numCache>
                <c:formatCode>0</c:formatCode>
                <c:ptCount val="53"/>
                <c:pt idx="0">
                  <c:v>1998</c:v>
                </c:pt>
                <c:pt idx="1">
                  <c:v>1999</c:v>
                </c:pt>
                <c:pt idx="2">
                  <c:v>2000</c:v>
                </c:pt>
                <c:pt idx="3">
                  <c:v>2001</c:v>
                </c:pt>
                <c:pt idx="4">
                  <c:v>2002</c:v>
                </c:pt>
                <c:pt idx="5">
                  <c:v>2003</c:v>
                </c:pt>
                <c:pt idx="6">
                  <c:v>2004</c:v>
                </c:pt>
                <c:pt idx="7">
                  <c:v>2005</c:v>
                </c:pt>
                <c:pt idx="8">
                  <c:v>2006</c:v>
                </c:pt>
                <c:pt idx="9">
                  <c:v>2007</c:v>
                </c:pt>
                <c:pt idx="10">
                  <c:v>2008</c:v>
                </c:pt>
                <c:pt idx="11">
                  <c:v>2009</c:v>
                </c:pt>
                <c:pt idx="12">
                  <c:v>2010</c:v>
                </c:pt>
                <c:pt idx="13">
                  <c:v>2011</c:v>
                </c:pt>
                <c:pt idx="14">
                  <c:v>2012</c:v>
                </c:pt>
                <c:pt idx="15">
                  <c:v>2013</c:v>
                </c:pt>
                <c:pt idx="16">
                  <c:v>2014</c:v>
                </c:pt>
                <c:pt idx="17">
                  <c:v>2015</c:v>
                </c:pt>
                <c:pt idx="18">
                  <c:v>2016</c:v>
                </c:pt>
                <c:pt idx="19">
                  <c:v>2017</c:v>
                </c:pt>
                <c:pt idx="20">
                  <c:v>2018</c:v>
                </c:pt>
                <c:pt idx="21">
                  <c:v>2019</c:v>
                </c:pt>
                <c:pt idx="22">
                  <c:v>2020</c:v>
                </c:pt>
                <c:pt idx="23">
                  <c:v>2021</c:v>
                </c:pt>
                <c:pt idx="24">
                  <c:v>2022</c:v>
                </c:pt>
                <c:pt idx="25">
                  <c:v>2023</c:v>
                </c:pt>
                <c:pt idx="26">
                  <c:v>2024</c:v>
                </c:pt>
                <c:pt idx="27">
                  <c:v>2025</c:v>
                </c:pt>
                <c:pt idx="28">
                  <c:v>2026</c:v>
                </c:pt>
                <c:pt idx="29">
                  <c:v>2027</c:v>
                </c:pt>
                <c:pt idx="30">
                  <c:v>2028</c:v>
                </c:pt>
                <c:pt idx="31">
                  <c:v>2029</c:v>
                </c:pt>
                <c:pt idx="32">
                  <c:v>2030</c:v>
                </c:pt>
                <c:pt idx="33">
                  <c:v>2031</c:v>
                </c:pt>
                <c:pt idx="34">
                  <c:v>2032</c:v>
                </c:pt>
                <c:pt idx="35">
                  <c:v>2033</c:v>
                </c:pt>
                <c:pt idx="36">
                  <c:v>2034</c:v>
                </c:pt>
                <c:pt idx="37">
                  <c:v>2035</c:v>
                </c:pt>
                <c:pt idx="38">
                  <c:v>2036</c:v>
                </c:pt>
                <c:pt idx="39">
                  <c:v>2037</c:v>
                </c:pt>
                <c:pt idx="40">
                  <c:v>2038</c:v>
                </c:pt>
                <c:pt idx="41">
                  <c:v>2039</c:v>
                </c:pt>
                <c:pt idx="42">
                  <c:v>2040</c:v>
                </c:pt>
                <c:pt idx="43">
                  <c:v>2041</c:v>
                </c:pt>
                <c:pt idx="44">
                  <c:v>2042</c:v>
                </c:pt>
                <c:pt idx="45">
                  <c:v>2043</c:v>
                </c:pt>
                <c:pt idx="46">
                  <c:v>2044</c:v>
                </c:pt>
                <c:pt idx="47">
                  <c:v>2045</c:v>
                </c:pt>
                <c:pt idx="48">
                  <c:v>2046</c:v>
                </c:pt>
                <c:pt idx="49">
                  <c:v>2047</c:v>
                </c:pt>
                <c:pt idx="50">
                  <c:v>2048</c:v>
                </c:pt>
                <c:pt idx="51">
                  <c:v>2049</c:v>
                </c:pt>
                <c:pt idx="52">
                  <c:v>2050</c:v>
                </c:pt>
              </c:numCache>
            </c:numRef>
          </c:cat>
          <c:val>
            <c:numRef>
              <c:f>WillMartinModel!$H$90:$BH$90</c:f>
              <c:numCache>
                <c:formatCode>_("$"* #,##0.00_);_("$"* \(#,##0.00\);_("$"* "-"??_);_(@_)</c:formatCode>
                <c:ptCount val="53"/>
                <c:pt idx="0">
                  <c:v>0.79700000000000004</c:v>
                </c:pt>
                <c:pt idx="1">
                  <c:v>0.80600000000000005</c:v>
                </c:pt>
                <c:pt idx="2">
                  <c:v>0.751</c:v>
                </c:pt>
                <c:pt idx="3">
                  <c:v>0.70899999999999996</c:v>
                </c:pt>
                <c:pt idx="4">
                  <c:v>0.71099999999999997</c:v>
                </c:pt>
                <c:pt idx="5">
                  <c:v>0.63800000000000001</c:v>
                </c:pt>
                <c:pt idx="6">
                  <c:v>0.59599999999999997</c:v>
                </c:pt>
                <c:pt idx="7">
                  <c:v>0.57299999999999995</c:v>
                </c:pt>
                <c:pt idx="8">
                  <c:v>0.56599999999999995</c:v>
                </c:pt>
                <c:pt idx="9">
                  <c:v>0.58299999999999996</c:v>
                </c:pt>
                <c:pt idx="10">
                  <c:v>0.56299999999999994</c:v>
                </c:pt>
                <c:pt idx="11">
                  <c:v>0.54200000000000004</c:v>
                </c:pt>
                <c:pt idx="12">
                  <c:v>0.45400000000000001</c:v>
                </c:pt>
                <c:pt idx="13">
                  <c:v>0.39600000000000002</c:v>
                </c:pt>
                <c:pt idx="14">
                  <c:v>0.34599999999999997</c:v>
                </c:pt>
                <c:pt idx="15">
                  <c:v>0.29899999999999999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WillMartinModel!$E$91</c:f>
              <c:strCache>
                <c:ptCount val="1"/>
                <c:pt idx="0">
                  <c:v>AEO 2009</c:v>
                </c:pt>
              </c:strCache>
            </c:strRef>
          </c:tx>
          <c:spPr>
            <a:ln w="571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WillMartinModel!$H$89:$BH$89</c:f>
              <c:numCache>
                <c:formatCode>0</c:formatCode>
                <c:ptCount val="53"/>
                <c:pt idx="0">
                  <c:v>1998</c:v>
                </c:pt>
                <c:pt idx="1">
                  <c:v>1999</c:v>
                </c:pt>
                <c:pt idx="2">
                  <c:v>2000</c:v>
                </c:pt>
                <c:pt idx="3">
                  <c:v>2001</c:v>
                </c:pt>
                <c:pt idx="4">
                  <c:v>2002</c:v>
                </c:pt>
                <c:pt idx="5">
                  <c:v>2003</c:v>
                </c:pt>
                <c:pt idx="6">
                  <c:v>2004</c:v>
                </c:pt>
                <c:pt idx="7">
                  <c:v>2005</c:v>
                </c:pt>
                <c:pt idx="8">
                  <c:v>2006</c:v>
                </c:pt>
                <c:pt idx="9">
                  <c:v>2007</c:v>
                </c:pt>
                <c:pt idx="10">
                  <c:v>2008</c:v>
                </c:pt>
                <c:pt idx="11">
                  <c:v>2009</c:v>
                </c:pt>
                <c:pt idx="12">
                  <c:v>2010</c:v>
                </c:pt>
                <c:pt idx="13">
                  <c:v>2011</c:v>
                </c:pt>
                <c:pt idx="14">
                  <c:v>2012</c:v>
                </c:pt>
                <c:pt idx="15">
                  <c:v>2013</c:v>
                </c:pt>
                <c:pt idx="16">
                  <c:v>2014</c:v>
                </c:pt>
                <c:pt idx="17">
                  <c:v>2015</c:v>
                </c:pt>
                <c:pt idx="18">
                  <c:v>2016</c:v>
                </c:pt>
                <c:pt idx="19">
                  <c:v>2017</c:v>
                </c:pt>
                <c:pt idx="20">
                  <c:v>2018</c:v>
                </c:pt>
                <c:pt idx="21">
                  <c:v>2019</c:v>
                </c:pt>
                <c:pt idx="22">
                  <c:v>2020</c:v>
                </c:pt>
                <c:pt idx="23">
                  <c:v>2021</c:v>
                </c:pt>
                <c:pt idx="24">
                  <c:v>2022</c:v>
                </c:pt>
                <c:pt idx="25">
                  <c:v>2023</c:v>
                </c:pt>
                <c:pt idx="26">
                  <c:v>2024</c:v>
                </c:pt>
                <c:pt idx="27">
                  <c:v>2025</c:v>
                </c:pt>
                <c:pt idx="28">
                  <c:v>2026</c:v>
                </c:pt>
                <c:pt idx="29">
                  <c:v>2027</c:v>
                </c:pt>
                <c:pt idx="30">
                  <c:v>2028</c:v>
                </c:pt>
                <c:pt idx="31">
                  <c:v>2029</c:v>
                </c:pt>
                <c:pt idx="32">
                  <c:v>2030</c:v>
                </c:pt>
                <c:pt idx="33">
                  <c:v>2031</c:v>
                </c:pt>
                <c:pt idx="34">
                  <c:v>2032</c:v>
                </c:pt>
                <c:pt idx="35">
                  <c:v>2033</c:v>
                </c:pt>
                <c:pt idx="36">
                  <c:v>2034</c:v>
                </c:pt>
                <c:pt idx="37">
                  <c:v>2035</c:v>
                </c:pt>
                <c:pt idx="38">
                  <c:v>2036</c:v>
                </c:pt>
                <c:pt idx="39">
                  <c:v>2037</c:v>
                </c:pt>
                <c:pt idx="40">
                  <c:v>2038</c:v>
                </c:pt>
                <c:pt idx="41">
                  <c:v>2039</c:v>
                </c:pt>
                <c:pt idx="42">
                  <c:v>2040</c:v>
                </c:pt>
                <c:pt idx="43">
                  <c:v>2041</c:v>
                </c:pt>
                <c:pt idx="44">
                  <c:v>2042</c:v>
                </c:pt>
                <c:pt idx="45">
                  <c:v>2043</c:v>
                </c:pt>
                <c:pt idx="46">
                  <c:v>2044</c:v>
                </c:pt>
                <c:pt idx="47">
                  <c:v>2045</c:v>
                </c:pt>
                <c:pt idx="48">
                  <c:v>2046</c:v>
                </c:pt>
                <c:pt idx="49">
                  <c:v>2047</c:v>
                </c:pt>
                <c:pt idx="50">
                  <c:v>2048</c:v>
                </c:pt>
                <c:pt idx="51">
                  <c:v>2049</c:v>
                </c:pt>
                <c:pt idx="52">
                  <c:v>2050</c:v>
                </c:pt>
              </c:numCache>
            </c:numRef>
          </c:cat>
          <c:val>
            <c:numRef>
              <c:f>WillMartinModel!$H$91:$BH$91</c:f>
              <c:numCache>
                <c:formatCode>_("$"* #,##0.00_);_("$"* \(#,##0.00\);_("$"* "-"??_);_(@_)</c:formatCode>
                <c:ptCount val="53"/>
                <c:pt idx="16">
                  <c:v>0.28699999999999998</c:v>
                </c:pt>
                <c:pt idx="17">
                  <c:v>0.28499999999999998</c:v>
                </c:pt>
                <c:pt idx="18">
                  <c:v>0.27900000000000003</c:v>
                </c:pt>
                <c:pt idx="19">
                  <c:v>0.27300000000000002</c:v>
                </c:pt>
                <c:pt idx="20">
                  <c:v>0.26800000000000002</c:v>
                </c:pt>
                <c:pt idx="21">
                  <c:v>0.26100000000000001</c:v>
                </c:pt>
                <c:pt idx="22">
                  <c:v>0.254</c:v>
                </c:pt>
                <c:pt idx="23">
                  <c:v>0.247</c:v>
                </c:pt>
                <c:pt idx="24">
                  <c:v>0.23799999999999999</c:v>
                </c:pt>
                <c:pt idx="25">
                  <c:v>0.22900000000000001</c:v>
                </c:pt>
                <c:pt idx="26">
                  <c:v>0.221</c:v>
                </c:pt>
                <c:pt idx="27">
                  <c:v>0.214</c:v>
                </c:pt>
                <c:pt idx="28">
                  <c:v>0.20599999999999999</c:v>
                </c:pt>
                <c:pt idx="29">
                  <c:v>0.2</c:v>
                </c:pt>
                <c:pt idx="30">
                  <c:v>0.193</c:v>
                </c:pt>
                <c:pt idx="31">
                  <c:v>0.187</c:v>
                </c:pt>
                <c:pt idx="32">
                  <c:v>0.18099999999999999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WillMartinModel!$E$92</c:f>
              <c:strCache>
                <c:ptCount val="1"/>
                <c:pt idx="0">
                  <c:v>AEO 2011</c:v>
                </c:pt>
              </c:strCache>
            </c:strRef>
          </c:tx>
          <c:spPr>
            <a:ln w="571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WillMartinModel!$H$89:$BH$89</c:f>
              <c:numCache>
                <c:formatCode>0</c:formatCode>
                <c:ptCount val="53"/>
                <c:pt idx="0">
                  <c:v>1998</c:v>
                </c:pt>
                <c:pt idx="1">
                  <c:v>1999</c:v>
                </c:pt>
                <c:pt idx="2">
                  <c:v>2000</c:v>
                </c:pt>
                <c:pt idx="3">
                  <c:v>2001</c:v>
                </c:pt>
                <c:pt idx="4">
                  <c:v>2002</c:v>
                </c:pt>
                <c:pt idx="5">
                  <c:v>2003</c:v>
                </c:pt>
                <c:pt idx="6">
                  <c:v>2004</c:v>
                </c:pt>
                <c:pt idx="7">
                  <c:v>2005</c:v>
                </c:pt>
                <c:pt idx="8">
                  <c:v>2006</c:v>
                </c:pt>
                <c:pt idx="9">
                  <c:v>2007</c:v>
                </c:pt>
                <c:pt idx="10">
                  <c:v>2008</c:v>
                </c:pt>
                <c:pt idx="11">
                  <c:v>2009</c:v>
                </c:pt>
                <c:pt idx="12">
                  <c:v>2010</c:v>
                </c:pt>
                <c:pt idx="13">
                  <c:v>2011</c:v>
                </c:pt>
                <c:pt idx="14">
                  <c:v>2012</c:v>
                </c:pt>
                <c:pt idx="15">
                  <c:v>2013</c:v>
                </c:pt>
                <c:pt idx="16">
                  <c:v>2014</c:v>
                </c:pt>
                <c:pt idx="17">
                  <c:v>2015</c:v>
                </c:pt>
                <c:pt idx="18">
                  <c:v>2016</c:v>
                </c:pt>
                <c:pt idx="19">
                  <c:v>2017</c:v>
                </c:pt>
                <c:pt idx="20">
                  <c:v>2018</c:v>
                </c:pt>
                <c:pt idx="21">
                  <c:v>2019</c:v>
                </c:pt>
                <c:pt idx="22">
                  <c:v>2020</c:v>
                </c:pt>
                <c:pt idx="23">
                  <c:v>2021</c:v>
                </c:pt>
                <c:pt idx="24">
                  <c:v>2022</c:v>
                </c:pt>
                <c:pt idx="25">
                  <c:v>2023</c:v>
                </c:pt>
                <c:pt idx="26">
                  <c:v>2024</c:v>
                </c:pt>
                <c:pt idx="27">
                  <c:v>2025</c:v>
                </c:pt>
                <c:pt idx="28">
                  <c:v>2026</c:v>
                </c:pt>
                <c:pt idx="29">
                  <c:v>2027</c:v>
                </c:pt>
                <c:pt idx="30">
                  <c:v>2028</c:v>
                </c:pt>
                <c:pt idx="31">
                  <c:v>2029</c:v>
                </c:pt>
                <c:pt idx="32">
                  <c:v>2030</c:v>
                </c:pt>
                <c:pt idx="33">
                  <c:v>2031</c:v>
                </c:pt>
                <c:pt idx="34">
                  <c:v>2032</c:v>
                </c:pt>
                <c:pt idx="35">
                  <c:v>2033</c:v>
                </c:pt>
                <c:pt idx="36">
                  <c:v>2034</c:v>
                </c:pt>
                <c:pt idx="37">
                  <c:v>2035</c:v>
                </c:pt>
                <c:pt idx="38">
                  <c:v>2036</c:v>
                </c:pt>
                <c:pt idx="39">
                  <c:v>2037</c:v>
                </c:pt>
                <c:pt idx="40">
                  <c:v>2038</c:v>
                </c:pt>
                <c:pt idx="41">
                  <c:v>2039</c:v>
                </c:pt>
                <c:pt idx="42">
                  <c:v>2040</c:v>
                </c:pt>
                <c:pt idx="43">
                  <c:v>2041</c:v>
                </c:pt>
                <c:pt idx="44">
                  <c:v>2042</c:v>
                </c:pt>
                <c:pt idx="45">
                  <c:v>2043</c:v>
                </c:pt>
                <c:pt idx="46">
                  <c:v>2044</c:v>
                </c:pt>
                <c:pt idx="47">
                  <c:v>2045</c:v>
                </c:pt>
                <c:pt idx="48">
                  <c:v>2046</c:v>
                </c:pt>
                <c:pt idx="49">
                  <c:v>2047</c:v>
                </c:pt>
                <c:pt idx="50">
                  <c:v>2048</c:v>
                </c:pt>
                <c:pt idx="51">
                  <c:v>2049</c:v>
                </c:pt>
                <c:pt idx="52">
                  <c:v>2050</c:v>
                </c:pt>
              </c:numCache>
            </c:numRef>
          </c:cat>
          <c:val>
            <c:numRef>
              <c:f>WillMartinModel!$H$92:$BH$92</c:f>
              <c:numCache>
                <c:formatCode>_("$"* #,##0.00_);_("$"* \(#,##0.00\);_("$"* "-"??_);_(@_)</c:formatCode>
                <c:ptCount val="53"/>
                <c:pt idx="16">
                  <c:v>0.31900000000000001</c:v>
                </c:pt>
                <c:pt idx="17">
                  <c:v>0.314</c:v>
                </c:pt>
                <c:pt idx="18">
                  <c:v>0.30499999999999999</c:v>
                </c:pt>
                <c:pt idx="19">
                  <c:v>0.28499999999999998</c:v>
                </c:pt>
                <c:pt idx="20">
                  <c:v>0.27800000000000002</c:v>
                </c:pt>
                <c:pt idx="21">
                  <c:v>0.27100000000000002</c:v>
                </c:pt>
                <c:pt idx="22">
                  <c:v>0.26400000000000001</c:v>
                </c:pt>
                <c:pt idx="23">
                  <c:v>0.25700000000000001</c:v>
                </c:pt>
                <c:pt idx="24">
                  <c:v>0.249</c:v>
                </c:pt>
                <c:pt idx="25">
                  <c:v>0.24199999999999999</c:v>
                </c:pt>
                <c:pt idx="26">
                  <c:v>0.23499999999999999</c:v>
                </c:pt>
                <c:pt idx="27">
                  <c:v>0.22800000000000001</c:v>
                </c:pt>
                <c:pt idx="28">
                  <c:v>0.222</c:v>
                </c:pt>
                <c:pt idx="29">
                  <c:v>0.215</c:v>
                </c:pt>
                <c:pt idx="30">
                  <c:v>0.20799999999999999</c:v>
                </c:pt>
                <c:pt idx="31">
                  <c:v>0.20200000000000001</c:v>
                </c:pt>
                <c:pt idx="32">
                  <c:v>0.19500000000000001</c:v>
                </c:pt>
                <c:pt idx="33">
                  <c:v>0.189</c:v>
                </c:pt>
                <c:pt idx="34">
                  <c:v>0.183</c:v>
                </c:pt>
                <c:pt idx="35">
                  <c:v>0.17699999999999999</c:v>
                </c:pt>
                <c:pt idx="36">
                  <c:v>0.17</c:v>
                </c:pt>
                <c:pt idx="37">
                  <c:v>0.16</c:v>
                </c:pt>
              </c:numCache>
            </c:numRef>
          </c:val>
          <c:smooth val="0"/>
        </c:ser>
        <c:ser>
          <c:idx val="3"/>
          <c:order val="3"/>
          <c:tx>
            <c:strRef>
              <c:f>WillMartinModel!$E$93</c:f>
              <c:strCache>
                <c:ptCount val="1"/>
                <c:pt idx="0">
                  <c:v>Black and Veatch 2012</c:v>
                </c:pt>
              </c:strCache>
            </c:strRef>
          </c:tx>
          <c:spPr>
            <a:ln w="57150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WillMartinModel!$H$89:$BH$89</c:f>
              <c:numCache>
                <c:formatCode>0</c:formatCode>
                <c:ptCount val="53"/>
                <c:pt idx="0">
                  <c:v>1998</c:v>
                </c:pt>
                <c:pt idx="1">
                  <c:v>1999</c:v>
                </c:pt>
                <c:pt idx="2">
                  <c:v>2000</c:v>
                </c:pt>
                <c:pt idx="3">
                  <c:v>2001</c:v>
                </c:pt>
                <c:pt idx="4">
                  <c:v>2002</c:v>
                </c:pt>
                <c:pt idx="5">
                  <c:v>2003</c:v>
                </c:pt>
                <c:pt idx="6">
                  <c:v>2004</c:v>
                </c:pt>
                <c:pt idx="7">
                  <c:v>2005</c:v>
                </c:pt>
                <c:pt idx="8">
                  <c:v>2006</c:v>
                </c:pt>
                <c:pt idx="9">
                  <c:v>2007</c:v>
                </c:pt>
                <c:pt idx="10">
                  <c:v>2008</c:v>
                </c:pt>
                <c:pt idx="11">
                  <c:v>2009</c:v>
                </c:pt>
                <c:pt idx="12">
                  <c:v>2010</c:v>
                </c:pt>
                <c:pt idx="13">
                  <c:v>2011</c:v>
                </c:pt>
                <c:pt idx="14">
                  <c:v>2012</c:v>
                </c:pt>
                <c:pt idx="15">
                  <c:v>2013</c:v>
                </c:pt>
                <c:pt idx="16">
                  <c:v>2014</c:v>
                </c:pt>
                <c:pt idx="17">
                  <c:v>2015</c:v>
                </c:pt>
                <c:pt idx="18">
                  <c:v>2016</c:v>
                </c:pt>
                <c:pt idx="19">
                  <c:v>2017</c:v>
                </c:pt>
                <c:pt idx="20">
                  <c:v>2018</c:v>
                </c:pt>
                <c:pt idx="21">
                  <c:v>2019</c:v>
                </c:pt>
                <c:pt idx="22">
                  <c:v>2020</c:v>
                </c:pt>
                <c:pt idx="23">
                  <c:v>2021</c:v>
                </c:pt>
                <c:pt idx="24">
                  <c:v>2022</c:v>
                </c:pt>
                <c:pt idx="25">
                  <c:v>2023</c:v>
                </c:pt>
                <c:pt idx="26">
                  <c:v>2024</c:v>
                </c:pt>
                <c:pt idx="27">
                  <c:v>2025</c:v>
                </c:pt>
                <c:pt idx="28">
                  <c:v>2026</c:v>
                </c:pt>
                <c:pt idx="29">
                  <c:v>2027</c:v>
                </c:pt>
                <c:pt idx="30">
                  <c:v>2028</c:v>
                </c:pt>
                <c:pt idx="31">
                  <c:v>2029</c:v>
                </c:pt>
                <c:pt idx="32">
                  <c:v>2030</c:v>
                </c:pt>
                <c:pt idx="33">
                  <c:v>2031</c:v>
                </c:pt>
                <c:pt idx="34">
                  <c:v>2032</c:v>
                </c:pt>
                <c:pt idx="35">
                  <c:v>2033</c:v>
                </c:pt>
                <c:pt idx="36">
                  <c:v>2034</c:v>
                </c:pt>
                <c:pt idx="37">
                  <c:v>2035</c:v>
                </c:pt>
                <c:pt idx="38">
                  <c:v>2036</c:v>
                </c:pt>
                <c:pt idx="39">
                  <c:v>2037</c:v>
                </c:pt>
                <c:pt idx="40">
                  <c:v>2038</c:v>
                </c:pt>
                <c:pt idx="41">
                  <c:v>2039</c:v>
                </c:pt>
                <c:pt idx="42">
                  <c:v>2040</c:v>
                </c:pt>
                <c:pt idx="43">
                  <c:v>2041</c:v>
                </c:pt>
                <c:pt idx="44">
                  <c:v>2042</c:v>
                </c:pt>
                <c:pt idx="45">
                  <c:v>2043</c:v>
                </c:pt>
                <c:pt idx="46">
                  <c:v>2044</c:v>
                </c:pt>
                <c:pt idx="47">
                  <c:v>2045</c:v>
                </c:pt>
                <c:pt idx="48">
                  <c:v>2046</c:v>
                </c:pt>
                <c:pt idx="49">
                  <c:v>2047</c:v>
                </c:pt>
                <c:pt idx="50">
                  <c:v>2048</c:v>
                </c:pt>
                <c:pt idx="51">
                  <c:v>2049</c:v>
                </c:pt>
                <c:pt idx="52">
                  <c:v>2050</c:v>
                </c:pt>
              </c:numCache>
            </c:numRef>
          </c:cat>
          <c:val>
            <c:numRef>
              <c:f>WillMartinModel!$H$93:$BH$93</c:f>
              <c:numCache>
                <c:formatCode>_("$"* #,##0.00_);_("$"* \(#,##0.00\);_("$"* "-"??_);_(@_)</c:formatCode>
                <c:ptCount val="53"/>
                <c:pt idx="18">
                  <c:v>0.27600000000000002</c:v>
                </c:pt>
                <c:pt idx="19">
                  <c:v>0.26680015170760768</c:v>
                </c:pt>
                <c:pt idx="20">
                  <c:v>0.2579069599681249</c:v>
                </c:pt>
                <c:pt idx="21">
                  <c:v>0.24931020306501314</c:v>
                </c:pt>
                <c:pt idx="22">
                  <c:v>0.24099999999999999</c:v>
                </c:pt>
                <c:pt idx="23">
                  <c:v>0.23728736117923319</c:v>
                </c:pt>
                <c:pt idx="24">
                  <c:v>0.23363191608051395</c:v>
                </c:pt>
                <c:pt idx="25">
                  <c:v>0.23003278362652785</c:v>
                </c:pt>
                <c:pt idx="26">
                  <c:v>0.22648909631308015</c:v>
                </c:pt>
                <c:pt idx="27">
                  <c:v>0.223</c:v>
                </c:pt>
                <c:pt idx="28">
                  <c:v>0.2209631289591566</c:v>
                </c:pt>
                <c:pt idx="29">
                  <c:v>0.21894486259829984</c:v>
                </c:pt>
                <c:pt idx="30">
                  <c:v>0.21694503098319709</c:v>
                </c:pt>
                <c:pt idx="31">
                  <c:v>0.21496346573178654</c:v>
                </c:pt>
                <c:pt idx="32">
                  <c:v>0.21299999999999999</c:v>
                </c:pt>
                <c:pt idx="33">
                  <c:v>0.21137540608906799</c:v>
                </c:pt>
                <c:pt idx="34">
                  <c:v>0.20976320328318498</c:v>
                </c:pt>
                <c:pt idx="35">
                  <c:v>0.20816329707289646</c:v>
                </c:pt>
                <c:pt idx="36">
                  <c:v>0.20657559366959055</c:v>
                </c:pt>
                <c:pt idx="37">
                  <c:v>0.20499999999999999</c:v>
                </c:pt>
                <c:pt idx="38">
                  <c:v>0.20378569933953736</c:v>
                </c:pt>
                <c:pt idx="39">
                  <c:v>0.20257859148928936</c:v>
                </c:pt>
                <c:pt idx="40">
                  <c:v>0.20137863384323554</c:v>
                </c:pt>
                <c:pt idx="41">
                  <c:v>0.20018578404772872</c:v>
                </c:pt>
                <c:pt idx="42">
                  <c:v>0.19900000000000001</c:v>
                </c:pt>
                <c:pt idx="43">
                  <c:v>0.19778526017119838</c:v>
                </c:pt>
                <c:pt idx="44">
                  <c:v>0.19657793538185242</c:v>
                </c:pt>
                <c:pt idx="45">
                  <c:v>0.19537798036892817</c:v>
                </c:pt>
                <c:pt idx="46">
                  <c:v>0.19418535014568716</c:v>
                </c:pt>
                <c:pt idx="47">
                  <c:v>0.193</c:v>
                </c:pt>
                <c:pt idx="48">
                  <c:v>0.19178479317319164</c:v>
                </c:pt>
                <c:pt idx="49">
                  <c:v>0.19057723778489064</c:v>
                </c:pt>
                <c:pt idx="50">
                  <c:v>0.18937728565851508</c:v>
                </c:pt>
                <c:pt idx="51">
                  <c:v>0.18818488892082252</c:v>
                </c:pt>
                <c:pt idx="52">
                  <c:v>0.187</c:v>
                </c:pt>
              </c:numCache>
            </c:numRef>
          </c:val>
          <c:smooth val="0"/>
        </c:ser>
        <c:ser>
          <c:idx val="5"/>
          <c:order val="4"/>
          <c:tx>
            <c:strRef>
              <c:f>WillMartinModel!$D$94</c:f>
              <c:strCache>
                <c:ptCount val="1"/>
                <c:pt idx="0">
                  <c:v>Solar LCOE Price for Calculation</c:v>
                </c:pt>
              </c:strCache>
            </c:strRef>
          </c:tx>
          <c:spPr>
            <a:ln w="57150" cap="rnd">
              <a:solidFill>
                <a:schemeClr val="tx1"/>
              </a:solidFill>
              <a:prstDash val="sysDot"/>
              <a:round/>
            </a:ln>
            <a:effectLst/>
          </c:spPr>
          <c:marker>
            <c:symbol val="none"/>
          </c:marker>
          <c:cat>
            <c:numRef>
              <c:f>WillMartinModel!$H$89:$BH$89</c:f>
              <c:numCache>
                <c:formatCode>0</c:formatCode>
                <c:ptCount val="53"/>
                <c:pt idx="0">
                  <c:v>1998</c:v>
                </c:pt>
                <c:pt idx="1">
                  <c:v>1999</c:v>
                </c:pt>
                <c:pt idx="2">
                  <c:v>2000</c:v>
                </c:pt>
                <c:pt idx="3">
                  <c:v>2001</c:v>
                </c:pt>
                <c:pt idx="4">
                  <c:v>2002</c:v>
                </c:pt>
                <c:pt idx="5">
                  <c:v>2003</c:v>
                </c:pt>
                <c:pt idx="6">
                  <c:v>2004</c:v>
                </c:pt>
                <c:pt idx="7">
                  <c:v>2005</c:v>
                </c:pt>
                <c:pt idx="8">
                  <c:v>2006</c:v>
                </c:pt>
                <c:pt idx="9">
                  <c:v>2007</c:v>
                </c:pt>
                <c:pt idx="10">
                  <c:v>2008</c:v>
                </c:pt>
                <c:pt idx="11">
                  <c:v>2009</c:v>
                </c:pt>
                <c:pt idx="12">
                  <c:v>2010</c:v>
                </c:pt>
                <c:pt idx="13">
                  <c:v>2011</c:v>
                </c:pt>
                <c:pt idx="14">
                  <c:v>2012</c:v>
                </c:pt>
                <c:pt idx="15">
                  <c:v>2013</c:v>
                </c:pt>
                <c:pt idx="16">
                  <c:v>2014</c:v>
                </c:pt>
                <c:pt idx="17">
                  <c:v>2015</c:v>
                </c:pt>
                <c:pt idx="18">
                  <c:v>2016</c:v>
                </c:pt>
                <c:pt idx="19">
                  <c:v>2017</c:v>
                </c:pt>
                <c:pt idx="20">
                  <c:v>2018</c:v>
                </c:pt>
                <c:pt idx="21">
                  <c:v>2019</c:v>
                </c:pt>
                <c:pt idx="22">
                  <c:v>2020</c:v>
                </c:pt>
                <c:pt idx="23">
                  <c:v>2021</c:v>
                </c:pt>
                <c:pt idx="24">
                  <c:v>2022</c:v>
                </c:pt>
                <c:pt idx="25">
                  <c:v>2023</c:v>
                </c:pt>
                <c:pt idx="26">
                  <c:v>2024</c:v>
                </c:pt>
                <c:pt idx="27">
                  <c:v>2025</c:v>
                </c:pt>
                <c:pt idx="28">
                  <c:v>2026</c:v>
                </c:pt>
                <c:pt idx="29">
                  <c:v>2027</c:v>
                </c:pt>
                <c:pt idx="30">
                  <c:v>2028</c:v>
                </c:pt>
                <c:pt idx="31">
                  <c:v>2029</c:v>
                </c:pt>
                <c:pt idx="32">
                  <c:v>2030</c:v>
                </c:pt>
                <c:pt idx="33">
                  <c:v>2031</c:v>
                </c:pt>
                <c:pt idx="34">
                  <c:v>2032</c:v>
                </c:pt>
                <c:pt idx="35">
                  <c:v>2033</c:v>
                </c:pt>
                <c:pt idx="36">
                  <c:v>2034</c:v>
                </c:pt>
                <c:pt idx="37">
                  <c:v>2035</c:v>
                </c:pt>
                <c:pt idx="38">
                  <c:v>2036</c:v>
                </c:pt>
                <c:pt idx="39">
                  <c:v>2037</c:v>
                </c:pt>
                <c:pt idx="40">
                  <c:v>2038</c:v>
                </c:pt>
                <c:pt idx="41">
                  <c:v>2039</c:v>
                </c:pt>
                <c:pt idx="42">
                  <c:v>2040</c:v>
                </c:pt>
                <c:pt idx="43">
                  <c:v>2041</c:v>
                </c:pt>
                <c:pt idx="44">
                  <c:v>2042</c:v>
                </c:pt>
                <c:pt idx="45">
                  <c:v>2043</c:v>
                </c:pt>
                <c:pt idx="46">
                  <c:v>2044</c:v>
                </c:pt>
                <c:pt idx="47">
                  <c:v>2045</c:v>
                </c:pt>
                <c:pt idx="48">
                  <c:v>2046</c:v>
                </c:pt>
                <c:pt idx="49">
                  <c:v>2047</c:v>
                </c:pt>
                <c:pt idx="50">
                  <c:v>2048</c:v>
                </c:pt>
                <c:pt idx="51">
                  <c:v>2049</c:v>
                </c:pt>
                <c:pt idx="52">
                  <c:v>2050</c:v>
                </c:pt>
              </c:numCache>
            </c:numRef>
          </c:cat>
          <c:val>
            <c:numRef>
              <c:f>WillMartinModel!$H$94:$BH$94</c:f>
              <c:numCache>
                <c:formatCode>_("$"* #,##0.00_);_("$"* \(#,##0.00\);_("$"* "-"??_);_(@_)</c:formatCode>
                <c:ptCount val="53"/>
                <c:pt idx="0">
                  <c:v>0.79700000000000004</c:v>
                </c:pt>
                <c:pt idx="1">
                  <c:v>0.80600000000000005</c:v>
                </c:pt>
                <c:pt idx="2">
                  <c:v>0.751</c:v>
                </c:pt>
                <c:pt idx="3">
                  <c:v>0.70899999999999996</c:v>
                </c:pt>
                <c:pt idx="4">
                  <c:v>0.71099999999999997</c:v>
                </c:pt>
                <c:pt idx="5">
                  <c:v>0.63800000000000001</c:v>
                </c:pt>
                <c:pt idx="6">
                  <c:v>0.59599999999999997</c:v>
                </c:pt>
                <c:pt idx="7">
                  <c:v>0.57299999999999995</c:v>
                </c:pt>
                <c:pt idx="8">
                  <c:v>0.56599999999999995</c:v>
                </c:pt>
                <c:pt idx="9">
                  <c:v>0.58299999999999996</c:v>
                </c:pt>
                <c:pt idx="10">
                  <c:v>0.56299999999999994</c:v>
                </c:pt>
                <c:pt idx="11">
                  <c:v>0.54200000000000004</c:v>
                </c:pt>
                <c:pt idx="12">
                  <c:v>0.45400000000000001</c:v>
                </c:pt>
                <c:pt idx="13">
                  <c:v>0.39600000000000002</c:v>
                </c:pt>
                <c:pt idx="14">
                  <c:v>0.34599999999999997</c:v>
                </c:pt>
                <c:pt idx="15">
                  <c:v>0.29899999999999999</c:v>
                </c:pt>
                <c:pt idx="16">
                  <c:v>0.30299999999999999</c:v>
                </c:pt>
                <c:pt idx="17">
                  <c:v>0.29949999999999999</c:v>
                </c:pt>
                <c:pt idx="18">
                  <c:v>0.28666666666666668</c:v>
                </c:pt>
                <c:pt idx="19">
                  <c:v>0.27493338390253591</c:v>
                </c:pt>
                <c:pt idx="20">
                  <c:v>0.26796898665604169</c:v>
                </c:pt>
                <c:pt idx="21">
                  <c:v>0.26043673435500442</c:v>
                </c:pt>
                <c:pt idx="22">
                  <c:v>0.253</c:v>
                </c:pt>
                <c:pt idx="23">
                  <c:v>0.24709578705974442</c:v>
                </c:pt>
                <c:pt idx="24">
                  <c:v>0.24021063869350465</c:v>
                </c:pt>
                <c:pt idx="25">
                  <c:v>0.23367759454217593</c:v>
                </c:pt>
                <c:pt idx="26">
                  <c:v>0.22749636543769336</c:v>
                </c:pt>
                <c:pt idx="27">
                  <c:v>0.22166666666666668</c:v>
                </c:pt>
                <c:pt idx="28">
                  <c:v>0.21632104298638555</c:v>
                </c:pt>
                <c:pt idx="29">
                  <c:v>0.21131495419943327</c:v>
                </c:pt>
                <c:pt idx="30">
                  <c:v>0.20598167699439904</c:v>
                </c:pt>
                <c:pt idx="31">
                  <c:v>0.20132115524392882</c:v>
                </c:pt>
                <c:pt idx="32">
                  <c:v>0.19633333333333333</c:v>
                </c:pt>
                <c:pt idx="33">
                  <c:v>0.20018770304453398</c:v>
                </c:pt>
                <c:pt idx="34">
                  <c:v>0.19638160164159249</c:v>
                </c:pt>
                <c:pt idx="35">
                  <c:v>0.19258164853644821</c:v>
                </c:pt>
                <c:pt idx="36">
                  <c:v>0.1882877968347953</c:v>
                </c:pt>
                <c:pt idx="37">
                  <c:v>0.1825</c:v>
                </c:pt>
                <c:pt idx="38">
                  <c:v>0.20378569933953736</c:v>
                </c:pt>
                <c:pt idx="39">
                  <c:v>0.20257859148928936</c:v>
                </c:pt>
                <c:pt idx="40">
                  <c:v>0.20137863384323554</c:v>
                </c:pt>
                <c:pt idx="41">
                  <c:v>0.20018578404772872</c:v>
                </c:pt>
                <c:pt idx="42">
                  <c:v>0.19900000000000001</c:v>
                </c:pt>
                <c:pt idx="43">
                  <c:v>0.19778526017119838</c:v>
                </c:pt>
                <c:pt idx="44">
                  <c:v>0.19657793538185242</c:v>
                </c:pt>
                <c:pt idx="45">
                  <c:v>0.19537798036892817</c:v>
                </c:pt>
                <c:pt idx="46">
                  <c:v>0.19418535014568716</c:v>
                </c:pt>
                <c:pt idx="47">
                  <c:v>0.193</c:v>
                </c:pt>
                <c:pt idx="48">
                  <c:v>0.19178479317319164</c:v>
                </c:pt>
                <c:pt idx="49">
                  <c:v>0.19057723778489064</c:v>
                </c:pt>
                <c:pt idx="50">
                  <c:v>0.18937728565851508</c:v>
                </c:pt>
                <c:pt idx="51">
                  <c:v>0.18818488892082252</c:v>
                </c:pt>
                <c:pt idx="52">
                  <c:v>0.187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59343280"/>
        <c:axId val="418393200"/>
      </c:lineChart>
      <c:catAx>
        <c:axId val="259343280"/>
        <c:scaling>
          <c:orientation val="minMax"/>
        </c:scaling>
        <c:delete val="0"/>
        <c:axPos val="b"/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6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ahoma" panose="020B0604030504040204" pitchFamily="34" charset="0"/>
                <a:ea typeface="Tahoma" panose="020B0604030504040204" pitchFamily="34" charset="0"/>
                <a:cs typeface="Tahoma" panose="020B0604030504040204" pitchFamily="34" charset="0"/>
              </a:defRPr>
            </a:pPr>
            <a:endParaRPr lang="en-US"/>
          </a:p>
        </c:txPr>
        <c:crossAx val="418393200"/>
        <c:crosses val="autoZero"/>
        <c:auto val="1"/>
        <c:lblAlgn val="ctr"/>
        <c:lblOffset val="100"/>
        <c:noMultiLvlLbl val="0"/>
      </c:catAx>
      <c:valAx>
        <c:axId val="418393200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6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Tahoma" panose="020B0604030504040204" pitchFamily="34" charset="0"/>
                    <a:ea typeface="Tahoma" panose="020B0604030504040204" pitchFamily="34" charset="0"/>
                    <a:cs typeface="Tahoma" panose="020B0604030504040204" pitchFamily="34" charset="0"/>
                  </a:defRPr>
                </a:pPr>
                <a:r>
                  <a:rPr lang="en-US"/>
                  <a:t>$/kWh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6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Tahoma" panose="020B0604030504040204" pitchFamily="34" charset="0"/>
                  <a:ea typeface="Tahoma" panose="020B0604030504040204" pitchFamily="34" charset="0"/>
                  <a:cs typeface="Tahoma" panose="020B0604030504040204" pitchFamily="34" charset="0"/>
                </a:defRPr>
              </a:pPr>
              <a:endParaRPr lang="en-US"/>
            </a:p>
          </c:txPr>
        </c:title>
        <c:numFmt formatCode="_(&quot;$&quot;* #,##0.00_);_(&quot;$&quot;* \(#,##0.00\);_(&quot;$&quot;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6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ahoma" panose="020B0604030504040204" pitchFamily="34" charset="0"/>
                <a:ea typeface="Tahoma" panose="020B0604030504040204" pitchFamily="34" charset="0"/>
                <a:cs typeface="Tahoma" panose="020B0604030504040204" pitchFamily="34" charset="0"/>
              </a:defRPr>
            </a:pPr>
            <a:endParaRPr lang="en-US"/>
          </a:p>
        </c:txPr>
        <c:crossAx val="25934328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600">
          <a:latin typeface="Tahoma" panose="020B0604030504040204" pitchFamily="34" charset="0"/>
          <a:ea typeface="Tahoma" panose="020B0604030504040204" pitchFamily="34" charset="0"/>
          <a:cs typeface="Tahoma" panose="020B0604030504040204" pitchFamily="34" charset="0"/>
        </a:defRPr>
      </a:pPr>
      <a:endParaRPr lang="en-US"/>
    </a:p>
  </c:txPr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WillMartinModel!$D$95</c:f>
              <c:strCache>
                <c:ptCount val="1"/>
                <c:pt idx="0">
                  <c:v>Historic Average US Gasoline Price</c:v>
                </c:pt>
              </c:strCache>
            </c:strRef>
          </c:tx>
          <c:spPr>
            <a:ln w="571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WillMartinModel!$H$89:$BH$89</c:f>
              <c:numCache>
                <c:formatCode>0</c:formatCode>
                <c:ptCount val="53"/>
                <c:pt idx="0">
                  <c:v>1998</c:v>
                </c:pt>
                <c:pt idx="1">
                  <c:v>1999</c:v>
                </c:pt>
                <c:pt idx="2">
                  <c:v>2000</c:v>
                </c:pt>
                <c:pt idx="3">
                  <c:v>2001</c:v>
                </c:pt>
                <c:pt idx="4">
                  <c:v>2002</c:v>
                </c:pt>
                <c:pt idx="5">
                  <c:v>2003</c:v>
                </c:pt>
                <c:pt idx="6">
                  <c:v>2004</c:v>
                </c:pt>
                <c:pt idx="7">
                  <c:v>2005</c:v>
                </c:pt>
                <c:pt idx="8">
                  <c:v>2006</c:v>
                </c:pt>
                <c:pt idx="9">
                  <c:v>2007</c:v>
                </c:pt>
                <c:pt idx="10">
                  <c:v>2008</c:v>
                </c:pt>
                <c:pt idx="11">
                  <c:v>2009</c:v>
                </c:pt>
                <c:pt idx="12">
                  <c:v>2010</c:v>
                </c:pt>
                <c:pt idx="13">
                  <c:v>2011</c:v>
                </c:pt>
                <c:pt idx="14">
                  <c:v>2012</c:v>
                </c:pt>
                <c:pt idx="15">
                  <c:v>2013</c:v>
                </c:pt>
                <c:pt idx="16">
                  <c:v>2014</c:v>
                </c:pt>
                <c:pt idx="17">
                  <c:v>2015</c:v>
                </c:pt>
                <c:pt idx="18">
                  <c:v>2016</c:v>
                </c:pt>
                <c:pt idx="19">
                  <c:v>2017</c:v>
                </c:pt>
                <c:pt idx="20">
                  <c:v>2018</c:v>
                </c:pt>
                <c:pt idx="21">
                  <c:v>2019</c:v>
                </c:pt>
                <c:pt idx="22">
                  <c:v>2020</c:v>
                </c:pt>
                <c:pt idx="23">
                  <c:v>2021</c:v>
                </c:pt>
                <c:pt idx="24">
                  <c:v>2022</c:v>
                </c:pt>
                <c:pt idx="25">
                  <c:v>2023</c:v>
                </c:pt>
                <c:pt idx="26">
                  <c:v>2024</c:v>
                </c:pt>
                <c:pt idx="27">
                  <c:v>2025</c:v>
                </c:pt>
                <c:pt idx="28">
                  <c:v>2026</c:v>
                </c:pt>
                <c:pt idx="29">
                  <c:v>2027</c:v>
                </c:pt>
                <c:pt idx="30">
                  <c:v>2028</c:v>
                </c:pt>
                <c:pt idx="31">
                  <c:v>2029</c:v>
                </c:pt>
                <c:pt idx="32">
                  <c:v>2030</c:v>
                </c:pt>
                <c:pt idx="33">
                  <c:v>2031</c:v>
                </c:pt>
                <c:pt idx="34">
                  <c:v>2032</c:v>
                </c:pt>
                <c:pt idx="35">
                  <c:v>2033</c:v>
                </c:pt>
                <c:pt idx="36">
                  <c:v>2034</c:v>
                </c:pt>
                <c:pt idx="37">
                  <c:v>2035</c:v>
                </c:pt>
                <c:pt idx="38">
                  <c:v>2036</c:v>
                </c:pt>
                <c:pt idx="39">
                  <c:v>2037</c:v>
                </c:pt>
                <c:pt idx="40">
                  <c:v>2038</c:v>
                </c:pt>
                <c:pt idx="41">
                  <c:v>2039</c:v>
                </c:pt>
                <c:pt idx="42">
                  <c:v>2040</c:v>
                </c:pt>
                <c:pt idx="43">
                  <c:v>2041</c:v>
                </c:pt>
                <c:pt idx="44">
                  <c:v>2042</c:v>
                </c:pt>
                <c:pt idx="45">
                  <c:v>2043</c:v>
                </c:pt>
                <c:pt idx="46">
                  <c:v>2044</c:v>
                </c:pt>
                <c:pt idx="47">
                  <c:v>2045</c:v>
                </c:pt>
                <c:pt idx="48">
                  <c:v>2046</c:v>
                </c:pt>
                <c:pt idx="49">
                  <c:v>2047</c:v>
                </c:pt>
                <c:pt idx="50">
                  <c:v>2048</c:v>
                </c:pt>
                <c:pt idx="51">
                  <c:v>2049</c:v>
                </c:pt>
                <c:pt idx="52">
                  <c:v>2050</c:v>
                </c:pt>
              </c:numCache>
            </c:numRef>
          </c:cat>
          <c:val>
            <c:numRef>
              <c:f>WillMartinModel!$H$95:$BH$95</c:f>
              <c:numCache>
                <c:formatCode>_("$"* #,##0.00_);_("$"* \(#,##0.00\);_("$"* "-"??_);_(@_)</c:formatCode>
                <c:ptCount val="53"/>
                <c:pt idx="0">
                  <c:v>1.0720000000000001</c:v>
                </c:pt>
                <c:pt idx="1">
                  <c:v>1.1759999999999999</c:v>
                </c:pt>
                <c:pt idx="2">
                  <c:v>1.5229999999999999</c:v>
                </c:pt>
                <c:pt idx="3">
                  <c:v>1.46</c:v>
                </c:pt>
                <c:pt idx="4">
                  <c:v>1.3859999999999999</c:v>
                </c:pt>
                <c:pt idx="5">
                  <c:v>1.603</c:v>
                </c:pt>
                <c:pt idx="6">
                  <c:v>1.895</c:v>
                </c:pt>
                <c:pt idx="7">
                  <c:v>2.3140000000000001</c:v>
                </c:pt>
                <c:pt idx="8">
                  <c:v>2.6179999999999999</c:v>
                </c:pt>
                <c:pt idx="9">
                  <c:v>2.843</c:v>
                </c:pt>
                <c:pt idx="10">
                  <c:v>3.2989999999999999</c:v>
                </c:pt>
                <c:pt idx="11">
                  <c:v>2.4060000000000001</c:v>
                </c:pt>
                <c:pt idx="12">
                  <c:v>2.835</c:v>
                </c:pt>
                <c:pt idx="13">
                  <c:v>3.5760000000000001</c:v>
                </c:pt>
                <c:pt idx="14">
                  <c:v>3.68</c:v>
                </c:pt>
                <c:pt idx="15">
                  <c:v>3.5750000000000002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WillMartinModel!$D$96</c:f>
              <c:strCache>
                <c:ptCount val="1"/>
                <c:pt idx="0">
                  <c:v>Forecast Gasoline Price Based on 5-Year CAGR</c:v>
                </c:pt>
              </c:strCache>
            </c:strRef>
          </c:tx>
          <c:spPr>
            <a:ln w="571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WillMartinModel!$H$89:$BH$89</c:f>
              <c:numCache>
                <c:formatCode>0</c:formatCode>
                <c:ptCount val="53"/>
                <c:pt idx="0">
                  <c:v>1998</c:v>
                </c:pt>
                <c:pt idx="1">
                  <c:v>1999</c:v>
                </c:pt>
                <c:pt idx="2">
                  <c:v>2000</c:v>
                </c:pt>
                <c:pt idx="3">
                  <c:v>2001</c:v>
                </c:pt>
                <c:pt idx="4">
                  <c:v>2002</c:v>
                </c:pt>
                <c:pt idx="5">
                  <c:v>2003</c:v>
                </c:pt>
                <c:pt idx="6">
                  <c:v>2004</c:v>
                </c:pt>
                <c:pt idx="7">
                  <c:v>2005</c:v>
                </c:pt>
                <c:pt idx="8">
                  <c:v>2006</c:v>
                </c:pt>
                <c:pt idx="9">
                  <c:v>2007</c:v>
                </c:pt>
                <c:pt idx="10">
                  <c:v>2008</c:v>
                </c:pt>
                <c:pt idx="11">
                  <c:v>2009</c:v>
                </c:pt>
                <c:pt idx="12">
                  <c:v>2010</c:v>
                </c:pt>
                <c:pt idx="13">
                  <c:v>2011</c:v>
                </c:pt>
                <c:pt idx="14">
                  <c:v>2012</c:v>
                </c:pt>
                <c:pt idx="15">
                  <c:v>2013</c:v>
                </c:pt>
                <c:pt idx="16">
                  <c:v>2014</c:v>
                </c:pt>
                <c:pt idx="17">
                  <c:v>2015</c:v>
                </c:pt>
                <c:pt idx="18">
                  <c:v>2016</c:v>
                </c:pt>
                <c:pt idx="19">
                  <c:v>2017</c:v>
                </c:pt>
                <c:pt idx="20">
                  <c:v>2018</c:v>
                </c:pt>
                <c:pt idx="21">
                  <c:v>2019</c:v>
                </c:pt>
                <c:pt idx="22">
                  <c:v>2020</c:v>
                </c:pt>
                <c:pt idx="23">
                  <c:v>2021</c:v>
                </c:pt>
                <c:pt idx="24">
                  <c:v>2022</c:v>
                </c:pt>
                <c:pt idx="25">
                  <c:v>2023</c:v>
                </c:pt>
                <c:pt idx="26">
                  <c:v>2024</c:v>
                </c:pt>
                <c:pt idx="27">
                  <c:v>2025</c:v>
                </c:pt>
                <c:pt idx="28">
                  <c:v>2026</c:v>
                </c:pt>
                <c:pt idx="29">
                  <c:v>2027</c:v>
                </c:pt>
                <c:pt idx="30">
                  <c:v>2028</c:v>
                </c:pt>
                <c:pt idx="31">
                  <c:v>2029</c:v>
                </c:pt>
                <c:pt idx="32">
                  <c:v>2030</c:v>
                </c:pt>
                <c:pt idx="33">
                  <c:v>2031</c:v>
                </c:pt>
                <c:pt idx="34">
                  <c:v>2032</c:v>
                </c:pt>
                <c:pt idx="35">
                  <c:v>2033</c:v>
                </c:pt>
                <c:pt idx="36">
                  <c:v>2034</c:v>
                </c:pt>
                <c:pt idx="37">
                  <c:v>2035</c:v>
                </c:pt>
                <c:pt idx="38">
                  <c:v>2036</c:v>
                </c:pt>
                <c:pt idx="39">
                  <c:v>2037</c:v>
                </c:pt>
                <c:pt idx="40">
                  <c:v>2038</c:v>
                </c:pt>
                <c:pt idx="41">
                  <c:v>2039</c:v>
                </c:pt>
                <c:pt idx="42">
                  <c:v>2040</c:v>
                </c:pt>
                <c:pt idx="43">
                  <c:v>2041</c:v>
                </c:pt>
                <c:pt idx="44">
                  <c:v>2042</c:v>
                </c:pt>
                <c:pt idx="45">
                  <c:v>2043</c:v>
                </c:pt>
                <c:pt idx="46">
                  <c:v>2044</c:v>
                </c:pt>
                <c:pt idx="47">
                  <c:v>2045</c:v>
                </c:pt>
                <c:pt idx="48">
                  <c:v>2046</c:v>
                </c:pt>
                <c:pt idx="49">
                  <c:v>2047</c:v>
                </c:pt>
                <c:pt idx="50">
                  <c:v>2048</c:v>
                </c:pt>
                <c:pt idx="51">
                  <c:v>2049</c:v>
                </c:pt>
                <c:pt idx="52">
                  <c:v>2050</c:v>
                </c:pt>
              </c:numCache>
            </c:numRef>
          </c:cat>
          <c:val>
            <c:numRef>
              <c:f>WillMartinModel!$H$96:$BH$96</c:f>
              <c:numCache>
                <c:formatCode>_("$"* #,##0.00_);_("$"* \(#,##0.00\);_("$"* "-"??_);_(@_)</c:formatCode>
                <c:ptCount val="53"/>
                <c:pt idx="16">
                  <c:v>3.6329112820854501</c:v>
                </c:pt>
                <c:pt idx="17">
                  <c:v>3.6917606667143352</c:v>
                </c:pt>
                <c:pt idx="18">
                  <c:v>3.7515633501722547</c:v>
                </c:pt>
                <c:pt idx="19">
                  <c:v>3.8123347749088312</c:v>
                </c:pt>
                <c:pt idx="20">
                  <c:v>3.8740906335253111</c:v>
                </c:pt>
                <c:pt idx="21">
                  <c:v>3.9368468728267612</c:v>
                </c:pt>
                <c:pt idx="22">
                  <c:v>4.0006196979399062</c:v>
                </c:pt>
                <c:pt idx="23">
                  <c:v>4.0654255764976703</c:v>
                </c:pt>
                <c:pt idx="24">
                  <c:v>4.1312812428915056</c:v>
                </c:pt>
                <c:pt idx="25">
                  <c:v>4.1982037025926013</c:v>
                </c:pt>
                <c:pt idx="26">
                  <c:v>4.2662102365430963</c:v>
                </c:pt>
                <c:pt idx="27">
                  <c:v>4.3353184056184197</c:v>
                </c:pt>
                <c:pt idx="28">
                  <c:v>4.4055460551619197</c:v>
                </c:pt>
                <c:pt idx="29">
                  <c:v>4.4769113195929471</c:v>
                </c:pt>
                <c:pt idx="30">
                  <c:v>4.5494326270895877</c:v>
                </c:pt>
                <c:pt idx="31">
                  <c:v>4.6231287043472475</c:v>
                </c:pt>
                <c:pt idx="32">
                  <c:v>4.6980185814143232</c:v>
                </c:pt>
                <c:pt idx="33">
                  <c:v>4.7741215966062027</c:v>
                </c:pt>
                <c:pt idx="34">
                  <c:v>4.8514574014988741</c:v>
                </c:pt>
                <c:pt idx="35">
                  <c:v>4.9300459660034184</c:v>
                </c:pt>
                <c:pt idx="36">
                  <c:v>5.0099075835227076</c:v>
                </c:pt>
                <c:pt idx="37">
                  <c:v>5.0910628761916357</c:v>
                </c:pt>
                <c:pt idx="38">
                  <c:v>5.1735328002022358</c:v>
                </c:pt>
                <c:pt idx="39">
                  <c:v>5.2573386512150577</c:v>
                </c:pt>
                <c:pt idx="40">
                  <c:v>5.342502069858206</c:v>
                </c:pt>
                <c:pt idx="41">
                  <c:v>5.4290450473154532</c:v>
                </c:pt>
                <c:pt idx="42">
                  <c:v>5.51698993100488</c:v>
                </c:pt>
                <c:pt idx="43">
                  <c:v>5.6063594303494986</c:v>
                </c:pt>
                <c:pt idx="44">
                  <c:v>5.6971766226413569</c:v>
                </c:pt>
                <c:pt idx="45">
                  <c:v>5.7894649590006342</c:v>
                </c:pt>
                <c:pt idx="46">
                  <c:v>5.8832482704312676</c:v>
                </c:pt>
                <c:pt idx="47">
                  <c:v>5.9785507739746748</c:v>
                </c:pt>
                <c:pt idx="48">
                  <c:v>6.0753970789631593</c:v>
                </c:pt>
                <c:pt idx="49">
                  <c:v>6.1738121933746148</c:v>
                </c:pt>
                <c:pt idx="50">
                  <c:v>6.2738215302901699</c:v>
                </c:pt>
                <c:pt idx="51">
                  <c:v>6.3754509144564366</c:v>
                </c:pt>
                <c:pt idx="52">
                  <c:v>6.4787265889540668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18393984"/>
        <c:axId val="418394376"/>
      </c:lineChart>
      <c:catAx>
        <c:axId val="418393984"/>
        <c:scaling>
          <c:orientation val="minMax"/>
        </c:scaling>
        <c:delete val="0"/>
        <c:axPos val="b"/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6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ahoma" panose="020B0604030504040204" pitchFamily="34" charset="0"/>
                <a:ea typeface="Tahoma" panose="020B0604030504040204" pitchFamily="34" charset="0"/>
                <a:cs typeface="Tahoma" panose="020B0604030504040204" pitchFamily="34" charset="0"/>
              </a:defRPr>
            </a:pPr>
            <a:endParaRPr lang="en-US"/>
          </a:p>
        </c:txPr>
        <c:crossAx val="418394376"/>
        <c:crosses val="autoZero"/>
        <c:auto val="1"/>
        <c:lblAlgn val="ctr"/>
        <c:lblOffset val="100"/>
        <c:noMultiLvlLbl val="0"/>
      </c:catAx>
      <c:valAx>
        <c:axId val="418394376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6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Tahoma" panose="020B0604030504040204" pitchFamily="34" charset="0"/>
                    <a:ea typeface="Tahoma" panose="020B0604030504040204" pitchFamily="34" charset="0"/>
                    <a:cs typeface="Tahoma" panose="020B0604030504040204" pitchFamily="34" charset="0"/>
                  </a:defRPr>
                </a:pPr>
                <a:r>
                  <a:rPr lang="en-US"/>
                  <a:t>$/Gallon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6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Tahoma" panose="020B0604030504040204" pitchFamily="34" charset="0"/>
                  <a:ea typeface="Tahoma" panose="020B0604030504040204" pitchFamily="34" charset="0"/>
                  <a:cs typeface="Tahoma" panose="020B0604030504040204" pitchFamily="34" charset="0"/>
                </a:defRPr>
              </a:pPr>
              <a:endParaRPr lang="en-US"/>
            </a:p>
          </c:txPr>
        </c:title>
        <c:numFmt formatCode="_(&quot;$&quot;* #,##0.00_);_(&quot;$&quot;* \(#,##0.00\);_(&quot;$&quot;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6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ahoma" panose="020B0604030504040204" pitchFamily="34" charset="0"/>
                <a:ea typeface="Tahoma" panose="020B0604030504040204" pitchFamily="34" charset="0"/>
                <a:cs typeface="Tahoma" panose="020B0604030504040204" pitchFamily="34" charset="0"/>
              </a:defRPr>
            </a:pPr>
            <a:endParaRPr lang="en-US"/>
          </a:p>
        </c:txPr>
        <c:crossAx val="41839398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600">
          <a:latin typeface="Tahoma" panose="020B0604030504040204" pitchFamily="34" charset="0"/>
          <a:ea typeface="Tahoma" panose="020B0604030504040204" pitchFamily="34" charset="0"/>
          <a:cs typeface="Tahoma" panose="020B0604030504040204" pitchFamily="34" charset="0"/>
        </a:defRPr>
      </a:pPr>
      <a:endParaRPr lang="en-US"/>
    </a:p>
  </c:txPr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WillMartinModel!$D$97</c:f>
              <c:strCache>
                <c:ptCount val="1"/>
                <c:pt idx="0">
                  <c:v>Gasoline Price</c:v>
                </c:pt>
              </c:strCache>
            </c:strRef>
          </c:tx>
          <c:spPr>
            <a:ln w="571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WillMartinModel!$H$89:$BH$89</c:f>
              <c:numCache>
                <c:formatCode>0</c:formatCode>
                <c:ptCount val="53"/>
                <c:pt idx="0">
                  <c:v>1998</c:v>
                </c:pt>
                <c:pt idx="1">
                  <c:v>1999</c:v>
                </c:pt>
                <c:pt idx="2">
                  <c:v>2000</c:v>
                </c:pt>
                <c:pt idx="3">
                  <c:v>2001</c:v>
                </c:pt>
                <c:pt idx="4">
                  <c:v>2002</c:v>
                </c:pt>
                <c:pt idx="5">
                  <c:v>2003</c:v>
                </c:pt>
                <c:pt idx="6">
                  <c:v>2004</c:v>
                </c:pt>
                <c:pt idx="7">
                  <c:v>2005</c:v>
                </c:pt>
                <c:pt idx="8">
                  <c:v>2006</c:v>
                </c:pt>
                <c:pt idx="9">
                  <c:v>2007</c:v>
                </c:pt>
                <c:pt idx="10">
                  <c:v>2008</c:v>
                </c:pt>
                <c:pt idx="11">
                  <c:v>2009</c:v>
                </c:pt>
                <c:pt idx="12">
                  <c:v>2010</c:v>
                </c:pt>
                <c:pt idx="13">
                  <c:v>2011</c:v>
                </c:pt>
                <c:pt idx="14">
                  <c:v>2012</c:v>
                </c:pt>
                <c:pt idx="15">
                  <c:v>2013</c:v>
                </c:pt>
                <c:pt idx="16">
                  <c:v>2014</c:v>
                </c:pt>
                <c:pt idx="17">
                  <c:v>2015</c:v>
                </c:pt>
                <c:pt idx="18">
                  <c:v>2016</c:v>
                </c:pt>
                <c:pt idx="19">
                  <c:v>2017</c:v>
                </c:pt>
                <c:pt idx="20">
                  <c:v>2018</c:v>
                </c:pt>
                <c:pt idx="21">
                  <c:v>2019</c:v>
                </c:pt>
                <c:pt idx="22">
                  <c:v>2020</c:v>
                </c:pt>
                <c:pt idx="23">
                  <c:v>2021</c:v>
                </c:pt>
                <c:pt idx="24">
                  <c:v>2022</c:v>
                </c:pt>
                <c:pt idx="25">
                  <c:v>2023</c:v>
                </c:pt>
                <c:pt idx="26">
                  <c:v>2024</c:v>
                </c:pt>
                <c:pt idx="27">
                  <c:v>2025</c:v>
                </c:pt>
                <c:pt idx="28">
                  <c:v>2026</c:v>
                </c:pt>
                <c:pt idx="29">
                  <c:v>2027</c:v>
                </c:pt>
                <c:pt idx="30">
                  <c:v>2028</c:v>
                </c:pt>
                <c:pt idx="31">
                  <c:v>2029</c:v>
                </c:pt>
                <c:pt idx="32">
                  <c:v>2030</c:v>
                </c:pt>
                <c:pt idx="33">
                  <c:v>2031</c:v>
                </c:pt>
                <c:pt idx="34">
                  <c:v>2032</c:v>
                </c:pt>
                <c:pt idx="35">
                  <c:v>2033</c:v>
                </c:pt>
                <c:pt idx="36">
                  <c:v>2034</c:v>
                </c:pt>
                <c:pt idx="37">
                  <c:v>2035</c:v>
                </c:pt>
                <c:pt idx="38">
                  <c:v>2036</c:v>
                </c:pt>
                <c:pt idx="39">
                  <c:v>2037</c:v>
                </c:pt>
                <c:pt idx="40">
                  <c:v>2038</c:v>
                </c:pt>
                <c:pt idx="41">
                  <c:v>2039</c:v>
                </c:pt>
                <c:pt idx="42">
                  <c:v>2040</c:v>
                </c:pt>
                <c:pt idx="43">
                  <c:v>2041</c:v>
                </c:pt>
                <c:pt idx="44">
                  <c:v>2042</c:v>
                </c:pt>
                <c:pt idx="45">
                  <c:v>2043</c:v>
                </c:pt>
                <c:pt idx="46">
                  <c:v>2044</c:v>
                </c:pt>
                <c:pt idx="47">
                  <c:v>2045</c:v>
                </c:pt>
                <c:pt idx="48">
                  <c:v>2046</c:v>
                </c:pt>
                <c:pt idx="49">
                  <c:v>2047</c:v>
                </c:pt>
                <c:pt idx="50">
                  <c:v>2048</c:v>
                </c:pt>
                <c:pt idx="51">
                  <c:v>2049</c:v>
                </c:pt>
                <c:pt idx="52">
                  <c:v>2050</c:v>
                </c:pt>
              </c:numCache>
            </c:numRef>
          </c:cat>
          <c:val>
            <c:numRef>
              <c:f>WillMartinModel!$H$97:$BH$97</c:f>
              <c:numCache>
                <c:formatCode>_("$"* #,##0.00_);_("$"* \(#,##0.00\);_("$"* "-"??_);_(@_)</c:formatCode>
                <c:ptCount val="53"/>
                <c:pt idx="0">
                  <c:v>1.0720000000000001</c:v>
                </c:pt>
                <c:pt idx="1">
                  <c:v>1.1759999999999999</c:v>
                </c:pt>
                <c:pt idx="2">
                  <c:v>1.5229999999999999</c:v>
                </c:pt>
                <c:pt idx="3">
                  <c:v>1.46</c:v>
                </c:pt>
                <c:pt idx="4">
                  <c:v>1.3859999999999999</c:v>
                </c:pt>
                <c:pt idx="5">
                  <c:v>1.603</c:v>
                </c:pt>
                <c:pt idx="6">
                  <c:v>1.895</c:v>
                </c:pt>
                <c:pt idx="7">
                  <c:v>2.3140000000000001</c:v>
                </c:pt>
                <c:pt idx="8">
                  <c:v>2.6179999999999999</c:v>
                </c:pt>
                <c:pt idx="9">
                  <c:v>2.843</c:v>
                </c:pt>
                <c:pt idx="10">
                  <c:v>3.2989999999999999</c:v>
                </c:pt>
                <c:pt idx="11">
                  <c:v>2.4060000000000001</c:v>
                </c:pt>
                <c:pt idx="12">
                  <c:v>2.835</c:v>
                </c:pt>
                <c:pt idx="13">
                  <c:v>3.5760000000000001</c:v>
                </c:pt>
                <c:pt idx="14">
                  <c:v>3.68</c:v>
                </c:pt>
                <c:pt idx="15">
                  <c:v>3.5750000000000002</c:v>
                </c:pt>
                <c:pt idx="16">
                  <c:v>3.6329112820854501</c:v>
                </c:pt>
                <c:pt idx="17">
                  <c:v>3.6917606667143352</c:v>
                </c:pt>
                <c:pt idx="18">
                  <c:v>3.7515633501722547</c:v>
                </c:pt>
                <c:pt idx="19">
                  <c:v>3.8123347749088312</c:v>
                </c:pt>
                <c:pt idx="20">
                  <c:v>3.8740906335253111</c:v>
                </c:pt>
                <c:pt idx="21">
                  <c:v>3.9368468728267612</c:v>
                </c:pt>
                <c:pt idx="22">
                  <c:v>4.0006196979399062</c:v>
                </c:pt>
                <c:pt idx="23">
                  <c:v>4.0654255764976703</c:v>
                </c:pt>
                <c:pt idx="24">
                  <c:v>4.1312812428915056</c:v>
                </c:pt>
                <c:pt idx="25">
                  <c:v>4.1982037025926013</c:v>
                </c:pt>
                <c:pt idx="26">
                  <c:v>4.2662102365430963</c:v>
                </c:pt>
                <c:pt idx="27">
                  <c:v>4.3353184056184197</c:v>
                </c:pt>
                <c:pt idx="28">
                  <c:v>4.4055460551619197</c:v>
                </c:pt>
                <c:pt idx="29">
                  <c:v>4.4769113195929471</c:v>
                </c:pt>
                <c:pt idx="30">
                  <c:v>4.5494326270895877</c:v>
                </c:pt>
                <c:pt idx="31">
                  <c:v>4.6231287043472475</c:v>
                </c:pt>
                <c:pt idx="32">
                  <c:v>4.6980185814143232</c:v>
                </c:pt>
                <c:pt idx="33">
                  <c:v>4.7741215966062027</c:v>
                </c:pt>
                <c:pt idx="34">
                  <c:v>4.8514574014988741</c:v>
                </c:pt>
                <c:pt idx="35">
                  <c:v>4.9300459660034184</c:v>
                </c:pt>
                <c:pt idx="36">
                  <c:v>5.0099075835227076</c:v>
                </c:pt>
                <c:pt idx="37">
                  <c:v>5.0910628761916357</c:v>
                </c:pt>
                <c:pt idx="38">
                  <c:v>5.1735328002022358</c:v>
                </c:pt>
                <c:pt idx="39">
                  <c:v>5.2573386512150577</c:v>
                </c:pt>
                <c:pt idx="40">
                  <c:v>5.342502069858206</c:v>
                </c:pt>
                <c:pt idx="41">
                  <c:v>5.4290450473154532</c:v>
                </c:pt>
                <c:pt idx="42">
                  <c:v>5.51698993100488</c:v>
                </c:pt>
                <c:pt idx="43">
                  <c:v>5.6063594303494986</c:v>
                </c:pt>
                <c:pt idx="44">
                  <c:v>5.6971766226413569</c:v>
                </c:pt>
                <c:pt idx="45">
                  <c:v>5.7894649590006342</c:v>
                </c:pt>
                <c:pt idx="46">
                  <c:v>5.8832482704312676</c:v>
                </c:pt>
                <c:pt idx="47">
                  <c:v>5.9785507739746748</c:v>
                </c:pt>
                <c:pt idx="48">
                  <c:v>6.0753970789631593</c:v>
                </c:pt>
                <c:pt idx="49">
                  <c:v>6.1738121933746148</c:v>
                </c:pt>
                <c:pt idx="50">
                  <c:v>6.2738215302901699</c:v>
                </c:pt>
                <c:pt idx="51">
                  <c:v>6.3754509144564366</c:v>
                </c:pt>
                <c:pt idx="52">
                  <c:v>6.4787265889540668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WillMartinModel!$D$98</c:f>
              <c:strCache>
                <c:ptCount val="1"/>
                <c:pt idx="0">
                  <c:v>Home Solar eGallon Price</c:v>
                </c:pt>
              </c:strCache>
            </c:strRef>
          </c:tx>
          <c:spPr>
            <a:ln w="571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WillMartinModel!$H$89:$BH$89</c:f>
              <c:numCache>
                <c:formatCode>0</c:formatCode>
                <c:ptCount val="53"/>
                <c:pt idx="0">
                  <c:v>1998</c:v>
                </c:pt>
                <c:pt idx="1">
                  <c:v>1999</c:v>
                </c:pt>
                <c:pt idx="2">
                  <c:v>2000</c:v>
                </c:pt>
                <c:pt idx="3">
                  <c:v>2001</c:v>
                </c:pt>
                <c:pt idx="4">
                  <c:v>2002</c:v>
                </c:pt>
                <c:pt idx="5">
                  <c:v>2003</c:v>
                </c:pt>
                <c:pt idx="6">
                  <c:v>2004</c:v>
                </c:pt>
                <c:pt idx="7">
                  <c:v>2005</c:v>
                </c:pt>
                <c:pt idx="8">
                  <c:v>2006</c:v>
                </c:pt>
                <c:pt idx="9">
                  <c:v>2007</c:v>
                </c:pt>
                <c:pt idx="10">
                  <c:v>2008</c:v>
                </c:pt>
                <c:pt idx="11">
                  <c:v>2009</c:v>
                </c:pt>
                <c:pt idx="12">
                  <c:v>2010</c:v>
                </c:pt>
                <c:pt idx="13">
                  <c:v>2011</c:v>
                </c:pt>
                <c:pt idx="14">
                  <c:v>2012</c:v>
                </c:pt>
                <c:pt idx="15">
                  <c:v>2013</c:v>
                </c:pt>
                <c:pt idx="16">
                  <c:v>2014</c:v>
                </c:pt>
                <c:pt idx="17">
                  <c:v>2015</c:v>
                </c:pt>
                <c:pt idx="18">
                  <c:v>2016</c:v>
                </c:pt>
                <c:pt idx="19">
                  <c:v>2017</c:v>
                </c:pt>
                <c:pt idx="20">
                  <c:v>2018</c:v>
                </c:pt>
                <c:pt idx="21">
                  <c:v>2019</c:v>
                </c:pt>
                <c:pt idx="22">
                  <c:v>2020</c:v>
                </c:pt>
                <c:pt idx="23">
                  <c:v>2021</c:v>
                </c:pt>
                <c:pt idx="24">
                  <c:v>2022</c:v>
                </c:pt>
                <c:pt idx="25">
                  <c:v>2023</c:v>
                </c:pt>
                <c:pt idx="26">
                  <c:v>2024</c:v>
                </c:pt>
                <c:pt idx="27">
                  <c:v>2025</c:v>
                </c:pt>
                <c:pt idx="28">
                  <c:v>2026</c:v>
                </c:pt>
                <c:pt idx="29">
                  <c:v>2027</c:v>
                </c:pt>
                <c:pt idx="30">
                  <c:v>2028</c:v>
                </c:pt>
                <c:pt idx="31">
                  <c:v>2029</c:v>
                </c:pt>
                <c:pt idx="32">
                  <c:v>2030</c:v>
                </c:pt>
                <c:pt idx="33">
                  <c:v>2031</c:v>
                </c:pt>
                <c:pt idx="34">
                  <c:v>2032</c:v>
                </c:pt>
                <c:pt idx="35">
                  <c:v>2033</c:v>
                </c:pt>
                <c:pt idx="36">
                  <c:v>2034</c:v>
                </c:pt>
                <c:pt idx="37">
                  <c:v>2035</c:v>
                </c:pt>
                <c:pt idx="38">
                  <c:v>2036</c:v>
                </c:pt>
                <c:pt idx="39">
                  <c:v>2037</c:v>
                </c:pt>
                <c:pt idx="40">
                  <c:v>2038</c:v>
                </c:pt>
                <c:pt idx="41">
                  <c:v>2039</c:v>
                </c:pt>
                <c:pt idx="42">
                  <c:v>2040</c:v>
                </c:pt>
                <c:pt idx="43">
                  <c:v>2041</c:v>
                </c:pt>
                <c:pt idx="44">
                  <c:v>2042</c:v>
                </c:pt>
                <c:pt idx="45">
                  <c:v>2043</c:v>
                </c:pt>
                <c:pt idx="46">
                  <c:v>2044</c:v>
                </c:pt>
                <c:pt idx="47">
                  <c:v>2045</c:v>
                </c:pt>
                <c:pt idx="48">
                  <c:v>2046</c:v>
                </c:pt>
                <c:pt idx="49">
                  <c:v>2047</c:v>
                </c:pt>
                <c:pt idx="50">
                  <c:v>2048</c:v>
                </c:pt>
                <c:pt idx="51">
                  <c:v>2049</c:v>
                </c:pt>
                <c:pt idx="52">
                  <c:v>2050</c:v>
                </c:pt>
              </c:numCache>
            </c:numRef>
          </c:cat>
          <c:val>
            <c:numRef>
              <c:f>WillMartinModel!$H$98:$BH$98</c:f>
              <c:numCache>
                <c:formatCode>_("$"* #,##0.00_);_("$"* \(#,##0.00\);_("$"* "-"??_);_(@_)</c:formatCode>
                <c:ptCount val="53"/>
                <c:pt idx="0">
                  <c:v>7.86639</c:v>
                </c:pt>
                <c:pt idx="1">
                  <c:v>7.9552199999999997</c:v>
                </c:pt>
                <c:pt idx="2">
                  <c:v>7.4123699999999992</c:v>
                </c:pt>
                <c:pt idx="3">
                  <c:v>6.9978299999999987</c:v>
                </c:pt>
                <c:pt idx="4">
                  <c:v>7.0175699999999992</c:v>
                </c:pt>
                <c:pt idx="5">
                  <c:v>6.2970599999999992</c:v>
                </c:pt>
                <c:pt idx="6">
                  <c:v>5.8825199999999995</c:v>
                </c:pt>
                <c:pt idx="7">
                  <c:v>5.6555099999999987</c:v>
                </c:pt>
                <c:pt idx="8">
                  <c:v>5.5864199999999986</c:v>
                </c:pt>
                <c:pt idx="9">
                  <c:v>5.7542099999999996</c:v>
                </c:pt>
                <c:pt idx="10">
                  <c:v>5.5568099999999987</c:v>
                </c:pt>
                <c:pt idx="11">
                  <c:v>5.3495400000000002</c:v>
                </c:pt>
                <c:pt idx="12">
                  <c:v>4.4809799999999997</c:v>
                </c:pt>
                <c:pt idx="13">
                  <c:v>3.9085199999999998</c:v>
                </c:pt>
                <c:pt idx="14">
                  <c:v>3.4150199999999993</c:v>
                </c:pt>
                <c:pt idx="15">
                  <c:v>2.9511299999999996</c:v>
                </c:pt>
                <c:pt idx="16">
                  <c:v>2.9906099999999998</c:v>
                </c:pt>
                <c:pt idx="17">
                  <c:v>2.9560649999999997</c:v>
                </c:pt>
                <c:pt idx="18">
                  <c:v>2.8293999999999997</c:v>
                </c:pt>
                <c:pt idx="19">
                  <c:v>2.7135924991180294</c:v>
                </c:pt>
                <c:pt idx="20">
                  <c:v>2.6448538982951311</c:v>
                </c:pt>
                <c:pt idx="21">
                  <c:v>2.5705105680838933</c:v>
                </c:pt>
                <c:pt idx="22">
                  <c:v>2.4971099999999997</c:v>
                </c:pt>
                <c:pt idx="23">
                  <c:v>2.4388354182796772</c:v>
                </c:pt>
                <c:pt idx="24">
                  <c:v>2.3708790039048906</c:v>
                </c:pt>
                <c:pt idx="25">
                  <c:v>2.3063978581312763</c:v>
                </c:pt>
                <c:pt idx="26">
                  <c:v>2.2453891268700334</c:v>
                </c:pt>
                <c:pt idx="27">
                  <c:v>2.1878500000000001</c:v>
                </c:pt>
                <c:pt idx="28">
                  <c:v>2.1350886942756251</c:v>
                </c:pt>
                <c:pt idx="29">
                  <c:v>2.085678597948406</c:v>
                </c:pt>
                <c:pt idx="30">
                  <c:v>2.0330391519347182</c:v>
                </c:pt>
                <c:pt idx="31">
                  <c:v>1.9870398022575773</c:v>
                </c:pt>
                <c:pt idx="32">
                  <c:v>1.9378099999999998</c:v>
                </c:pt>
                <c:pt idx="33">
                  <c:v>1.9758526290495502</c:v>
                </c:pt>
                <c:pt idx="34">
                  <c:v>1.9382864082025177</c:v>
                </c:pt>
                <c:pt idx="35">
                  <c:v>1.9007808710547438</c:v>
                </c:pt>
                <c:pt idx="36">
                  <c:v>1.8584005547594293</c:v>
                </c:pt>
                <c:pt idx="37">
                  <c:v>1.8012749999999997</c:v>
                </c:pt>
                <c:pt idx="38">
                  <c:v>2.0113648524812335</c:v>
                </c:pt>
                <c:pt idx="39">
                  <c:v>1.9994506979992859</c:v>
                </c:pt>
                <c:pt idx="40">
                  <c:v>1.9876071160327347</c:v>
                </c:pt>
                <c:pt idx="41">
                  <c:v>1.9758336885510823</c:v>
                </c:pt>
                <c:pt idx="42">
                  <c:v>1.9641299999999999</c:v>
                </c:pt>
                <c:pt idx="43">
                  <c:v>1.9521405178897278</c:v>
                </c:pt>
                <c:pt idx="44">
                  <c:v>1.9402242222188832</c:v>
                </c:pt>
                <c:pt idx="45">
                  <c:v>1.928380666241321</c:v>
                </c:pt>
                <c:pt idx="46">
                  <c:v>1.9166094059379322</c:v>
                </c:pt>
                <c:pt idx="47">
                  <c:v>1.9049099999999999</c:v>
                </c:pt>
                <c:pt idx="48">
                  <c:v>1.8929159086194014</c:v>
                </c:pt>
                <c:pt idx="49">
                  <c:v>1.8809973369368704</c:v>
                </c:pt>
                <c:pt idx="50">
                  <c:v>1.8691538094495437</c:v>
                </c:pt>
                <c:pt idx="51">
                  <c:v>1.8573848536485182</c:v>
                </c:pt>
                <c:pt idx="52">
                  <c:v>1.8456899999999998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18395160"/>
        <c:axId val="418395552"/>
      </c:lineChart>
      <c:catAx>
        <c:axId val="418395160"/>
        <c:scaling>
          <c:orientation val="minMax"/>
        </c:scaling>
        <c:delete val="0"/>
        <c:axPos val="b"/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6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ahoma" panose="020B0604030504040204" pitchFamily="34" charset="0"/>
                <a:ea typeface="Tahoma" panose="020B0604030504040204" pitchFamily="34" charset="0"/>
                <a:cs typeface="Tahoma" panose="020B0604030504040204" pitchFamily="34" charset="0"/>
              </a:defRPr>
            </a:pPr>
            <a:endParaRPr lang="en-US"/>
          </a:p>
        </c:txPr>
        <c:crossAx val="418395552"/>
        <c:crosses val="autoZero"/>
        <c:auto val="1"/>
        <c:lblAlgn val="ctr"/>
        <c:lblOffset val="100"/>
        <c:noMultiLvlLbl val="0"/>
      </c:catAx>
      <c:valAx>
        <c:axId val="418395552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6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Tahoma" panose="020B0604030504040204" pitchFamily="34" charset="0"/>
                    <a:ea typeface="Tahoma" panose="020B0604030504040204" pitchFamily="34" charset="0"/>
                    <a:cs typeface="Tahoma" panose="020B0604030504040204" pitchFamily="34" charset="0"/>
                  </a:defRPr>
                </a:pPr>
                <a:r>
                  <a:rPr lang="en-US"/>
                  <a:t>$/Gallon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6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Tahoma" panose="020B0604030504040204" pitchFamily="34" charset="0"/>
                  <a:ea typeface="Tahoma" panose="020B0604030504040204" pitchFamily="34" charset="0"/>
                  <a:cs typeface="Tahoma" panose="020B0604030504040204" pitchFamily="34" charset="0"/>
                </a:defRPr>
              </a:pPr>
              <a:endParaRPr lang="en-US"/>
            </a:p>
          </c:txPr>
        </c:title>
        <c:numFmt formatCode="_(&quot;$&quot;* #,##0.00_);_(&quot;$&quot;* \(#,##0.00\);_(&quot;$&quot;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6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ahoma" panose="020B0604030504040204" pitchFamily="34" charset="0"/>
                <a:ea typeface="Tahoma" panose="020B0604030504040204" pitchFamily="34" charset="0"/>
                <a:cs typeface="Tahoma" panose="020B0604030504040204" pitchFamily="34" charset="0"/>
              </a:defRPr>
            </a:pPr>
            <a:endParaRPr lang="en-US"/>
          </a:p>
        </c:txPr>
        <c:crossAx val="418395160"/>
        <c:crosses val="autoZero"/>
        <c:crossBetween val="between"/>
      </c:valAx>
      <c:spPr>
        <a:noFill/>
        <a:ln w="25400"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600">
          <a:latin typeface="Tahoma" panose="020B0604030504040204" pitchFamily="34" charset="0"/>
          <a:ea typeface="Tahoma" panose="020B0604030504040204" pitchFamily="34" charset="0"/>
          <a:cs typeface="Tahoma" panose="020B0604030504040204" pitchFamily="34" charset="0"/>
        </a:defRPr>
      </a:pPr>
      <a:endParaRPr lang="en-US"/>
    </a:p>
  </c:txPr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Electric Car Battery Cost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WillMartinModel!$D$99</c:f>
              <c:strCache>
                <c:ptCount val="1"/>
                <c:pt idx="0">
                  <c:v>Cost of Electric Vehicle Batteries (Reference Case)</c:v>
                </c:pt>
              </c:strCache>
            </c:strRef>
          </c:tx>
          <c:spPr>
            <a:ln w="57150"/>
          </c:spPr>
          <c:marker>
            <c:symbol val="none"/>
          </c:marker>
          <c:cat>
            <c:numRef>
              <c:f>WillMartinModel!$V$89:$AS$89</c:f>
              <c:numCache>
                <c:formatCode>0</c:formatCode>
                <c:ptCount val="24"/>
                <c:pt idx="0">
                  <c:v>2012</c:v>
                </c:pt>
                <c:pt idx="1">
                  <c:v>2013</c:v>
                </c:pt>
                <c:pt idx="2">
                  <c:v>2014</c:v>
                </c:pt>
                <c:pt idx="3">
                  <c:v>2015</c:v>
                </c:pt>
                <c:pt idx="4">
                  <c:v>2016</c:v>
                </c:pt>
                <c:pt idx="5">
                  <c:v>2017</c:v>
                </c:pt>
                <c:pt idx="6">
                  <c:v>2018</c:v>
                </c:pt>
                <c:pt idx="7">
                  <c:v>2019</c:v>
                </c:pt>
                <c:pt idx="8">
                  <c:v>2020</c:v>
                </c:pt>
                <c:pt idx="9">
                  <c:v>2021</c:v>
                </c:pt>
                <c:pt idx="10">
                  <c:v>2022</c:v>
                </c:pt>
                <c:pt idx="11">
                  <c:v>2023</c:v>
                </c:pt>
                <c:pt idx="12">
                  <c:v>2024</c:v>
                </c:pt>
                <c:pt idx="13">
                  <c:v>2025</c:v>
                </c:pt>
                <c:pt idx="14">
                  <c:v>2026</c:v>
                </c:pt>
                <c:pt idx="15">
                  <c:v>2027</c:v>
                </c:pt>
                <c:pt idx="16">
                  <c:v>2028</c:v>
                </c:pt>
                <c:pt idx="17">
                  <c:v>2029</c:v>
                </c:pt>
                <c:pt idx="18">
                  <c:v>2030</c:v>
                </c:pt>
                <c:pt idx="19">
                  <c:v>2031</c:v>
                </c:pt>
                <c:pt idx="20">
                  <c:v>2032</c:v>
                </c:pt>
                <c:pt idx="21">
                  <c:v>2033</c:v>
                </c:pt>
                <c:pt idx="22">
                  <c:v>2034</c:v>
                </c:pt>
                <c:pt idx="23">
                  <c:v>2035</c:v>
                </c:pt>
              </c:numCache>
            </c:numRef>
          </c:cat>
          <c:val>
            <c:numRef>
              <c:f>WillMartinModel!$V$99:$AS$99</c:f>
              <c:numCache>
                <c:formatCode>_("$"* #,##0_);_("$"* \(#,##0\);_("$"* "-"??_);_(@_)</c:formatCode>
                <c:ptCount val="24"/>
                <c:pt idx="0">
                  <c:v>1002.785948</c:v>
                </c:pt>
                <c:pt idx="1">
                  <c:v>893.23030310000001</c:v>
                </c:pt>
                <c:pt idx="2">
                  <c:v>742.05291810000006</c:v>
                </c:pt>
                <c:pt idx="3">
                  <c:v>684.51276629999995</c:v>
                </c:pt>
                <c:pt idx="4">
                  <c:v>640.38877709999997</c:v>
                </c:pt>
                <c:pt idx="5">
                  <c:v>601.54842689999998</c:v>
                </c:pt>
                <c:pt idx="6">
                  <c:v>570.93189010000003</c:v>
                </c:pt>
                <c:pt idx="7">
                  <c:v>543.40861380000001</c:v>
                </c:pt>
                <c:pt idx="8">
                  <c:v>517.08339279999996</c:v>
                </c:pt>
                <c:pt idx="9">
                  <c:v>497.10987239999997</c:v>
                </c:pt>
                <c:pt idx="10">
                  <c:v>477.95264650000001</c:v>
                </c:pt>
                <c:pt idx="11">
                  <c:v>460.5492635</c:v>
                </c:pt>
                <c:pt idx="12">
                  <c:v>443.9622104</c:v>
                </c:pt>
                <c:pt idx="13">
                  <c:v>427.79342600000001</c:v>
                </c:pt>
                <c:pt idx="14">
                  <c:v>412.09948250000002</c:v>
                </c:pt>
                <c:pt idx="15">
                  <c:v>396.86848850000001</c:v>
                </c:pt>
                <c:pt idx="16">
                  <c:v>382.05236050000002</c:v>
                </c:pt>
                <c:pt idx="17">
                  <c:v>367.65033510000001</c:v>
                </c:pt>
                <c:pt idx="18">
                  <c:v>353.65247959999999</c:v>
                </c:pt>
                <c:pt idx="19">
                  <c:v>341.7237293</c:v>
                </c:pt>
                <c:pt idx="20">
                  <c:v>330.03121709999999</c:v>
                </c:pt>
                <c:pt idx="21">
                  <c:v>318.58826579999999</c:v>
                </c:pt>
                <c:pt idx="22">
                  <c:v>307.37356469999997</c:v>
                </c:pt>
                <c:pt idx="23">
                  <c:v>303.32006510000002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64165656"/>
        <c:axId val="264166048"/>
      </c:lineChart>
      <c:catAx>
        <c:axId val="264165656"/>
        <c:scaling>
          <c:orientation val="minMax"/>
        </c:scaling>
        <c:delete val="0"/>
        <c:axPos val="b"/>
        <c:numFmt formatCode="0" sourceLinked="1"/>
        <c:majorTickMark val="out"/>
        <c:minorTickMark val="none"/>
        <c:tickLblPos val="nextTo"/>
        <c:crossAx val="264166048"/>
        <c:crosses val="autoZero"/>
        <c:auto val="1"/>
        <c:lblAlgn val="ctr"/>
        <c:lblOffset val="100"/>
        <c:noMultiLvlLbl val="0"/>
      </c:catAx>
      <c:valAx>
        <c:axId val="264166048"/>
        <c:scaling>
          <c:orientation val="minMax"/>
        </c:scaling>
        <c:delete val="0"/>
        <c:axPos val="l"/>
        <c:title>
          <c:tx>
            <c:strRef>
              <c:f>WillMartinModel!$G$99</c:f>
              <c:strCache>
                <c:ptCount val="1"/>
                <c:pt idx="0">
                  <c:v>$2010/kWh</c:v>
                </c:pt>
              </c:strCache>
            </c:strRef>
          </c:tx>
          <c:overlay val="0"/>
          <c:txPr>
            <a:bodyPr rot="-5400000" vert="horz"/>
            <a:lstStyle/>
            <a:p>
              <a:pPr>
                <a:defRPr b="0"/>
              </a:pPr>
              <a:endParaRPr lang="en-US"/>
            </a:p>
          </c:txPr>
        </c:title>
        <c:numFmt formatCode="_(&quot;$&quot;* #,##0_);_(&quot;$&quot;* \(#,##0\);_(&quot;$&quot;* &quot;-&quot;??_);_(@_)" sourceLinked="1"/>
        <c:majorTickMark val="out"/>
        <c:minorTickMark val="none"/>
        <c:tickLblPos val="nextTo"/>
        <c:crossAx val="264165656"/>
        <c:crosses val="autoZero"/>
        <c:crossBetween val="between"/>
      </c:valAx>
    </c:plotArea>
    <c:plotVisOnly val="1"/>
    <c:dispBlanksAs val="gap"/>
    <c:showDLblsOverMax val="0"/>
  </c:chart>
  <c:txPr>
    <a:bodyPr/>
    <a:lstStyle/>
    <a:p>
      <a:pPr>
        <a:defRPr sz="1600">
          <a:latin typeface="Tahoma" panose="020B0604030504040204" pitchFamily="34" charset="0"/>
          <a:ea typeface="Tahoma" panose="020B0604030504040204" pitchFamily="34" charset="0"/>
          <a:cs typeface="Tahoma" panose="020B0604030504040204" pitchFamily="34" charset="0"/>
        </a:defRPr>
      </a:pPr>
      <a:endParaRPr lang="en-US"/>
    </a:p>
  </c:txPr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areaChart>
        <c:grouping val="stacked"/>
        <c:varyColors val="0"/>
        <c:ser>
          <c:idx val="0"/>
          <c:order val="0"/>
          <c:tx>
            <c:strRef>
              <c:f>WillMartinModel!$D$104</c:f>
              <c:strCache>
                <c:ptCount val="1"/>
                <c:pt idx="0">
                  <c:v>Depreciation, Financing &amp; Opportunity Cost</c:v>
                </c:pt>
              </c:strCache>
            </c:strRef>
          </c:tx>
          <c:cat>
            <c:numRef>
              <c:f>WillMartinModel!$Y$103:$BD$103</c:f>
              <c:numCache>
                <c:formatCode>0</c:formatCode>
                <c:ptCount val="32"/>
                <c:pt idx="0">
                  <c:v>2015</c:v>
                </c:pt>
                <c:pt idx="1">
                  <c:v>2016</c:v>
                </c:pt>
                <c:pt idx="2">
                  <c:v>2017</c:v>
                </c:pt>
                <c:pt idx="3">
                  <c:v>2018</c:v>
                </c:pt>
                <c:pt idx="4">
                  <c:v>2019</c:v>
                </c:pt>
                <c:pt idx="5">
                  <c:v>2020</c:v>
                </c:pt>
                <c:pt idx="6">
                  <c:v>2021</c:v>
                </c:pt>
                <c:pt idx="7">
                  <c:v>2022</c:v>
                </c:pt>
                <c:pt idx="8">
                  <c:v>2023</c:v>
                </c:pt>
                <c:pt idx="9">
                  <c:v>2024</c:v>
                </c:pt>
                <c:pt idx="10">
                  <c:v>2025</c:v>
                </c:pt>
                <c:pt idx="11">
                  <c:v>2026</c:v>
                </c:pt>
                <c:pt idx="12">
                  <c:v>2027</c:v>
                </c:pt>
                <c:pt idx="13">
                  <c:v>2028</c:v>
                </c:pt>
                <c:pt idx="14">
                  <c:v>2029</c:v>
                </c:pt>
                <c:pt idx="15">
                  <c:v>2030</c:v>
                </c:pt>
                <c:pt idx="16">
                  <c:v>2031</c:v>
                </c:pt>
                <c:pt idx="17">
                  <c:v>2032</c:v>
                </c:pt>
                <c:pt idx="18">
                  <c:v>2033</c:v>
                </c:pt>
                <c:pt idx="19">
                  <c:v>2034</c:v>
                </c:pt>
                <c:pt idx="20">
                  <c:v>2035</c:v>
                </c:pt>
                <c:pt idx="21">
                  <c:v>2036</c:v>
                </c:pt>
                <c:pt idx="22">
                  <c:v>2037</c:v>
                </c:pt>
                <c:pt idx="23">
                  <c:v>2038</c:v>
                </c:pt>
                <c:pt idx="24">
                  <c:v>2039</c:v>
                </c:pt>
                <c:pt idx="25">
                  <c:v>2040</c:v>
                </c:pt>
                <c:pt idx="26">
                  <c:v>2041</c:v>
                </c:pt>
                <c:pt idx="27">
                  <c:v>2042</c:v>
                </c:pt>
                <c:pt idx="28">
                  <c:v>2043</c:v>
                </c:pt>
                <c:pt idx="29">
                  <c:v>2044</c:v>
                </c:pt>
                <c:pt idx="30">
                  <c:v>2045</c:v>
                </c:pt>
                <c:pt idx="31">
                  <c:v>2046</c:v>
                </c:pt>
              </c:numCache>
            </c:numRef>
          </c:cat>
          <c:val>
            <c:numRef>
              <c:f>WillMartinModel!$Y$104:$BD$104</c:f>
              <c:numCache>
                <c:formatCode>_("$"* #,##0_);_("$"* \(#,##0\);_("$"* "-"??_);_(@_)</c:formatCode>
                <c:ptCount val="32"/>
                <c:pt idx="0">
                  <c:v>8690.0059960619037</c:v>
                </c:pt>
                <c:pt idx="1">
                  <c:v>8690.0059960619037</c:v>
                </c:pt>
                <c:pt idx="2">
                  <c:v>8690.0059960619037</c:v>
                </c:pt>
                <c:pt idx="3">
                  <c:v>8690.0059960619037</c:v>
                </c:pt>
                <c:pt idx="4">
                  <c:v>8690.0059960619037</c:v>
                </c:pt>
                <c:pt idx="5">
                  <c:v>8690.0059960619037</c:v>
                </c:pt>
                <c:pt idx="6">
                  <c:v>8690.0059960619037</c:v>
                </c:pt>
                <c:pt idx="7">
                  <c:v>8690.0059960619037</c:v>
                </c:pt>
                <c:pt idx="8">
                  <c:v>8690.0059960619037</c:v>
                </c:pt>
                <c:pt idx="9">
                  <c:v>8690.0059960619037</c:v>
                </c:pt>
                <c:pt idx="10">
                  <c:v>8690.0059960619037</c:v>
                </c:pt>
                <c:pt idx="11">
                  <c:v>8690.0059960619037</c:v>
                </c:pt>
                <c:pt idx="12">
                  <c:v>8690.0059960619037</c:v>
                </c:pt>
                <c:pt idx="13">
                  <c:v>8690.0059960619037</c:v>
                </c:pt>
                <c:pt idx="14">
                  <c:v>8690.0059960619037</c:v>
                </c:pt>
                <c:pt idx="15">
                  <c:v>8690.0059960619037</c:v>
                </c:pt>
                <c:pt idx="16">
                  <c:v>8690.0059960619037</c:v>
                </c:pt>
                <c:pt idx="17">
                  <c:v>8690.0059960619037</c:v>
                </c:pt>
                <c:pt idx="18">
                  <c:v>8690.0059960619037</c:v>
                </c:pt>
                <c:pt idx="19">
                  <c:v>8690.0059960619037</c:v>
                </c:pt>
                <c:pt idx="20">
                  <c:v>8690.0059960619037</c:v>
                </c:pt>
                <c:pt idx="21">
                  <c:v>8690.0059960619037</c:v>
                </c:pt>
                <c:pt idx="22">
                  <c:v>8690.0059960619037</c:v>
                </c:pt>
                <c:pt idx="23">
                  <c:v>8690.0059960619037</c:v>
                </c:pt>
                <c:pt idx="24">
                  <c:v>8690.0059960619037</c:v>
                </c:pt>
                <c:pt idx="25">
                  <c:v>8690.0059960619037</c:v>
                </c:pt>
                <c:pt idx="26">
                  <c:v>8690.0059960619037</c:v>
                </c:pt>
                <c:pt idx="27">
                  <c:v>8690.0059960619037</c:v>
                </c:pt>
                <c:pt idx="28">
                  <c:v>8690.0059960619037</c:v>
                </c:pt>
                <c:pt idx="29">
                  <c:v>8690.0059960619037</c:v>
                </c:pt>
                <c:pt idx="30">
                  <c:v>8690.0059960619037</c:v>
                </c:pt>
                <c:pt idx="31">
                  <c:v>8690.0059960619037</c:v>
                </c:pt>
              </c:numCache>
            </c:numRef>
          </c:val>
        </c:ser>
        <c:ser>
          <c:idx val="1"/>
          <c:order val="1"/>
          <c:tx>
            <c:strRef>
              <c:f>WillMartinModel!$D$105</c:f>
              <c:strCache>
                <c:ptCount val="1"/>
                <c:pt idx="0">
                  <c:v>Taxes &amp; Fees</c:v>
                </c:pt>
              </c:strCache>
            </c:strRef>
          </c:tx>
          <c:cat>
            <c:numRef>
              <c:f>WillMartinModel!$Y$103:$BD$103</c:f>
              <c:numCache>
                <c:formatCode>0</c:formatCode>
                <c:ptCount val="32"/>
                <c:pt idx="0">
                  <c:v>2015</c:v>
                </c:pt>
                <c:pt idx="1">
                  <c:v>2016</c:v>
                </c:pt>
                <c:pt idx="2">
                  <c:v>2017</c:v>
                </c:pt>
                <c:pt idx="3">
                  <c:v>2018</c:v>
                </c:pt>
                <c:pt idx="4">
                  <c:v>2019</c:v>
                </c:pt>
                <c:pt idx="5">
                  <c:v>2020</c:v>
                </c:pt>
                <c:pt idx="6">
                  <c:v>2021</c:v>
                </c:pt>
                <c:pt idx="7">
                  <c:v>2022</c:v>
                </c:pt>
                <c:pt idx="8">
                  <c:v>2023</c:v>
                </c:pt>
                <c:pt idx="9">
                  <c:v>2024</c:v>
                </c:pt>
                <c:pt idx="10">
                  <c:v>2025</c:v>
                </c:pt>
                <c:pt idx="11">
                  <c:v>2026</c:v>
                </c:pt>
                <c:pt idx="12">
                  <c:v>2027</c:v>
                </c:pt>
                <c:pt idx="13">
                  <c:v>2028</c:v>
                </c:pt>
                <c:pt idx="14">
                  <c:v>2029</c:v>
                </c:pt>
                <c:pt idx="15">
                  <c:v>2030</c:v>
                </c:pt>
                <c:pt idx="16">
                  <c:v>2031</c:v>
                </c:pt>
                <c:pt idx="17">
                  <c:v>2032</c:v>
                </c:pt>
                <c:pt idx="18">
                  <c:v>2033</c:v>
                </c:pt>
                <c:pt idx="19">
                  <c:v>2034</c:v>
                </c:pt>
                <c:pt idx="20">
                  <c:v>2035</c:v>
                </c:pt>
                <c:pt idx="21">
                  <c:v>2036</c:v>
                </c:pt>
                <c:pt idx="22">
                  <c:v>2037</c:v>
                </c:pt>
                <c:pt idx="23">
                  <c:v>2038</c:v>
                </c:pt>
                <c:pt idx="24">
                  <c:v>2039</c:v>
                </c:pt>
                <c:pt idx="25">
                  <c:v>2040</c:v>
                </c:pt>
                <c:pt idx="26">
                  <c:v>2041</c:v>
                </c:pt>
                <c:pt idx="27">
                  <c:v>2042</c:v>
                </c:pt>
                <c:pt idx="28">
                  <c:v>2043</c:v>
                </c:pt>
                <c:pt idx="29">
                  <c:v>2044</c:v>
                </c:pt>
                <c:pt idx="30">
                  <c:v>2045</c:v>
                </c:pt>
                <c:pt idx="31">
                  <c:v>2046</c:v>
                </c:pt>
              </c:numCache>
            </c:numRef>
          </c:cat>
          <c:val>
            <c:numRef>
              <c:f>WillMartinModel!$Y$105:$BD$105</c:f>
              <c:numCache>
                <c:formatCode>_("$"* #,##0_);_("$"* \(#,##0\);_("$"* "-"??_);_(@_)</c:formatCode>
                <c:ptCount val="32"/>
                <c:pt idx="0">
                  <c:v>1339.7913694613933</c:v>
                </c:pt>
                <c:pt idx="1">
                  <c:v>1339.7913694613933</c:v>
                </c:pt>
                <c:pt idx="2">
                  <c:v>1339.7913694613933</c:v>
                </c:pt>
                <c:pt idx="3">
                  <c:v>1339.7913694613933</c:v>
                </c:pt>
                <c:pt idx="4">
                  <c:v>1339.7913694613933</c:v>
                </c:pt>
                <c:pt idx="5">
                  <c:v>1339.7913694613933</c:v>
                </c:pt>
                <c:pt idx="6">
                  <c:v>1339.7913694613933</c:v>
                </c:pt>
                <c:pt idx="7">
                  <c:v>1339.7913694613933</c:v>
                </c:pt>
                <c:pt idx="8">
                  <c:v>1339.7913694613933</c:v>
                </c:pt>
                <c:pt idx="9">
                  <c:v>1339.7913694613933</c:v>
                </c:pt>
                <c:pt idx="10">
                  <c:v>1339.7913694613933</c:v>
                </c:pt>
                <c:pt idx="11">
                  <c:v>1339.7913694613933</c:v>
                </c:pt>
                <c:pt idx="12">
                  <c:v>1339.7913694613933</c:v>
                </c:pt>
                <c:pt idx="13">
                  <c:v>1339.7913694613933</c:v>
                </c:pt>
                <c:pt idx="14">
                  <c:v>1339.7913694613933</c:v>
                </c:pt>
                <c:pt idx="15">
                  <c:v>1339.7913694613933</c:v>
                </c:pt>
                <c:pt idx="16">
                  <c:v>1339.7913694613933</c:v>
                </c:pt>
                <c:pt idx="17">
                  <c:v>1339.7913694613933</c:v>
                </c:pt>
                <c:pt idx="18">
                  <c:v>1339.7913694613933</c:v>
                </c:pt>
                <c:pt idx="19">
                  <c:v>1339.7913694613933</c:v>
                </c:pt>
                <c:pt idx="20">
                  <c:v>1339.7913694613933</c:v>
                </c:pt>
                <c:pt idx="21">
                  <c:v>1339.7913694613933</c:v>
                </c:pt>
                <c:pt idx="22">
                  <c:v>1339.7913694613933</c:v>
                </c:pt>
                <c:pt idx="23">
                  <c:v>1339.7913694613933</c:v>
                </c:pt>
                <c:pt idx="24">
                  <c:v>1339.7913694613933</c:v>
                </c:pt>
                <c:pt idx="25">
                  <c:v>1339.7913694613933</c:v>
                </c:pt>
                <c:pt idx="26">
                  <c:v>1339.7913694613933</c:v>
                </c:pt>
                <c:pt idx="27">
                  <c:v>1339.7913694613933</c:v>
                </c:pt>
                <c:pt idx="28">
                  <c:v>1339.7913694613933</c:v>
                </c:pt>
                <c:pt idx="29">
                  <c:v>1339.7913694613933</c:v>
                </c:pt>
                <c:pt idx="30">
                  <c:v>1339.7913694613933</c:v>
                </c:pt>
                <c:pt idx="31">
                  <c:v>1339.7913694613933</c:v>
                </c:pt>
              </c:numCache>
            </c:numRef>
          </c:val>
        </c:ser>
        <c:ser>
          <c:idx val="2"/>
          <c:order val="2"/>
          <c:tx>
            <c:strRef>
              <c:f>WillMartinModel!$D$106</c:f>
              <c:strCache>
                <c:ptCount val="1"/>
                <c:pt idx="0">
                  <c:v>Insurance</c:v>
                </c:pt>
              </c:strCache>
            </c:strRef>
          </c:tx>
          <c:cat>
            <c:numRef>
              <c:f>WillMartinModel!$Y$103:$BD$103</c:f>
              <c:numCache>
                <c:formatCode>0</c:formatCode>
                <c:ptCount val="32"/>
                <c:pt idx="0">
                  <c:v>2015</c:v>
                </c:pt>
                <c:pt idx="1">
                  <c:v>2016</c:v>
                </c:pt>
                <c:pt idx="2">
                  <c:v>2017</c:v>
                </c:pt>
                <c:pt idx="3">
                  <c:v>2018</c:v>
                </c:pt>
                <c:pt idx="4">
                  <c:v>2019</c:v>
                </c:pt>
                <c:pt idx="5">
                  <c:v>2020</c:v>
                </c:pt>
                <c:pt idx="6">
                  <c:v>2021</c:v>
                </c:pt>
                <c:pt idx="7">
                  <c:v>2022</c:v>
                </c:pt>
                <c:pt idx="8">
                  <c:v>2023</c:v>
                </c:pt>
                <c:pt idx="9">
                  <c:v>2024</c:v>
                </c:pt>
                <c:pt idx="10">
                  <c:v>2025</c:v>
                </c:pt>
                <c:pt idx="11">
                  <c:v>2026</c:v>
                </c:pt>
                <c:pt idx="12">
                  <c:v>2027</c:v>
                </c:pt>
                <c:pt idx="13">
                  <c:v>2028</c:v>
                </c:pt>
                <c:pt idx="14">
                  <c:v>2029</c:v>
                </c:pt>
                <c:pt idx="15">
                  <c:v>2030</c:v>
                </c:pt>
                <c:pt idx="16">
                  <c:v>2031</c:v>
                </c:pt>
                <c:pt idx="17">
                  <c:v>2032</c:v>
                </c:pt>
                <c:pt idx="18">
                  <c:v>2033</c:v>
                </c:pt>
                <c:pt idx="19">
                  <c:v>2034</c:v>
                </c:pt>
                <c:pt idx="20">
                  <c:v>2035</c:v>
                </c:pt>
                <c:pt idx="21">
                  <c:v>2036</c:v>
                </c:pt>
                <c:pt idx="22">
                  <c:v>2037</c:v>
                </c:pt>
                <c:pt idx="23">
                  <c:v>2038</c:v>
                </c:pt>
                <c:pt idx="24">
                  <c:v>2039</c:v>
                </c:pt>
                <c:pt idx="25">
                  <c:v>2040</c:v>
                </c:pt>
                <c:pt idx="26">
                  <c:v>2041</c:v>
                </c:pt>
                <c:pt idx="27">
                  <c:v>2042</c:v>
                </c:pt>
                <c:pt idx="28">
                  <c:v>2043</c:v>
                </c:pt>
                <c:pt idx="29">
                  <c:v>2044</c:v>
                </c:pt>
                <c:pt idx="30">
                  <c:v>2045</c:v>
                </c:pt>
                <c:pt idx="31">
                  <c:v>2046</c:v>
                </c:pt>
              </c:numCache>
            </c:numRef>
          </c:cat>
          <c:val>
            <c:numRef>
              <c:f>WillMartinModel!$Y$106:$BD$106</c:f>
              <c:numCache>
                <c:formatCode>_("$"* #,##0_);_("$"* \(#,##0\);_("$"* "-"??_);_(@_)</c:formatCode>
                <c:ptCount val="32"/>
                <c:pt idx="0">
                  <c:v>6256.8544736351378</c:v>
                </c:pt>
                <c:pt idx="1">
                  <c:v>6256.8544736351378</c:v>
                </c:pt>
                <c:pt idx="2">
                  <c:v>6256.8544736351378</c:v>
                </c:pt>
                <c:pt idx="3">
                  <c:v>6256.8544736351378</c:v>
                </c:pt>
                <c:pt idx="4">
                  <c:v>6256.8544736351378</c:v>
                </c:pt>
                <c:pt idx="5">
                  <c:v>6256.8544736351378</c:v>
                </c:pt>
                <c:pt idx="6">
                  <c:v>6256.8544736351378</c:v>
                </c:pt>
                <c:pt idx="7">
                  <c:v>6256.8544736351378</c:v>
                </c:pt>
                <c:pt idx="8">
                  <c:v>6256.8544736351378</c:v>
                </c:pt>
                <c:pt idx="9">
                  <c:v>6256.8544736351378</c:v>
                </c:pt>
                <c:pt idx="10">
                  <c:v>6256.8544736351378</c:v>
                </c:pt>
                <c:pt idx="11">
                  <c:v>6256.8544736351378</c:v>
                </c:pt>
                <c:pt idx="12">
                  <c:v>6256.8544736351378</c:v>
                </c:pt>
                <c:pt idx="13">
                  <c:v>6256.8544736351378</c:v>
                </c:pt>
                <c:pt idx="14">
                  <c:v>6256.8544736351378</c:v>
                </c:pt>
                <c:pt idx="15">
                  <c:v>6256.8544736351378</c:v>
                </c:pt>
                <c:pt idx="16">
                  <c:v>6256.8544736351378</c:v>
                </c:pt>
                <c:pt idx="17">
                  <c:v>6256.8544736351378</c:v>
                </c:pt>
                <c:pt idx="18">
                  <c:v>6256.8544736351378</c:v>
                </c:pt>
                <c:pt idx="19">
                  <c:v>6256.8544736351378</c:v>
                </c:pt>
                <c:pt idx="20">
                  <c:v>6256.8544736351378</c:v>
                </c:pt>
                <c:pt idx="21">
                  <c:v>6256.8544736351378</c:v>
                </c:pt>
                <c:pt idx="22">
                  <c:v>6256.8544736351378</c:v>
                </c:pt>
                <c:pt idx="23">
                  <c:v>6256.8544736351378</c:v>
                </c:pt>
                <c:pt idx="24">
                  <c:v>6256.8544736351378</c:v>
                </c:pt>
                <c:pt idx="25">
                  <c:v>6256.8544736351378</c:v>
                </c:pt>
                <c:pt idx="26">
                  <c:v>6256.8544736351378</c:v>
                </c:pt>
                <c:pt idx="27">
                  <c:v>6256.8544736351378</c:v>
                </c:pt>
                <c:pt idx="28">
                  <c:v>6256.8544736351378</c:v>
                </c:pt>
                <c:pt idx="29">
                  <c:v>6256.8544736351378</c:v>
                </c:pt>
                <c:pt idx="30">
                  <c:v>6256.8544736351378</c:v>
                </c:pt>
                <c:pt idx="31">
                  <c:v>6256.8544736351378</c:v>
                </c:pt>
              </c:numCache>
            </c:numRef>
          </c:val>
        </c:ser>
        <c:ser>
          <c:idx val="3"/>
          <c:order val="3"/>
          <c:tx>
            <c:strRef>
              <c:f>WillMartinModel!$D$107</c:f>
              <c:strCache>
                <c:ptCount val="1"/>
                <c:pt idx="0">
                  <c:v>Maintenance</c:v>
                </c:pt>
              </c:strCache>
            </c:strRef>
          </c:tx>
          <c:cat>
            <c:numRef>
              <c:f>WillMartinModel!$Y$103:$BD$103</c:f>
              <c:numCache>
                <c:formatCode>0</c:formatCode>
                <c:ptCount val="32"/>
                <c:pt idx="0">
                  <c:v>2015</c:v>
                </c:pt>
                <c:pt idx="1">
                  <c:v>2016</c:v>
                </c:pt>
                <c:pt idx="2">
                  <c:v>2017</c:v>
                </c:pt>
                <c:pt idx="3">
                  <c:v>2018</c:v>
                </c:pt>
                <c:pt idx="4">
                  <c:v>2019</c:v>
                </c:pt>
                <c:pt idx="5">
                  <c:v>2020</c:v>
                </c:pt>
                <c:pt idx="6">
                  <c:v>2021</c:v>
                </c:pt>
                <c:pt idx="7">
                  <c:v>2022</c:v>
                </c:pt>
                <c:pt idx="8">
                  <c:v>2023</c:v>
                </c:pt>
                <c:pt idx="9">
                  <c:v>2024</c:v>
                </c:pt>
                <c:pt idx="10">
                  <c:v>2025</c:v>
                </c:pt>
                <c:pt idx="11">
                  <c:v>2026</c:v>
                </c:pt>
                <c:pt idx="12">
                  <c:v>2027</c:v>
                </c:pt>
                <c:pt idx="13">
                  <c:v>2028</c:v>
                </c:pt>
                <c:pt idx="14">
                  <c:v>2029</c:v>
                </c:pt>
                <c:pt idx="15">
                  <c:v>2030</c:v>
                </c:pt>
                <c:pt idx="16">
                  <c:v>2031</c:v>
                </c:pt>
                <c:pt idx="17">
                  <c:v>2032</c:v>
                </c:pt>
                <c:pt idx="18">
                  <c:v>2033</c:v>
                </c:pt>
                <c:pt idx="19">
                  <c:v>2034</c:v>
                </c:pt>
                <c:pt idx="20">
                  <c:v>2035</c:v>
                </c:pt>
                <c:pt idx="21">
                  <c:v>2036</c:v>
                </c:pt>
                <c:pt idx="22">
                  <c:v>2037</c:v>
                </c:pt>
                <c:pt idx="23">
                  <c:v>2038</c:v>
                </c:pt>
                <c:pt idx="24">
                  <c:v>2039</c:v>
                </c:pt>
                <c:pt idx="25">
                  <c:v>2040</c:v>
                </c:pt>
                <c:pt idx="26">
                  <c:v>2041</c:v>
                </c:pt>
                <c:pt idx="27">
                  <c:v>2042</c:v>
                </c:pt>
                <c:pt idx="28">
                  <c:v>2043</c:v>
                </c:pt>
                <c:pt idx="29">
                  <c:v>2044</c:v>
                </c:pt>
                <c:pt idx="30">
                  <c:v>2045</c:v>
                </c:pt>
                <c:pt idx="31">
                  <c:v>2046</c:v>
                </c:pt>
              </c:numCache>
            </c:numRef>
          </c:cat>
          <c:val>
            <c:numRef>
              <c:f>WillMartinModel!$Y$107:$BD$107</c:f>
              <c:numCache>
                <c:formatCode>_("$"* #,##0_);_("$"* \(#,##0\);_("$"* "-"??_);_(@_)</c:formatCode>
                <c:ptCount val="32"/>
                <c:pt idx="0">
                  <c:v>2888.3460099458562</c:v>
                </c:pt>
                <c:pt idx="1">
                  <c:v>2888.3460099458562</c:v>
                </c:pt>
                <c:pt idx="2">
                  <c:v>2888.3460099458562</c:v>
                </c:pt>
                <c:pt idx="3">
                  <c:v>2888.3460099458562</c:v>
                </c:pt>
                <c:pt idx="4">
                  <c:v>2888.3460099458562</c:v>
                </c:pt>
                <c:pt idx="5">
                  <c:v>2888.3460099458562</c:v>
                </c:pt>
                <c:pt idx="6">
                  <c:v>2888.3460099458562</c:v>
                </c:pt>
                <c:pt idx="7">
                  <c:v>2888.3460099458562</c:v>
                </c:pt>
                <c:pt idx="8">
                  <c:v>2888.3460099458562</c:v>
                </c:pt>
                <c:pt idx="9">
                  <c:v>2888.3460099458562</c:v>
                </c:pt>
                <c:pt idx="10">
                  <c:v>2888.3460099458562</c:v>
                </c:pt>
                <c:pt idx="11">
                  <c:v>2888.3460099458562</c:v>
                </c:pt>
                <c:pt idx="12">
                  <c:v>2888.3460099458562</c:v>
                </c:pt>
                <c:pt idx="13">
                  <c:v>2888.3460099458562</c:v>
                </c:pt>
                <c:pt idx="14">
                  <c:v>2888.3460099458562</c:v>
                </c:pt>
                <c:pt idx="15">
                  <c:v>2888.3460099458562</c:v>
                </c:pt>
                <c:pt idx="16">
                  <c:v>2888.3460099458562</c:v>
                </c:pt>
                <c:pt idx="17">
                  <c:v>2888.3460099458562</c:v>
                </c:pt>
                <c:pt idx="18">
                  <c:v>2888.3460099458562</c:v>
                </c:pt>
                <c:pt idx="19">
                  <c:v>2888.3460099458562</c:v>
                </c:pt>
                <c:pt idx="20">
                  <c:v>2888.3460099458562</c:v>
                </c:pt>
                <c:pt idx="21">
                  <c:v>2888.3460099458562</c:v>
                </c:pt>
                <c:pt idx="22">
                  <c:v>2888.3460099458562</c:v>
                </c:pt>
                <c:pt idx="23">
                  <c:v>2888.3460099458562</c:v>
                </c:pt>
                <c:pt idx="24">
                  <c:v>2888.3460099458562</c:v>
                </c:pt>
                <c:pt idx="25">
                  <c:v>2888.3460099458562</c:v>
                </c:pt>
                <c:pt idx="26">
                  <c:v>2888.3460099458562</c:v>
                </c:pt>
                <c:pt idx="27">
                  <c:v>2888.3460099458562</c:v>
                </c:pt>
                <c:pt idx="28">
                  <c:v>2888.3460099458562</c:v>
                </c:pt>
                <c:pt idx="29">
                  <c:v>2888.3460099458562</c:v>
                </c:pt>
                <c:pt idx="30">
                  <c:v>2888.3460099458562</c:v>
                </c:pt>
                <c:pt idx="31">
                  <c:v>2888.3460099458562</c:v>
                </c:pt>
              </c:numCache>
            </c:numRef>
          </c:val>
        </c:ser>
        <c:ser>
          <c:idx val="4"/>
          <c:order val="4"/>
          <c:tx>
            <c:strRef>
              <c:f>WillMartinModel!$D$108</c:f>
              <c:strCache>
                <c:ptCount val="1"/>
                <c:pt idx="0">
                  <c:v>Repairs</c:v>
                </c:pt>
              </c:strCache>
            </c:strRef>
          </c:tx>
          <c:cat>
            <c:numRef>
              <c:f>WillMartinModel!$Y$103:$BD$103</c:f>
              <c:numCache>
                <c:formatCode>0</c:formatCode>
                <c:ptCount val="32"/>
                <c:pt idx="0">
                  <c:v>2015</c:v>
                </c:pt>
                <c:pt idx="1">
                  <c:v>2016</c:v>
                </c:pt>
                <c:pt idx="2">
                  <c:v>2017</c:v>
                </c:pt>
                <c:pt idx="3">
                  <c:v>2018</c:v>
                </c:pt>
                <c:pt idx="4">
                  <c:v>2019</c:v>
                </c:pt>
                <c:pt idx="5">
                  <c:v>2020</c:v>
                </c:pt>
                <c:pt idx="6">
                  <c:v>2021</c:v>
                </c:pt>
                <c:pt idx="7">
                  <c:v>2022</c:v>
                </c:pt>
                <c:pt idx="8">
                  <c:v>2023</c:v>
                </c:pt>
                <c:pt idx="9">
                  <c:v>2024</c:v>
                </c:pt>
                <c:pt idx="10">
                  <c:v>2025</c:v>
                </c:pt>
                <c:pt idx="11">
                  <c:v>2026</c:v>
                </c:pt>
                <c:pt idx="12">
                  <c:v>2027</c:v>
                </c:pt>
                <c:pt idx="13">
                  <c:v>2028</c:v>
                </c:pt>
                <c:pt idx="14">
                  <c:v>2029</c:v>
                </c:pt>
                <c:pt idx="15">
                  <c:v>2030</c:v>
                </c:pt>
                <c:pt idx="16">
                  <c:v>2031</c:v>
                </c:pt>
                <c:pt idx="17">
                  <c:v>2032</c:v>
                </c:pt>
                <c:pt idx="18">
                  <c:v>2033</c:v>
                </c:pt>
                <c:pt idx="19">
                  <c:v>2034</c:v>
                </c:pt>
                <c:pt idx="20">
                  <c:v>2035</c:v>
                </c:pt>
                <c:pt idx="21">
                  <c:v>2036</c:v>
                </c:pt>
                <c:pt idx="22">
                  <c:v>2037</c:v>
                </c:pt>
                <c:pt idx="23">
                  <c:v>2038</c:v>
                </c:pt>
                <c:pt idx="24">
                  <c:v>2039</c:v>
                </c:pt>
                <c:pt idx="25">
                  <c:v>2040</c:v>
                </c:pt>
                <c:pt idx="26">
                  <c:v>2041</c:v>
                </c:pt>
                <c:pt idx="27">
                  <c:v>2042</c:v>
                </c:pt>
                <c:pt idx="28">
                  <c:v>2043</c:v>
                </c:pt>
                <c:pt idx="29">
                  <c:v>2044</c:v>
                </c:pt>
                <c:pt idx="30">
                  <c:v>2045</c:v>
                </c:pt>
                <c:pt idx="31">
                  <c:v>2046</c:v>
                </c:pt>
              </c:numCache>
            </c:numRef>
          </c:cat>
          <c:val>
            <c:numRef>
              <c:f>WillMartinModel!$Y$108:$BD$108</c:f>
              <c:numCache>
                <c:formatCode>_("$"* #,##0_);_("$"* \(#,##0\);_("$"* "-"??_);_(@_)</c:formatCode>
                <c:ptCount val="32"/>
                <c:pt idx="0">
                  <c:v>741.20168065470125</c:v>
                </c:pt>
                <c:pt idx="1">
                  <c:v>741.20168065470125</c:v>
                </c:pt>
                <c:pt idx="2">
                  <c:v>741.20168065470125</c:v>
                </c:pt>
                <c:pt idx="3">
                  <c:v>741.20168065470125</c:v>
                </c:pt>
                <c:pt idx="4">
                  <c:v>741.20168065470125</c:v>
                </c:pt>
                <c:pt idx="5">
                  <c:v>741.20168065470125</c:v>
                </c:pt>
                <c:pt idx="6">
                  <c:v>741.20168065470125</c:v>
                </c:pt>
                <c:pt idx="7">
                  <c:v>741.20168065470125</c:v>
                </c:pt>
                <c:pt idx="8">
                  <c:v>741.20168065470125</c:v>
                </c:pt>
                <c:pt idx="9">
                  <c:v>741.20168065470125</c:v>
                </c:pt>
                <c:pt idx="10">
                  <c:v>741.20168065470125</c:v>
                </c:pt>
                <c:pt idx="11">
                  <c:v>741.20168065470125</c:v>
                </c:pt>
                <c:pt idx="12">
                  <c:v>741.20168065470125</c:v>
                </c:pt>
                <c:pt idx="13">
                  <c:v>741.20168065470125</c:v>
                </c:pt>
                <c:pt idx="14">
                  <c:v>741.20168065470125</c:v>
                </c:pt>
                <c:pt idx="15">
                  <c:v>741.20168065470125</c:v>
                </c:pt>
                <c:pt idx="16">
                  <c:v>741.20168065470125</c:v>
                </c:pt>
                <c:pt idx="17">
                  <c:v>741.20168065470125</c:v>
                </c:pt>
                <c:pt idx="18">
                  <c:v>741.20168065470125</c:v>
                </c:pt>
                <c:pt idx="19">
                  <c:v>741.20168065470125</c:v>
                </c:pt>
                <c:pt idx="20">
                  <c:v>741.20168065470125</c:v>
                </c:pt>
                <c:pt idx="21">
                  <c:v>741.20168065470125</c:v>
                </c:pt>
                <c:pt idx="22">
                  <c:v>741.20168065470125</c:v>
                </c:pt>
                <c:pt idx="23">
                  <c:v>741.20168065470125</c:v>
                </c:pt>
                <c:pt idx="24">
                  <c:v>741.20168065470125</c:v>
                </c:pt>
                <c:pt idx="25">
                  <c:v>741.20168065470125</c:v>
                </c:pt>
                <c:pt idx="26">
                  <c:v>741.20168065470125</c:v>
                </c:pt>
                <c:pt idx="27">
                  <c:v>741.20168065470125</c:v>
                </c:pt>
                <c:pt idx="28">
                  <c:v>741.20168065470125</c:v>
                </c:pt>
                <c:pt idx="29">
                  <c:v>741.20168065470125</c:v>
                </c:pt>
                <c:pt idx="30">
                  <c:v>741.20168065470125</c:v>
                </c:pt>
                <c:pt idx="31">
                  <c:v>741.20168065470125</c:v>
                </c:pt>
              </c:numCache>
            </c:numRef>
          </c:val>
        </c:ser>
        <c:ser>
          <c:idx val="5"/>
          <c:order val="5"/>
          <c:tx>
            <c:strRef>
              <c:f>WillMartinModel!$D$109</c:f>
              <c:strCache>
                <c:ptCount val="1"/>
                <c:pt idx="0">
                  <c:v>Fuel</c:v>
                </c:pt>
              </c:strCache>
            </c:strRef>
          </c:tx>
          <c:cat>
            <c:numRef>
              <c:f>WillMartinModel!$Y$103:$BD$103</c:f>
              <c:numCache>
                <c:formatCode>0</c:formatCode>
                <c:ptCount val="32"/>
                <c:pt idx="0">
                  <c:v>2015</c:v>
                </c:pt>
                <c:pt idx="1">
                  <c:v>2016</c:v>
                </c:pt>
                <c:pt idx="2">
                  <c:v>2017</c:v>
                </c:pt>
                <c:pt idx="3">
                  <c:v>2018</c:v>
                </c:pt>
                <c:pt idx="4">
                  <c:v>2019</c:v>
                </c:pt>
                <c:pt idx="5">
                  <c:v>2020</c:v>
                </c:pt>
                <c:pt idx="6">
                  <c:v>2021</c:v>
                </c:pt>
                <c:pt idx="7">
                  <c:v>2022</c:v>
                </c:pt>
                <c:pt idx="8">
                  <c:v>2023</c:v>
                </c:pt>
                <c:pt idx="9">
                  <c:v>2024</c:v>
                </c:pt>
                <c:pt idx="10">
                  <c:v>2025</c:v>
                </c:pt>
                <c:pt idx="11">
                  <c:v>2026</c:v>
                </c:pt>
                <c:pt idx="12">
                  <c:v>2027</c:v>
                </c:pt>
                <c:pt idx="13">
                  <c:v>2028</c:v>
                </c:pt>
                <c:pt idx="14">
                  <c:v>2029</c:v>
                </c:pt>
                <c:pt idx="15">
                  <c:v>2030</c:v>
                </c:pt>
                <c:pt idx="16">
                  <c:v>2031</c:v>
                </c:pt>
                <c:pt idx="17">
                  <c:v>2032</c:v>
                </c:pt>
                <c:pt idx="18">
                  <c:v>2033</c:v>
                </c:pt>
                <c:pt idx="19">
                  <c:v>2034</c:v>
                </c:pt>
                <c:pt idx="20">
                  <c:v>2035</c:v>
                </c:pt>
                <c:pt idx="21">
                  <c:v>2036</c:v>
                </c:pt>
                <c:pt idx="22">
                  <c:v>2037</c:v>
                </c:pt>
                <c:pt idx="23">
                  <c:v>2038</c:v>
                </c:pt>
                <c:pt idx="24">
                  <c:v>2039</c:v>
                </c:pt>
                <c:pt idx="25">
                  <c:v>2040</c:v>
                </c:pt>
                <c:pt idx="26">
                  <c:v>2041</c:v>
                </c:pt>
                <c:pt idx="27">
                  <c:v>2042</c:v>
                </c:pt>
                <c:pt idx="28">
                  <c:v>2043</c:v>
                </c:pt>
                <c:pt idx="29">
                  <c:v>2044</c:v>
                </c:pt>
                <c:pt idx="30">
                  <c:v>2045</c:v>
                </c:pt>
                <c:pt idx="31">
                  <c:v>2046</c:v>
                </c:pt>
              </c:numCache>
            </c:numRef>
          </c:cat>
          <c:val>
            <c:numRef>
              <c:f>WillMartinModel!$Y$109:$BD$109</c:f>
              <c:numCache>
                <c:formatCode>_("$"* #,##0_);_("$"* \(#,##0\);_("$"* "-"??_);_(@_)</c:formatCode>
                <c:ptCount val="32"/>
                <c:pt idx="0">
                  <c:v>7313.1786208787826</c:v>
                </c:pt>
                <c:pt idx="1">
                  <c:v>7431.6445090060542</c:v>
                </c:pt>
                <c:pt idx="2">
                  <c:v>7552.0294213192938</c:v>
                </c:pt>
                <c:pt idx="3">
                  <c:v>7674.3644440145781</c:v>
                </c:pt>
                <c:pt idx="4">
                  <c:v>7798.6811668520268</c:v>
                </c:pt>
                <c:pt idx="5">
                  <c:v>7925.0116913130205</c:v>
                </c:pt>
                <c:pt idx="6">
                  <c:v>8053.388638889558</c:v>
                </c:pt>
                <c:pt idx="7">
                  <c:v>8183.8451595078768</c:v>
                </c:pt>
                <c:pt idx="8">
                  <c:v>8316.414940088549</c:v>
                </c:pt>
                <c:pt idx="9">
                  <c:v>8451.132213245226</c:v>
                </c:pt>
                <c:pt idx="10">
                  <c:v>8588.0317661242971</c:v>
                </c:pt>
                <c:pt idx="11">
                  <c:v>8727.1489493877452</c:v>
                </c:pt>
                <c:pt idx="12">
                  <c:v>8868.5196863415167</c:v>
                </c:pt>
                <c:pt idx="13">
                  <c:v>9012.1804822117501</c:v>
                </c:pt>
                <c:pt idx="14">
                  <c:v>9158.1684335712889</c:v>
                </c:pt>
                <c:pt idx="15">
                  <c:v>9306.5212379188724</c:v>
                </c:pt>
                <c:pt idx="16">
                  <c:v>9457.277203413516</c:v>
                </c:pt>
                <c:pt idx="17">
                  <c:v>9610.4752587665716</c:v>
                </c:pt>
                <c:pt idx="18">
                  <c:v>9766.1549632940314</c:v>
                </c:pt>
                <c:pt idx="19">
                  <c:v>9924.3565171316641</c:v>
                </c:pt>
                <c:pt idx="20">
                  <c:v>10085.120771615633</c:v>
                </c:pt>
                <c:pt idx="21">
                  <c:v>10248.489239831259</c:v>
                </c:pt>
                <c:pt idx="22">
                  <c:v>10414.504107332676</c:v>
                </c:pt>
                <c:pt idx="23">
                  <c:v>10583.208243036122</c:v>
                </c:pt>
                <c:pt idx="24">
                  <c:v>10754.645210289696</c:v>
                </c:pt>
                <c:pt idx="25">
                  <c:v>10928.859278122429</c:v>
                </c:pt>
                <c:pt idx="26">
                  <c:v>11105.895432675587</c:v>
                </c:pt>
                <c:pt idx="27">
                  <c:v>11285.799388819134</c:v>
                </c:pt>
                <c:pt idx="28">
                  <c:v>11468.617601956395</c:v>
                </c:pt>
                <c:pt idx="29">
                  <c:v>11654.397280019906</c:v>
                </c:pt>
                <c:pt idx="30">
                  <c:v>11843.186395661622</c:v>
                </c:pt>
                <c:pt idx="31">
                  <c:v>12035.033698640567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18396336"/>
        <c:axId val="264166440"/>
      </c:areaChart>
      <c:catAx>
        <c:axId val="418396336"/>
        <c:scaling>
          <c:orientation val="minMax"/>
        </c:scaling>
        <c:delete val="0"/>
        <c:axPos val="b"/>
        <c:numFmt formatCode="0" sourceLinked="1"/>
        <c:majorTickMark val="out"/>
        <c:minorTickMark val="none"/>
        <c:tickLblPos val="nextTo"/>
        <c:crossAx val="264166440"/>
        <c:crosses val="autoZero"/>
        <c:auto val="1"/>
        <c:lblAlgn val="ctr"/>
        <c:lblOffset val="100"/>
        <c:noMultiLvlLbl val="0"/>
      </c:catAx>
      <c:valAx>
        <c:axId val="264166440"/>
        <c:scaling>
          <c:orientation val="minMax"/>
          <c:max val="35000"/>
          <c:min val="0"/>
        </c:scaling>
        <c:delete val="0"/>
        <c:axPos val="l"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 sz="1800" b="0" i="0" baseline="0">
                    <a:effectLst/>
                  </a:rPr>
                  <a:t>Discounted 5-Year Total Cost of Ownership</a:t>
                </a:r>
                <a:endParaRPr lang="en-US">
                  <a:effectLst/>
                </a:endParaRPr>
              </a:p>
            </c:rich>
          </c:tx>
          <c:overlay val="0"/>
        </c:title>
        <c:numFmt formatCode="_(&quot;$&quot;* #,##0_);_(&quot;$&quot;* \(#,##0\);_(&quot;$&quot;* &quot;-&quot;??_);_(@_)" sourceLinked="1"/>
        <c:majorTickMark val="out"/>
        <c:minorTickMark val="none"/>
        <c:tickLblPos val="nextTo"/>
        <c:crossAx val="418396336"/>
        <c:crosses val="autoZero"/>
        <c:crossBetween val="midCat"/>
      </c:valAx>
    </c:plotArea>
    <c:legend>
      <c:legendPos val="r"/>
      <c:overlay val="0"/>
    </c:legend>
    <c:plotVisOnly val="1"/>
    <c:dispBlanksAs val="zero"/>
    <c:showDLblsOverMax val="0"/>
  </c:chart>
  <c:txPr>
    <a:bodyPr/>
    <a:lstStyle/>
    <a:p>
      <a:pPr>
        <a:defRPr sz="1600">
          <a:latin typeface="Tahoma" panose="020B0604030504040204" pitchFamily="34" charset="0"/>
          <a:ea typeface="Tahoma" panose="020B0604030504040204" pitchFamily="34" charset="0"/>
          <a:cs typeface="Tahoma" panose="020B0604030504040204" pitchFamily="34" charset="0"/>
        </a:defRPr>
      </a:pPr>
      <a:endParaRPr lang="en-US"/>
    </a:p>
  </c:txPr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areaChart>
        <c:grouping val="stacked"/>
        <c:varyColors val="0"/>
        <c:ser>
          <c:idx val="0"/>
          <c:order val="0"/>
          <c:tx>
            <c:strRef>
              <c:f>WillMartinModel!$D$122</c:f>
              <c:strCache>
                <c:ptCount val="1"/>
                <c:pt idx="0">
                  <c:v>Depreciation, Financing &amp; Opportunity Cost</c:v>
                </c:pt>
              </c:strCache>
            </c:strRef>
          </c:tx>
          <c:cat>
            <c:numRef>
              <c:f>WillMartinModel!$Y$121:$BD$121</c:f>
              <c:numCache>
                <c:formatCode>0</c:formatCode>
                <c:ptCount val="32"/>
                <c:pt idx="0">
                  <c:v>2015</c:v>
                </c:pt>
                <c:pt idx="1">
                  <c:v>2016</c:v>
                </c:pt>
                <c:pt idx="2">
                  <c:v>2017</c:v>
                </c:pt>
                <c:pt idx="3">
                  <c:v>2018</c:v>
                </c:pt>
                <c:pt idx="4">
                  <c:v>2019</c:v>
                </c:pt>
                <c:pt idx="5">
                  <c:v>2020</c:v>
                </c:pt>
                <c:pt idx="6">
                  <c:v>2021</c:v>
                </c:pt>
                <c:pt idx="7">
                  <c:v>2022</c:v>
                </c:pt>
                <c:pt idx="8">
                  <c:v>2023</c:v>
                </c:pt>
                <c:pt idx="9">
                  <c:v>2024</c:v>
                </c:pt>
                <c:pt idx="10">
                  <c:v>2025</c:v>
                </c:pt>
                <c:pt idx="11">
                  <c:v>2026</c:v>
                </c:pt>
                <c:pt idx="12">
                  <c:v>2027</c:v>
                </c:pt>
                <c:pt idx="13">
                  <c:v>2028</c:v>
                </c:pt>
                <c:pt idx="14">
                  <c:v>2029</c:v>
                </c:pt>
                <c:pt idx="15">
                  <c:v>2030</c:v>
                </c:pt>
                <c:pt idx="16">
                  <c:v>2031</c:v>
                </c:pt>
                <c:pt idx="17">
                  <c:v>2032</c:v>
                </c:pt>
                <c:pt idx="18">
                  <c:v>2033</c:v>
                </c:pt>
                <c:pt idx="19">
                  <c:v>2034</c:v>
                </c:pt>
                <c:pt idx="20">
                  <c:v>2035</c:v>
                </c:pt>
                <c:pt idx="21">
                  <c:v>2036</c:v>
                </c:pt>
                <c:pt idx="22">
                  <c:v>2037</c:v>
                </c:pt>
                <c:pt idx="23">
                  <c:v>2038</c:v>
                </c:pt>
                <c:pt idx="24">
                  <c:v>2039</c:v>
                </c:pt>
                <c:pt idx="25">
                  <c:v>2040</c:v>
                </c:pt>
                <c:pt idx="26">
                  <c:v>2041</c:v>
                </c:pt>
                <c:pt idx="27">
                  <c:v>2042</c:v>
                </c:pt>
                <c:pt idx="28">
                  <c:v>2043</c:v>
                </c:pt>
                <c:pt idx="29">
                  <c:v>2044</c:v>
                </c:pt>
                <c:pt idx="30">
                  <c:v>2045</c:v>
                </c:pt>
                <c:pt idx="31">
                  <c:v>2046</c:v>
                </c:pt>
              </c:numCache>
            </c:numRef>
          </c:cat>
          <c:val>
            <c:numRef>
              <c:f>WillMartinModel!$Y$122:$BD$122</c:f>
              <c:numCache>
                <c:formatCode>_("$"* #,##0_);_("$"* \(#,##0\);_("$"* "-"??_);_(@_)</c:formatCode>
                <c:ptCount val="32"/>
                <c:pt idx="0">
                  <c:v>13175.933720409845</c:v>
                </c:pt>
                <c:pt idx="1">
                  <c:v>12653.477343934295</c:v>
                </c:pt>
                <c:pt idx="2">
                  <c:v>12200.711569906833</c:v>
                </c:pt>
                <c:pt idx="3">
                  <c:v>11826.416418045164</c:v>
                </c:pt>
                <c:pt idx="4">
                  <c:v>11491.035237329099</c:v>
                </c:pt>
                <c:pt idx="5">
                  <c:v>11182.442530942351</c:v>
                </c:pt>
                <c:pt idx="6">
                  <c:v>10926.996235927796</c:v>
                </c:pt>
                <c:pt idx="7">
                  <c:v>10683.697148528163</c:v>
                </c:pt>
                <c:pt idx="8">
                  <c:v>10456.889596634112</c:v>
                </c:pt>
                <c:pt idx="9">
                  <c:v>10238.825058690654</c:v>
                </c:pt>
                <c:pt idx="10">
                  <c:v>10026.595234522689</c:v>
                </c:pt>
                <c:pt idx="11">
                  <c:v>9820.5017690886125</c:v>
                </c:pt>
                <c:pt idx="12">
                  <c:v>9622.0284865833783</c:v>
                </c:pt>
                <c:pt idx="13">
                  <c:v>9431.102801078332</c:v>
                </c:pt>
                <c:pt idx="14">
                  <c:v>9248.1270189489987</c:v>
                </c:pt>
                <c:pt idx="15">
                  <c:v>9073.4752464710327</c:v>
                </c:pt>
                <c:pt idx="16">
                  <c:v>8922.6062501607848</c:v>
                </c:pt>
                <c:pt idx="17">
                  <c:v>8778.496043149029</c:v>
                </c:pt>
                <c:pt idx="18">
                  <c:v>8642.5789072676998</c:v>
                </c:pt>
                <c:pt idx="19">
                  <c:v>8516.0907463165549</c:v>
                </c:pt>
                <c:pt idx="20">
                  <c:v>8433.8133977975031</c:v>
                </c:pt>
                <c:pt idx="21">
                  <c:v>8316.9521223916363</c:v>
                </c:pt>
                <c:pt idx="22">
                  <c:v>8206.0695704604241</c:v>
                </c:pt>
                <c:pt idx="23">
                  <c:v>8101.0300543578123</c:v>
                </c:pt>
                <c:pt idx="24">
                  <c:v>8001.4378358275553</c:v>
                </c:pt>
                <c:pt idx="25">
                  <c:v>7906.6266099856221</c:v>
                </c:pt>
                <c:pt idx="26">
                  <c:v>7809.8876071527975</c:v>
                </c:pt>
                <c:pt idx="27">
                  <c:v>7716.7614540654167</c:v>
                </c:pt>
                <c:pt idx="28">
                  <c:v>7626.8421423778627</c:v>
                </c:pt>
                <c:pt idx="29">
                  <c:v>7539.6776417956589</c:v>
                </c:pt>
                <c:pt idx="30">
                  <c:v>7454.8064096584603</c:v>
                </c:pt>
                <c:pt idx="31">
                  <c:v>7371.802710226777</c:v>
                </c:pt>
              </c:numCache>
            </c:numRef>
          </c:val>
        </c:ser>
        <c:ser>
          <c:idx val="1"/>
          <c:order val="1"/>
          <c:tx>
            <c:strRef>
              <c:f>WillMartinModel!$D$123</c:f>
              <c:strCache>
                <c:ptCount val="1"/>
                <c:pt idx="0">
                  <c:v>Taxes &amp; Fees</c:v>
                </c:pt>
              </c:strCache>
            </c:strRef>
          </c:tx>
          <c:cat>
            <c:numRef>
              <c:f>WillMartinModel!$Y$121:$BD$121</c:f>
              <c:numCache>
                <c:formatCode>0</c:formatCode>
                <c:ptCount val="32"/>
                <c:pt idx="0">
                  <c:v>2015</c:v>
                </c:pt>
                <c:pt idx="1">
                  <c:v>2016</c:v>
                </c:pt>
                <c:pt idx="2">
                  <c:v>2017</c:v>
                </c:pt>
                <c:pt idx="3">
                  <c:v>2018</c:v>
                </c:pt>
                <c:pt idx="4">
                  <c:v>2019</c:v>
                </c:pt>
                <c:pt idx="5">
                  <c:v>2020</c:v>
                </c:pt>
                <c:pt idx="6">
                  <c:v>2021</c:v>
                </c:pt>
                <c:pt idx="7">
                  <c:v>2022</c:v>
                </c:pt>
                <c:pt idx="8">
                  <c:v>2023</c:v>
                </c:pt>
                <c:pt idx="9">
                  <c:v>2024</c:v>
                </c:pt>
                <c:pt idx="10">
                  <c:v>2025</c:v>
                </c:pt>
                <c:pt idx="11">
                  <c:v>2026</c:v>
                </c:pt>
                <c:pt idx="12">
                  <c:v>2027</c:v>
                </c:pt>
                <c:pt idx="13">
                  <c:v>2028</c:v>
                </c:pt>
                <c:pt idx="14">
                  <c:v>2029</c:v>
                </c:pt>
                <c:pt idx="15">
                  <c:v>2030</c:v>
                </c:pt>
                <c:pt idx="16">
                  <c:v>2031</c:v>
                </c:pt>
                <c:pt idx="17">
                  <c:v>2032</c:v>
                </c:pt>
                <c:pt idx="18">
                  <c:v>2033</c:v>
                </c:pt>
                <c:pt idx="19">
                  <c:v>2034</c:v>
                </c:pt>
                <c:pt idx="20">
                  <c:v>2035</c:v>
                </c:pt>
                <c:pt idx="21">
                  <c:v>2036</c:v>
                </c:pt>
                <c:pt idx="22">
                  <c:v>2037</c:v>
                </c:pt>
                <c:pt idx="23">
                  <c:v>2038</c:v>
                </c:pt>
                <c:pt idx="24">
                  <c:v>2039</c:v>
                </c:pt>
                <c:pt idx="25">
                  <c:v>2040</c:v>
                </c:pt>
                <c:pt idx="26">
                  <c:v>2041</c:v>
                </c:pt>
                <c:pt idx="27">
                  <c:v>2042</c:v>
                </c:pt>
                <c:pt idx="28">
                  <c:v>2043</c:v>
                </c:pt>
                <c:pt idx="29">
                  <c:v>2044</c:v>
                </c:pt>
                <c:pt idx="30">
                  <c:v>2045</c:v>
                </c:pt>
                <c:pt idx="31">
                  <c:v>2046</c:v>
                </c:pt>
              </c:numCache>
            </c:numRef>
          </c:cat>
          <c:val>
            <c:numRef>
              <c:f>WillMartinModel!$Y$123:$BD$123</c:f>
              <c:numCache>
                <c:formatCode>_("$"* #,##0_);_("$"* \(#,##0\);_("$"* "-"??_);_(@_)</c:formatCode>
                <c:ptCount val="32"/>
                <c:pt idx="0">
                  <c:v>2541.1026046370698</c:v>
                </c:pt>
                <c:pt idx="1">
                  <c:v>2541.1026046370698</c:v>
                </c:pt>
                <c:pt idx="2">
                  <c:v>2541.1026046370698</c:v>
                </c:pt>
                <c:pt idx="3">
                  <c:v>2541.1026046370698</c:v>
                </c:pt>
                <c:pt idx="4">
                  <c:v>2541.1026046370698</c:v>
                </c:pt>
                <c:pt idx="5">
                  <c:v>2541.1026046370698</c:v>
                </c:pt>
                <c:pt idx="6">
                  <c:v>2541.1026046370698</c:v>
                </c:pt>
                <c:pt idx="7">
                  <c:v>2541.1026046370698</c:v>
                </c:pt>
                <c:pt idx="8">
                  <c:v>2541.1026046370698</c:v>
                </c:pt>
                <c:pt idx="9">
                  <c:v>2541.1026046370698</c:v>
                </c:pt>
                <c:pt idx="10">
                  <c:v>2541.1026046370698</c:v>
                </c:pt>
                <c:pt idx="11">
                  <c:v>2541.1026046370698</c:v>
                </c:pt>
                <c:pt idx="12">
                  <c:v>2541.1026046370698</c:v>
                </c:pt>
                <c:pt idx="13">
                  <c:v>2541.1026046370698</c:v>
                </c:pt>
                <c:pt idx="14">
                  <c:v>2541.1026046370698</c:v>
                </c:pt>
                <c:pt idx="15">
                  <c:v>2541.1026046370698</c:v>
                </c:pt>
                <c:pt idx="16">
                  <c:v>2541.1026046370698</c:v>
                </c:pt>
                <c:pt idx="17">
                  <c:v>2541.1026046370698</c:v>
                </c:pt>
                <c:pt idx="18">
                  <c:v>2541.1026046370698</c:v>
                </c:pt>
                <c:pt idx="19">
                  <c:v>2541.1026046370698</c:v>
                </c:pt>
                <c:pt idx="20">
                  <c:v>2541.1026046370698</c:v>
                </c:pt>
                <c:pt idx="21">
                  <c:v>2541.1026046370698</c:v>
                </c:pt>
                <c:pt idx="22">
                  <c:v>2541.1026046370698</c:v>
                </c:pt>
                <c:pt idx="23">
                  <c:v>2541.1026046370698</c:v>
                </c:pt>
                <c:pt idx="24">
                  <c:v>2541.1026046370698</c:v>
                </c:pt>
                <c:pt idx="25">
                  <c:v>2541.1026046370698</c:v>
                </c:pt>
                <c:pt idx="26">
                  <c:v>2541.1026046370698</c:v>
                </c:pt>
                <c:pt idx="27">
                  <c:v>2541.1026046370698</c:v>
                </c:pt>
                <c:pt idx="28">
                  <c:v>2541.1026046370698</c:v>
                </c:pt>
                <c:pt idx="29">
                  <c:v>2541.1026046370698</c:v>
                </c:pt>
                <c:pt idx="30">
                  <c:v>2541.1026046370698</c:v>
                </c:pt>
                <c:pt idx="31">
                  <c:v>2541.1026046370698</c:v>
                </c:pt>
              </c:numCache>
            </c:numRef>
          </c:val>
        </c:ser>
        <c:ser>
          <c:idx val="2"/>
          <c:order val="2"/>
          <c:tx>
            <c:strRef>
              <c:f>WillMartinModel!$D$124</c:f>
              <c:strCache>
                <c:ptCount val="1"/>
                <c:pt idx="0">
                  <c:v>Insurance</c:v>
                </c:pt>
              </c:strCache>
            </c:strRef>
          </c:tx>
          <c:cat>
            <c:numRef>
              <c:f>WillMartinModel!$Y$121:$BD$121</c:f>
              <c:numCache>
                <c:formatCode>0</c:formatCode>
                <c:ptCount val="32"/>
                <c:pt idx="0">
                  <c:v>2015</c:v>
                </c:pt>
                <c:pt idx="1">
                  <c:v>2016</c:v>
                </c:pt>
                <c:pt idx="2">
                  <c:v>2017</c:v>
                </c:pt>
                <c:pt idx="3">
                  <c:v>2018</c:v>
                </c:pt>
                <c:pt idx="4">
                  <c:v>2019</c:v>
                </c:pt>
                <c:pt idx="5">
                  <c:v>2020</c:v>
                </c:pt>
                <c:pt idx="6">
                  <c:v>2021</c:v>
                </c:pt>
                <c:pt idx="7">
                  <c:v>2022</c:v>
                </c:pt>
                <c:pt idx="8">
                  <c:v>2023</c:v>
                </c:pt>
                <c:pt idx="9">
                  <c:v>2024</c:v>
                </c:pt>
                <c:pt idx="10">
                  <c:v>2025</c:v>
                </c:pt>
                <c:pt idx="11">
                  <c:v>2026</c:v>
                </c:pt>
                <c:pt idx="12">
                  <c:v>2027</c:v>
                </c:pt>
                <c:pt idx="13">
                  <c:v>2028</c:v>
                </c:pt>
                <c:pt idx="14">
                  <c:v>2029</c:v>
                </c:pt>
                <c:pt idx="15">
                  <c:v>2030</c:v>
                </c:pt>
                <c:pt idx="16">
                  <c:v>2031</c:v>
                </c:pt>
                <c:pt idx="17">
                  <c:v>2032</c:v>
                </c:pt>
                <c:pt idx="18">
                  <c:v>2033</c:v>
                </c:pt>
                <c:pt idx="19">
                  <c:v>2034</c:v>
                </c:pt>
                <c:pt idx="20">
                  <c:v>2035</c:v>
                </c:pt>
                <c:pt idx="21">
                  <c:v>2036</c:v>
                </c:pt>
                <c:pt idx="22">
                  <c:v>2037</c:v>
                </c:pt>
                <c:pt idx="23">
                  <c:v>2038</c:v>
                </c:pt>
                <c:pt idx="24">
                  <c:v>2039</c:v>
                </c:pt>
                <c:pt idx="25">
                  <c:v>2040</c:v>
                </c:pt>
                <c:pt idx="26">
                  <c:v>2041</c:v>
                </c:pt>
                <c:pt idx="27">
                  <c:v>2042</c:v>
                </c:pt>
                <c:pt idx="28">
                  <c:v>2043</c:v>
                </c:pt>
                <c:pt idx="29">
                  <c:v>2044</c:v>
                </c:pt>
                <c:pt idx="30">
                  <c:v>2045</c:v>
                </c:pt>
                <c:pt idx="31">
                  <c:v>2046</c:v>
                </c:pt>
              </c:numCache>
            </c:numRef>
          </c:cat>
          <c:val>
            <c:numRef>
              <c:f>WillMartinModel!$Y$124:$BD$124</c:f>
              <c:numCache>
                <c:formatCode>_("$"* #,##0_);_("$"* \(#,##0\);_("$"* "-"??_);_(@_)</c:formatCode>
                <c:ptCount val="32"/>
                <c:pt idx="0">
                  <c:v>5669.7490212757966</c:v>
                </c:pt>
                <c:pt idx="1">
                  <c:v>5669.7490212757966</c:v>
                </c:pt>
                <c:pt idx="2">
                  <c:v>5669.7490212757966</c:v>
                </c:pt>
                <c:pt idx="3">
                  <c:v>5669.7490212757966</c:v>
                </c:pt>
                <c:pt idx="4">
                  <c:v>5669.7490212757966</c:v>
                </c:pt>
                <c:pt idx="5">
                  <c:v>5669.7490212757966</c:v>
                </c:pt>
                <c:pt idx="6">
                  <c:v>5669.7490212757966</c:v>
                </c:pt>
                <c:pt idx="7">
                  <c:v>5669.7490212757966</c:v>
                </c:pt>
                <c:pt idx="8">
                  <c:v>5669.7490212757966</c:v>
                </c:pt>
                <c:pt idx="9">
                  <c:v>5669.7490212757966</c:v>
                </c:pt>
                <c:pt idx="10">
                  <c:v>5669.7490212757966</c:v>
                </c:pt>
                <c:pt idx="11">
                  <c:v>5669.7490212757966</c:v>
                </c:pt>
                <c:pt idx="12">
                  <c:v>5669.7490212757966</c:v>
                </c:pt>
                <c:pt idx="13">
                  <c:v>5669.7490212757966</c:v>
                </c:pt>
                <c:pt idx="14">
                  <c:v>5669.7490212757966</c:v>
                </c:pt>
                <c:pt idx="15">
                  <c:v>5669.7490212757966</c:v>
                </c:pt>
                <c:pt idx="16">
                  <c:v>5669.7490212757966</c:v>
                </c:pt>
                <c:pt idx="17">
                  <c:v>5669.7490212757966</c:v>
                </c:pt>
                <c:pt idx="18">
                  <c:v>5669.7490212757966</c:v>
                </c:pt>
                <c:pt idx="19">
                  <c:v>5669.7490212757966</c:v>
                </c:pt>
                <c:pt idx="20">
                  <c:v>5669.7490212757966</c:v>
                </c:pt>
                <c:pt idx="21">
                  <c:v>5669.7490212757966</c:v>
                </c:pt>
                <c:pt idx="22">
                  <c:v>5669.7490212757966</c:v>
                </c:pt>
                <c:pt idx="23">
                  <c:v>5669.7490212757966</c:v>
                </c:pt>
                <c:pt idx="24">
                  <c:v>5669.7490212757966</c:v>
                </c:pt>
                <c:pt idx="25">
                  <c:v>5669.7490212757966</c:v>
                </c:pt>
                <c:pt idx="26">
                  <c:v>5669.7490212757966</c:v>
                </c:pt>
                <c:pt idx="27">
                  <c:v>5669.7490212757966</c:v>
                </c:pt>
                <c:pt idx="28">
                  <c:v>5669.7490212757966</c:v>
                </c:pt>
                <c:pt idx="29">
                  <c:v>5669.7490212757966</c:v>
                </c:pt>
                <c:pt idx="30">
                  <c:v>5669.7490212757966</c:v>
                </c:pt>
                <c:pt idx="31">
                  <c:v>5669.7490212757966</c:v>
                </c:pt>
              </c:numCache>
            </c:numRef>
          </c:val>
        </c:ser>
        <c:ser>
          <c:idx val="3"/>
          <c:order val="3"/>
          <c:tx>
            <c:strRef>
              <c:f>WillMartinModel!$D$125</c:f>
              <c:strCache>
                <c:ptCount val="1"/>
                <c:pt idx="0">
                  <c:v>Maintenance</c:v>
                </c:pt>
              </c:strCache>
            </c:strRef>
          </c:tx>
          <c:cat>
            <c:numRef>
              <c:f>WillMartinModel!$Y$121:$BD$121</c:f>
              <c:numCache>
                <c:formatCode>0</c:formatCode>
                <c:ptCount val="32"/>
                <c:pt idx="0">
                  <c:v>2015</c:v>
                </c:pt>
                <c:pt idx="1">
                  <c:v>2016</c:v>
                </c:pt>
                <c:pt idx="2">
                  <c:v>2017</c:v>
                </c:pt>
                <c:pt idx="3">
                  <c:v>2018</c:v>
                </c:pt>
                <c:pt idx="4">
                  <c:v>2019</c:v>
                </c:pt>
                <c:pt idx="5">
                  <c:v>2020</c:v>
                </c:pt>
                <c:pt idx="6">
                  <c:v>2021</c:v>
                </c:pt>
                <c:pt idx="7">
                  <c:v>2022</c:v>
                </c:pt>
                <c:pt idx="8">
                  <c:v>2023</c:v>
                </c:pt>
                <c:pt idx="9">
                  <c:v>2024</c:v>
                </c:pt>
                <c:pt idx="10">
                  <c:v>2025</c:v>
                </c:pt>
                <c:pt idx="11">
                  <c:v>2026</c:v>
                </c:pt>
                <c:pt idx="12">
                  <c:v>2027</c:v>
                </c:pt>
                <c:pt idx="13">
                  <c:v>2028</c:v>
                </c:pt>
                <c:pt idx="14">
                  <c:v>2029</c:v>
                </c:pt>
                <c:pt idx="15">
                  <c:v>2030</c:v>
                </c:pt>
                <c:pt idx="16">
                  <c:v>2031</c:v>
                </c:pt>
                <c:pt idx="17">
                  <c:v>2032</c:v>
                </c:pt>
                <c:pt idx="18">
                  <c:v>2033</c:v>
                </c:pt>
                <c:pt idx="19">
                  <c:v>2034</c:v>
                </c:pt>
                <c:pt idx="20">
                  <c:v>2035</c:v>
                </c:pt>
                <c:pt idx="21">
                  <c:v>2036</c:v>
                </c:pt>
                <c:pt idx="22">
                  <c:v>2037</c:v>
                </c:pt>
                <c:pt idx="23">
                  <c:v>2038</c:v>
                </c:pt>
                <c:pt idx="24">
                  <c:v>2039</c:v>
                </c:pt>
                <c:pt idx="25">
                  <c:v>2040</c:v>
                </c:pt>
                <c:pt idx="26">
                  <c:v>2041</c:v>
                </c:pt>
                <c:pt idx="27">
                  <c:v>2042</c:v>
                </c:pt>
                <c:pt idx="28">
                  <c:v>2043</c:v>
                </c:pt>
                <c:pt idx="29">
                  <c:v>2044</c:v>
                </c:pt>
                <c:pt idx="30">
                  <c:v>2045</c:v>
                </c:pt>
                <c:pt idx="31">
                  <c:v>2046</c:v>
                </c:pt>
              </c:numCache>
            </c:numRef>
          </c:cat>
          <c:val>
            <c:numRef>
              <c:f>WillMartinModel!$Y$125:$BD$125</c:f>
              <c:numCache>
                <c:formatCode>_("$"* #,##0_);_("$"* \(#,##0\);_("$"* "-"??_);_(@_)</c:formatCode>
                <c:ptCount val="32"/>
                <c:pt idx="0">
                  <c:v>2499.6546753325392</c:v>
                </c:pt>
                <c:pt idx="1">
                  <c:v>2499.6546753325392</c:v>
                </c:pt>
                <c:pt idx="2">
                  <c:v>2499.6546753325392</c:v>
                </c:pt>
                <c:pt idx="3">
                  <c:v>2499.6546753325392</c:v>
                </c:pt>
                <c:pt idx="4">
                  <c:v>2499.6546753325392</c:v>
                </c:pt>
                <c:pt idx="5">
                  <c:v>2499.6546753325392</c:v>
                </c:pt>
                <c:pt idx="6">
                  <c:v>2499.6546753325392</c:v>
                </c:pt>
                <c:pt idx="7">
                  <c:v>2499.6546753325392</c:v>
                </c:pt>
                <c:pt idx="8">
                  <c:v>2499.6546753325392</c:v>
                </c:pt>
                <c:pt idx="9">
                  <c:v>2499.6546753325392</c:v>
                </c:pt>
                <c:pt idx="10">
                  <c:v>2499.6546753325392</c:v>
                </c:pt>
                <c:pt idx="11">
                  <c:v>2499.6546753325392</c:v>
                </c:pt>
                <c:pt idx="12">
                  <c:v>2499.6546753325392</c:v>
                </c:pt>
                <c:pt idx="13">
                  <c:v>2499.6546753325392</c:v>
                </c:pt>
                <c:pt idx="14">
                  <c:v>2499.6546753325392</c:v>
                </c:pt>
                <c:pt idx="15">
                  <c:v>2499.6546753325392</c:v>
                </c:pt>
                <c:pt idx="16">
                  <c:v>2499.6546753325392</c:v>
                </c:pt>
                <c:pt idx="17">
                  <c:v>2499.6546753325392</c:v>
                </c:pt>
                <c:pt idx="18">
                  <c:v>2499.6546753325392</c:v>
                </c:pt>
                <c:pt idx="19">
                  <c:v>2499.6546753325392</c:v>
                </c:pt>
                <c:pt idx="20">
                  <c:v>2499.6546753325392</c:v>
                </c:pt>
                <c:pt idx="21">
                  <c:v>2499.6546753325392</c:v>
                </c:pt>
                <c:pt idx="22">
                  <c:v>2499.6546753325392</c:v>
                </c:pt>
                <c:pt idx="23">
                  <c:v>2499.6546753325392</c:v>
                </c:pt>
                <c:pt idx="24">
                  <c:v>2499.6546753325392</c:v>
                </c:pt>
                <c:pt idx="25">
                  <c:v>2499.6546753325392</c:v>
                </c:pt>
                <c:pt idx="26">
                  <c:v>2499.6546753325392</c:v>
                </c:pt>
                <c:pt idx="27">
                  <c:v>2499.6546753325392</c:v>
                </c:pt>
                <c:pt idx="28">
                  <c:v>2499.6546753325392</c:v>
                </c:pt>
                <c:pt idx="29">
                  <c:v>2499.6546753325392</c:v>
                </c:pt>
                <c:pt idx="30">
                  <c:v>2499.6546753325392</c:v>
                </c:pt>
                <c:pt idx="31">
                  <c:v>2499.6546753325392</c:v>
                </c:pt>
              </c:numCache>
            </c:numRef>
          </c:val>
        </c:ser>
        <c:ser>
          <c:idx val="4"/>
          <c:order val="4"/>
          <c:tx>
            <c:strRef>
              <c:f>WillMartinModel!$D$126</c:f>
              <c:strCache>
                <c:ptCount val="1"/>
                <c:pt idx="0">
                  <c:v>Repairs</c:v>
                </c:pt>
              </c:strCache>
            </c:strRef>
          </c:tx>
          <c:cat>
            <c:numRef>
              <c:f>WillMartinModel!$Y$121:$BD$121</c:f>
              <c:numCache>
                <c:formatCode>0</c:formatCode>
                <c:ptCount val="32"/>
                <c:pt idx="0">
                  <c:v>2015</c:v>
                </c:pt>
                <c:pt idx="1">
                  <c:v>2016</c:v>
                </c:pt>
                <c:pt idx="2">
                  <c:v>2017</c:v>
                </c:pt>
                <c:pt idx="3">
                  <c:v>2018</c:v>
                </c:pt>
                <c:pt idx="4">
                  <c:v>2019</c:v>
                </c:pt>
                <c:pt idx="5">
                  <c:v>2020</c:v>
                </c:pt>
                <c:pt idx="6">
                  <c:v>2021</c:v>
                </c:pt>
                <c:pt idx="7">
                  <c:v>2022</c:v>
                </c:pt>
                <c:pt idx="8">
                  <c:v>2023</c:v>
                </c:pt>
                <c:pt idx="9">
                  <c:v>2024</c:v>
                </c:pt>
                <c:pt idx="10">
                  <c:v>2025</c:v>
                </c:pt>
                <c:pt idx="11">
                  <c:v>2026</c:v>
                </c:pt>
                <c:pt idx="12">
                  <c:v>2027</c:v>
                </c:pt>
                <c:pt idx="13">
                  <c:v>2028</c:v>
                </c:pt>
                <c:pt idx="14">
                  <c:v>2029</c:v>
                </c:pt>
                <c:pt idx="15">
                  <c:v>2030</c:v>
                </c:pt>
                <c:pt idx="16">
                  <c:v>2031</c:v>
                </c:pt>
                <c:pt idx="17">
                  <c:v>2032</c:v>
                </c:pt>
                <c:pt idx="18">
                  <c:v>2033</c:v>
                </c:pt>
                <c:pt idx="19">
                  <c:v>2034</c:v>
                </c:pt>
                <c:pt idx="20">
                  <c:v>2035</c:v>
                </c:pt>
                <c:pt idx="21">
                  <c:v>2036</c:v>
                </c:pt>
                <c:pt idx="22">
                  <c:v>2037</c:v>
                </c:pt>
                <c:pt idx="23">
                  <c:v>2038</c:v>
                </c:pt>
                <c:pt idx="24">
                  <c:v>2039</c:v>
                </c:pt>
                <c:pt idx="25">
                  <c:v>2040</c:v>
                </c:pt>
                <c:pt idx="26">
                  <c:v>2041</c:v>
                </c:pt>
                <c:pt idx="27">
                  <c:v>2042</c:v>
                </c:pt>
                <c:pt idx="28">
                  <c:v>2043</c:v>
                </c:pt>
                <c:pt idx="29">
                  <c:v>2044</c:v>
                </c:pt>
                <c:pt idx="30">
                  <c:v>2045</c:v>
                </c:pt>
                <c:pt idx="31">
                  <c:v>2046</c:v>
                </c:pt>
              </c:numCache>
            </c:numRef>
          </c:cat>
          <c:val>
            <c:numRef>
              <c:f>WillMartinModel!$Y$126:$BD$126</c:f>
              <c:numCache>
                <c:formatCode>_("$"* #,##0_);_("$"* \(#,##0\);_("$"* "-"??_);_(@_)</c:formatCode>
                <c:ptCount val="32"/>
                <c:pt idx="0">
                  <c:v>764.06497282289502</c:v>
                </c:pt>
                <c:pt idx="1">
                  <c:v>764.06497282289502</c:v>
                </c:pt>
                <c:pt idx="2">
                  <c:v>764.06497282289502</c:v>
                </c:pt>
                <c:pt idx="3">
                  <c:v>764.06497282289502</c:v>
                </c:pt>
                <c:pt idx="4">
                  <c:v>764.06497282289502</c:v>
                </c:pt>
                <c:pt idx="5">
                  <c:v>764.06497282289502</c:v>
                </c:pt>
                <c:pt idx="6">
                  <c:v>764.06497282289502</c:v>
                </c:pt>
                <c:pt idx="7">
                  <c:v>764.06497282289502</c:v>
                </c:pt>
                <c:pt idx="8">
                  <c:v>764.06497282289502</c:v>
                </c:pt>
                <c:pt idx="9">
                  <c:v>764.06497282289502</c:v>
                </c:pt>
                <c:pt idx="10">
                  <c:v>764.06497282289502</c:v>
                </c:pt>
                <c:pt idx="11">
                  <c:v>764.06497282289502</c:v>
                </c:pt>
                <c:pt idx="12">
                  <c:v>764.06497282289502</c:v>
                </c:pt>
                <c:pt idx="13">
                  <c:v>764.06497282289502</c:v>
                </c:pt>
                <c:pt idx="14">
                  <c:v>764.06497282289502</c:v>
                </c:pt>
                <c:pt idx="15">
                  <c:v>764.06497282289502</c:v>
                </c:pt>
                <c:pt idx="16">
                  <c:v>764.06497282289502</c:v>
                </c:pt>
                <c:pt idx="17">
                  <c:v>764.06497282289502</c:v>
                </c:pt>
                <c:pt idx="18">
                  <c:v>764.06497282289502</c:v>
                </c:pt>
                <c:pt idx="19">
                  <c:v>764.06497282289502</c:v>
                </c:pt>
                <c:pt idx="20">
                  <c:v>764.06497282289502</c:v>
                </c:pt>
                <c:pt idx="21">
                  <c:v>764.06497282289502</c:v>
                </c:pt>
                <c:pt idx="22">
                  <c:v>764.06497282289502</c:v>
                </c:pt>
                <c:pt idx="23">
                  <c:v>764.06497282289502</c:v>
                </c:pt>
                <c:pt idx="24">
                  <c:v>764.06497282289502</c:v>
                </c:pt>
                <c:pt idx="25">
                  <c:v>764.06497282289502</c:v>
                </c:pt>
                <c:pt idx="26">
                  <c:v>764.06497282289502</c:v>
                </c:pt>
                <c:pt idx="27">
                  <c:v>764.06497282289502</c:v>
                </c:pt>
                <c:pt idx="28">
                  <c:v>764.06497282289502</c:v>
                </c:pt>
                <c:pt idx="29">
                  <c:v>764.06497282289502</c:v>
                </c:pt>
                <c:pt idx="30">
                  <c:v>764.06497282289502</c:v>
                </c:pt>
                <c:pt idx="31">
                  <c:v>764.06497282289502</c:v>
                </c:pt>
              </c:numCache>
            </c:numRef>
          </c:val>
        </c:ser>
        <c:ser>
          <c:idx val="5"/>
          <c:order val="5"/>
          <c:tx>
            <c:strRef>
              <c:f>WillMartinModel!$D$127</c:f>
              <c:strCache>
                <c:ptCount val="1"/>
                <c:pt idx="0">
                  <c:v>Fuel</c:v>
                </c:pt>
              </c:strCache>
            </c:strRef>
          </c:tx>
          <c:cat>
            <c:numRef>
              <c:f>WillMartinModel!$Y$121:$BD$121</c:f>
              <c:numCache>
                <c:formatCode>0</c:formatCode>
                <c:ptCount val="32"/>
                <c:pt idx="0">
                  <c:v>2015</c:v>
                </c:pt>
                <c:pt idx="1">
                  <c:v>2016</c:v>
                </c:pt>
                <c:pt idx="2">
                  <c:v>2017</c:v>
                </c:pt>
                <c:pt idx="3">
                  <c:v>2018</c:v>
                </c:pt>
                <c:pt idx="4">
                  <c:v>2019</c:v>
                </c:pt>
                <c:pt idx="5">
                  <c:v>2020</c:v>
                </c:pt>
                <c:pt idx="6">
                  <c:v>2021</c:v>
                </c:pt>
                <c:pt idx="7">
                  <c:v>2022</c:v>
                </c:pt>
                <c:pt idx="8">
                  <c:v>2023</c:v>
                </c:pt>
                <c:pt idx="9">
                  <c:v>2024</c:v>
                </c:pt>
                <c:pt idx="10">
                  <c:v>2025</c:v>
                </c:pt>
                <c:pt idx="11">
                  <c:v>2026</c:v>
                </c:pt>
                <c:pt idx="12">
                  <c:v>2027</c:v>
                </c:pt>
                <c:pt idx="13">
                  <c:v>2028</c:v>
                </c:pt>
                <c:pt idx="14">
                  <c:v>2029</c:v>
                </c:pt>
                <c:pt idx="15">
                  <c:v>2030</c:v>
                </c:pt>
                <c:pt idx="16">
                  <c:v>2031</c:v>
                </c:pt>
                <c:pt idx="17">
                  <c:v>2032</c:v>
                </c:pt>
                <c:pt idx="18">
                  <c:v>2033</c:v>
                </c:pt>
                <c:pt idx="19">
                  <c:v>2034</c:v>
                </c:pt>
                <c:pt idx="20">
                  <c:v>2035</c:v>
                </c:pt>
                <c:pt idx="21">
                  <c:v>2036</c:v>
                </c:pt>
                <c:pt idx="22">
                  <c:v>2037</c:v>
                </c:pt>
                <c:pt idx="23">
                  <c:v>2038</c:v>
                </c:pt>
                <c:pt idx="24">
                  <c:v>2039</c:v>
                </c:pt>
                <c:pt idx="25">
                  <c:v>2040</c:v>
                </c:pt>
                <c:pt idx="26">
                  <c:v>2041</c:v>
                </c:pt>
                <c:pt idx="27">
                  <c:v>2042</c:v>
                </c:pt>
                <c:pt idx="28">
                  <c:v>2043</c:v>
                </c:pt>
                <c:pt idx="29">
                  <c:v>2044</c:v>
                </c:pt>
                <c:pt idx="30">
                  <c:v>2045</c:v>
                </c:pt>
                <c:pt idx="31">
                  <c:v>2046</c:v>
                </c:pt>
              </c:numCache>
            </c:numRef>
          </c:cat>
          <c:val>
            <c:numRef>
              <c:f>WillMartinModel!$Y$127:$BD$127</c:f>
              <c:numCache>
                <c:formatCode>_("$"* #,##0_);_("$"* \(#,##0\);_("$"* "-"??_);_(@_)</c:formatCode>
                <c:ptCount val="32"/>
                <c:pt idx="0">
                  <c:v>3180.1108264330142</c:v>
                </c:pt>
                <c:pt idx="1">
                  <c:v>3071.8449826426813</c:v>
                </c:pt>
                <c:pt idx="2">
                  <c:v>2979.9552828598098</c:v>
                </c:pt>
                <c:pt idx="3">
                  <c:v>2900.5896016902125</c:v>
                </c:pt>
                <c:pt idx="4">
                  <c:v>2822.0750646627444</c:v>
                </c:pt>
                <c:pt idx="5">
                  <c:v>2746.745402758128</c:v>
                </c:pt>
                <c:pt idx="6">
                  <c:v>2675.2544414666045</c:v>
                </c:pt>
                <c:pt idx="7">
                  <c:v>2604.5726049277137</c:v>
                </c:pt>
                <c:pt idx="8">
                  <c:v>2538.1538071863083</c:v>
                </c:pt>
                <c:pt idx="9">
                  <c:v>2474.6703914162936</c:v>
                </c:pt>
                <c:pt idx="10">
                  <c:v>2414.6829740624175</c:v>
                </c:pt>
                <c:pt idx="11">
                  <c:v>2356.8115782800096</c:v>
                </c:pt>
                <c:pt idx="12">
                  <c:v>2317.3717848344654</c:v>
                </c:pt>
                <c:pt idx="13">
                  <c:v>2281.5389588725711</c:v>
                </c:pt>
                <c:pt idx="14">
                  <c:v>2250.4866216444007</c:v>
                </c:pt>
                <c:pt idx="15">
                  <c:v>2221.702467561478</c:v>
                </c:pt>
                <c:pt idx="16">
                  <c:v>2193.2956525753266</c:v>
                </c:pt>
                <c:pt idx="17">
                  <c:v>2194.350470924961</c:v>
                </c:pt>
                <c:pt idx="18">
                  <c:v>2203.6609326384273</c:v>
                </c:pt>
                <c:pt idx="19">
                  <c:v>2221.8020152483414</c:v>
                </c:pt>
                <c:pt idx="20">
                  <c:v>2250.77787998333</c:v>
                </c:pt>
                <c:pt idx="21">
                  <c:v>2295.5108030189685</c:v>
                </c:pt>
                <c:pt idx="22">
                  <c:v>2281.8422749750434</c:v>
                </c:pt>
                <c:pt idx="23">
                  <c:v>2268.1788998605325</c:v>
                </c:pt>
                <c:pt idx="24">
                  <c:v>2254.5157726708858</c:v>
                </c:pt>
                <c:pt idx="25">
                  <c:v>2240.8476736032453</c:v>
                </c:pt>
                <c:pt idx="26">
                  <c:v>2227.1690458675503</c:v>
                </c:pt>
                <c:pt idx="27">
                  <c:v>2213.5004535127819</c:v>
                </c:pt>
                <c:pt idx="28">
                  <c:v>2199.8371554890864</c:v>
                </c:pt>
                <c:pt idx="29">
                  <c:v>2186.1741091892218</c:v>
                </c:pt>
                <c:pt idx="30">
                  <c:v>2172.5059491728248</c:v>
                </c:pt>
                <c:pt idx="31">
                  <c:v>2158.8269644022726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64167224"/>
        <c:axId val="264167616"/>
      </c:areaChart>
      <c:catAx>
        <c:axId val="264167224"/>
        <c:scaling>
          <c:orientation val="minMax"/>
        </c:scaling>
        <c:delete val="0"/>
        <c:axPos val="b"/>
        <c:numFmt formatCode="0" sourceLinked="1"/>
        <c:majorTickMark val="out"/>
        <c:minorTickMark val="none"/>
        <c:tickLblPos val="nextTo"/>
        <c:crossAx val="264167616"/>
        <c:crosses val="autoZero"/>
        <c:auto val="1"/>
        <c:lblAlgn val="ctr"/>
        <c:lblOffset val="100"/>
        <c:noMultiLvlLbl val="0"/>
      </c:catAx>
      <c:valAx>
        <c:axId val="264167616"/>
        <c:scaling>
          <c:orientation val="minMax"/>
          <c:max val="35000"/>
          <c:min val="0"/>
        </c:scaling>
        <c:delete val="0"/>
        <c:axPos val="l"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 sz="1800" b="0" i="0" baseline="0">
                    <a:effectLst/>
                  </a:rPr>
                  <a:t>Discounted 5-Year Total Cost of Ownership</a:t>
                </a:r>
                <a:endParaRPr lang="en-US">
                  <a:effectLst/>
                </a:endParaRPr>
              </a:p>
            </c:rich>
          </c:tx>
          <c:overlay val="0"/>
        </c:title>
        <c:numFmt formatCode="_(&quot;$&quot;* #,##0_);_(&quot;$&quot;* \(#,##0\);_(&quot;$&quot;* &quot;-&quot;??_);_(@_)" sourceLinked="1"/>
        <c:majorTickMark val="out"/>
        <c:minorTickMark val="none"/>
        <c:tickLblPos val="nextTo"/>
        <c:crossAx val="264167224"/>
        <c:crosses val="autoZero"/>
        <c:crossBetween val="midCat"/>
      </c:valAx>
    </c:plotArea>
    <c:legend>
      <c:legendPos val="r"/>
      <c:overlay val="0"/>
    </c:legend>
    <c:plotVisOnly val="1"/>
    <c:dispBlanksAs val="zero"/>
    <c:showDLblsOverMax val="0"/>
  </c:chart>
  <c:txPr>
    <a:bodyPr/>
    <a:lstStyle/>
    <a:p>
      <a:pPr>
        <a:defRPr sz="1600">
          <a:latin typeface="Tahoma" panose="020B0604030504040204" pitchFamily="34" charset="0"/>
          <a:ea typeface="Tahoma" panose="020B0604030504040204" pitchFamily="34" charset="0"/>
          <a:cs typeface="Tahoma" panose="020B0604030504040204" pitchFamily="34" charset="0"/>
        </a:defRPr>
      </a:pPr>
      <a:endParaRPr lang="en-US"/>
    </a:p>
  </c:txPr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WillMartinModel!$D$131</c:f>
              <c:strCache>
                <c:ptCount val="1"/>
                <c:pt idx="0">
                  <c:v>Nissan Versa Note</c:v>
                </c:pt>
              </c:strCache>
            </c:strRef>
          </c:tx>
          <c:spPr>
            <a:ln w="57150"/>
          </c:spPr>
          <c:marker>
            <c:symbol val="none"/>
          </c:marker>
          <c:cat>
            <c:numRef>
              <c:f>WillMartinModel!$E$130:$AJ$130</c:f>
              <c:numCache>
                <c:formatCode>0</c:formatCode>
                <c:ptCount val="32"/>
                <c:pt idx="0">
                  <c:v>2015</c:v>
                </c:pt>
                <c:pt idx="1">
                  <c:v>2016</c:v>
                </c:pt>
                <c:pt idx="2">
                  <c:v>2017</c:v>
                </c:pt>
                <c:pt idx="3">
                  <c:v>2018</c:v>
                </c:pt>
                <c:pt idx="4">
                  <c:v>2019</c:v>
                </c:pt>
                <c:pt idx="5">
                  <c:v>2020</c:v>
                </c:pt>
                <c:pt idx="6">
                  <c:v>2021</c:v>
                </c:pt>
                <c:pt idx="7">
                  <c:v>2022</c:v>
                </c:pt>
                <c:pt idx="8">
                  <c:v>2023</c:v>
                </c:pt>
                <c:pt idx="9">
                  <c:v>2024</c:v>
                </c:pt>
                <c:pt idx="10">
                  <c:v>2025</c:v>
                </c:pt>
                <c:pt idx="11">
                  <c:v>2026</c:v>
                </c:pt>
                <c:pt idx="12">
                  <c:v>2027</c:v>
                </c:pt>
                <c:pt idx="13">
                  <c:v>2028</c:v>
                </c:pt>
                <c:pt idx="14">
                  <c:v>2029</c:v>
                </c:pt>
                <c:pt idx="15">
                  <c:v>2030</c:v>
                </c:pt>
                <c:pt idx="16">
                  <c:v>2031</c:v>
                </c:pt>
                <c:pt idx="17">
                  <c:v>2032</c:v>
                </c:pt>
                <c:pt idx="18">
                  <c:v>2033</c:v>
                </c:pt>
                <c:pt idx="19">
                  <c:v>2034</c:v>
                </c:pt>
                <c:pt idx="20">
                  <c:v>2035</c:v>
                </c:pt>
                <c:pt idx="21">
                  <c:v>2036</c:v>
                </c:pt>
                <c:pt idx="22">
                  <c:v>2037</c:v>
                </c:pt>
                <c:pt idx="23">
                  <c:v>2038</c:v>
                </c:pt>
                <c:pt idx="24">
                  <c:v>2039</c:v>
                </c:pt>
                <c:pt idx="25">
                  <c:v>2040</c:v>
                </c:pt>
                <c:pt idx="26">
                  <c:v>2041</c:v>
                </c:pt>
                <c:pt idx="27">
                  <c:v>2042</c:v>
                </c:pt>
                <c:pt idx="28">
                  <c:v>2043</c:v>
                </c:pt>
                <c:pt idx="29">
                  <c:v>2044</c:v>
                </c:pt>
                <c:pt idx="30">
                  <c:v>2045</c:v>
                </c:pt>
                <c:pt idx="31">
                  <c:v>2046</c:v>
                </c:pt>
              </c:numCache>
            </c:numRef>
          </c:cat>
          <c:val>
            <c:numRef>
              <c:f>WillMartinModel!$E$131:$AJ$131</c:f>
              <c:numCache>
                <c:formatCode>_("$"* #,##0_);_("$"* \(#,##0\);_("$"* "-"??_);_(@_)</c:formatCode>
                <c:ptCount val="32"/>
                <c:pt idx="0">
                  <c:v>27229.378150637771</c:v>
                </c:pt>
                <c:pt idx="1">
                  <c:v>27347.844038765044</c:v>
                </c:pt>
                <c:pt idx="2">
                  <c:v>27468.228951078283</c:v>
                </c:pt>
                <c:pt idx="3">
                  <c:v>27590.563973773569</c:v>
                </c:pt>
                <c:pt idx="4">
                  <c:v>27714.880696611017</c:v>
                </c:pt>
                <c:pt idx="5">
                  <c:v>27841.211221072008</c:v>
                </c:pt>
                <c:pt idx="6">
                  <c:v>27969.588168648548</c:v>
                </c:pt>
                <c:pt idx="7">
                  <c:v>28100.044689266866</c:v>
                </c:pt>
                <c:pt idx="8">
                  <c:v>28232.61446984754</c:v>
                </c:pt>
                <c:pt idx="9">
                  <c:v>28367.331743004215</c:v>
                </c:pt>
                <c:pt idx="10">
                  <c:v>28504.231295883284</c:v>
                </c:pt>
                <c:pt idx="11">
                  <c:v>28643.348479146734</c:v>
                </c:pt>
                <c:pt idx="12">
                  <c:v>28784.719216100508</c:v>
                </c:pt>
                <c:pt idx="13">
                  <c:v>28928.380011970738</c:v>
                </c:pt>
                <c:pt idx="14">
                  <c:v>29074.367963330278</c:v>
                </c:pt>
                <c:pt idx="15">
                  <c:v>29222.720767677863</c:v>
                </c:pt>
                <c:pt idx="16">
                  <c:v>29373.476733172505</c:v>
                </c:pt>
                <c:pt idx="17">
                  <c:v>29526.674788525561</c:v>
                </c:pt>
                <c:pt idx="18">
                  <c:v>29682.354493053019</c:v>
                </c:pt>
                <c:pt idx="19">
                  <c:v>29840.556046890655</c:v>
                </c:pt>
                <c:pt idx="20">
                  <c:v>30001.320301374624</c:v>
                </c:pt>
                <c:pt idx="21">
                  <c:v>30164.688769590248</c:v>
                </c:pt>
                <c:pt idx="22">
                  <c:v>30330.703637091665</c:v>
                </c:pt>
                <c:pt idx="23">
                  <c:v>30499.407772795112</c:v>
                </c:pt>
                <c:pt idx="24">
                  <c:v>30670.844740048684</c:v>
                </c:pt>
                <c:pt idx="25">
                  <c:v>30845.058807881418</c:v>
                </c:pt>
                <c:pt idx="26">
                  <c:v>31022.094962434574</c:v>
                </c:pt>
                <c:pt idx="27">
                  <c:v>31201.998918578123</c:v>
                </c:pt>
                <c:pt idx="28">
                  <c:v>31384.817131715383</c:v>
                </c:pt>
                <c:pt idx="29">
                  <c:v>31570.596809778894</c:v>
                </c:pt>
                <c:pt idx="30">
                  <c:v>31759.385925420611</c:v>
                </c:pt>
                <c:pt idx="31">
                  <c:v>31951.233228399557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WillMartinModel!$D$132</c:f>
              <c:strCache>
                <c:ptCount val="1"/>
                <c:pt idx="0">
                  <c:v>Nissan Leaf w/o Tax Credit</c:v>
                </c:pt>
              </c:strCache>
            </c:strRef>
          </c:tx>
          <c:spPr>
            <a:ln w="57150"/>
          </c:spPr>
          <c:marker>
            <c:symbol val="none"/>
          </c:marker>
          <c:cat>
            <c:numRef>
              <c:f>WillMartinModel!$E$130:$AJ$130</c:f>
              <c:numCache>
                <c:formatCode>0</c:formatCode>
                <c:ptCount val="32"/>
                <c:pt idx="0">
                  <c:v>2015</c:v>
                </c:pt>
                <c:pt idx="1">
                  <c:v>2016</c:v>
                </c:pt>
                <c:pt idx="2">
                  <c:v>2017</c:v>
                </c:pt>
                <c:pt idx="3">
                  <c:v>2018</c:v>
                </c:pt>
                <c:pt idx="4">
                  <c:v>2019</c:v>
                </c:pt>
                <c:pt idx="5">
                  <c:v>2020</c:v>
                </c:pt>
                <c:pt idx="6">
                  <c:v>2021</c:v>
                </c:pt>
                <c:pt idx="7">
                  <c:v>2022</c:v>
                </c:pt>
                <c:pt idx="8">
                  <c:v>2023</c:v>
                </c:pt>
                <c:pt idx="9">
                  <c:v>2024</c:v>
                </c:pt>
                <c:pt idx="10">
                  <c:v>2025</c:v>
                </c:pt>
                <c:pt idx="11">
                  <c:v>2026</c:v>
                </c:pt>
                <c:pt idx="12">
                  <c:v>2027</c:v>
                </c:pt>
                <c:pt idx="13">
                  <c:v>2028</c:v>
                </c:pt>
                <c:pt idx="14">
                  <c:v>2029</c:v>
                </c:pt>
                <c:pt idx="15">
                  <c:v>2030</c:v>
                </c:pt>
                <c:pt idx="16">
                  <c:v>2031</c:v>
                </c:pt>
                <c:pt idx="17">
                  <c:v>2032</c:v>
                </c:pt>
                <c:pt idx="18">
                  <c:v>2033</c:v>
                </c:pt>
                <c:pt idx="19">
                  <c:v>2034</c:v>
                </c:pt>
                <c:pt idx="20">
                  <c:v>2035</c:v>
                </c:pt>
                <c:pt idx="21">
                  <c:v>2036</c:v>
                </c:pt>
                <c:pt idx="22">
                  <c:v>2037</c:v>
                </c:pt>
                <c:pt idx="23">
                  <c:v>2038</c:v>
                </c:pt>
                <c:pt idx="24">
                  <c:v>2039</c:v>
                </c:pt>
                <c:pt idx="25">
                  <c:v>2040</c:v>
                </c:pt>
                <c:pt idx="26">
                  <c:v>2041</c:v>
                </c:pt>
                <c:pt idx="27">
                  <c:v>2042</c:v>
                </c:pt>
                <c:pt idx="28">
                  <c:v>2043</c:v>
                </c:pt>
                <c:pt idx="29">
                  <c:v>2044</c:v>
                </c:pt>
                <c:pt idx="30">
                  <c:v>2045</c:v>
                </c:pt>
                <c:pt idx="31">
                  <c:v>2046</c:v>
                </c:pt>
              </c:numCache>
            </c:numRef>
          </c:cat>
          <c:val>
            <c:numRef>
              <c:f>WillMartinModel!$E$132:$AJ$132</c:f>
              <c:numCache>
                <c:formatCode>_("$"* #,##0_);_("$"* \(#,##0\);_("$"* "-"??_);_(@_)</c:formatCode>
                <c:ptCount val="32"/>
                <c:pt idx="0">
                  <c:v>30142.630969649781</c:v>
                </c:pt>
                <c:pt idx="1">
                  <c:v>29511.908749383896</c:v>
                </c:pt>
                <c:pt idx="2">
                  <c:v>28967.253275573566</c:v>
                </c:pt>
                <c:pt idx="3">
                  <c:v>28513.5924425423</c:v>
                </c:pt>
                <c:pt idx="4">
                  <c:v>28099.696724798767</c:v>
                </c:pt>
                <c:pt idx="5">
                  <c:v>27715.774356507405</c:v>
                </c:pt>
                <c:pt idx="6">
                  <c:v>27388.837100201323</c:v>
                </c:pt>
                <c:pt idx="7">
                  <c:v>27074.856176262801</c:v>
                </c:pt>
                <c:pt idx="8">
                  <c:v>26781.629826627344</c:v>
                </c:pt>
                <c:pt idx="9">
                  <c:v>26500.08187291387</c:v>
                </c:pt>
                <c:pt idx="10">
                  <c:v>26227.864631392029</c:v>
                </c:pt>
                <c:pt idx="11">
                  <c:v>25963.899770175543</c:v>
                </c:pt>
                <c:pt idx="12">
                  <c:v>25725.986694224765</c:v>
                </c:pt>
                <c:pt idx="13">
                  <c:v>25499.228182757826</c:v>
                </c:pt>
                <c:pt idx="14">
                  <c:v>25285.20006340032</c:v>
                </c:pt>
                <c:pt idx="15">
                  <c:v>25081.764136839436</c:v>
                </c:pt>
                <c:pt idx="16">
                  <c:v>24902.488325543032</c:v>
                </c:pt>
                <c:pt idx="17">
                  <c:v>24759.432936880912</c:v>
                </c:pt>
                <c:pt idx="18">
                  <c:v>24632.82626271305</c:v>
                </c:pt>
                <c:pt idx="19">
                  <c:v>24524.479184371819</c:v>
                </c:pt>
                <c:pt idx="20">
                  <c:v>24471.177700587756</c:v>
                </c:pt>
                <c:pt idx="21">
                  <c:v>24399.04934821753</c:v>
                </c:pt>
                <c:pt idx="22">
                  <c:v>24274.498268242391</c:v>
                </c:pt>
                <c:pt idx="23">
                  <c:v>24155.795377025272</c:v>
                </c:pt>
                <c:pt idx="24">
                  <c:v>24042.540031305365</c:v>
                </c:pt>
                <c:pt idx="25">
                  <c:v>23934.060706395794</c:v>
                </c:pt>
                <c:pt idx="26">
                  <c:v>23823.643075827273</c:v>
                </c:pt>
                <c:pt idx="27">
                  <c:v>23716.848330385124</c:v>
                </c:pt>
                <c:pt idx="28">
                  <c:v>23613.265720673877</c:v>
                </c:pt>
                <c:pt idx="29">
                  <c:v>23512.438173791805</c:v>
                </c:pt>
                <c:pt idx="30">
                  <c:v>23413.898781638207</c:v>
                </c:pt>
                <c:pt idx="31">
                  <c:v>23317.216097435976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WillMartinModel!$D$133</c:f>
              <c:strCache>
                <c:ptCount val="1"/>
                <c:pt idx="0">
                  <c:v>Nissan Leaf w/ Tax Credit</c:v>
                </c:pt>
              </c:strCache>
            </c:strRef>
          </c:tx>
          <c:spPr>
            <a:ln w="57150"/>
          </c:spPr>
          <c:marker>
            <c:symbol val="none"/>
          </c:marker>
          <c:cat>
            <c:numRef>
              <c:f>WillMartinModel!$E$130:$AJ$130</c:f>
              <c:numCache>
                <c:formatCode>0</c:formatCode>
                <c:ptCount val="32"/>
                <c:pt idx="0">
                  <c:v>2015</c:v>
                </c:pt>
                <c:pt idx="1">
                  <c:v>2016</c:v>
                </c:pt>
                <c:pt idx="2">
                  <c:v>2017</c:v>
                </c:pt>
                <c:pt idx="3">
                  <c:v>2018</c:v>
                </c:pt>
                <c:pt idx="4">
                  <c:v>2019</c:v>
                </c:pt>
                <c:pt idx="5">
                  <c:v>2020</c:v>
                </c:pt>
                <c:pt idx="6">
                  <c:v>2021</c:v>
                </c:pt>
                <c:pt idx="7">
                  <c:v>2022</c:v>
                </c:pt>
                <c:pt idx="8">
                  <c:v>2023</c:v>
                </c:pt>
                <c:pt idx="9">
                  <c:v>2024</c:v>
                </c:pt>
                <c:pt idx="10">
                  <c:v>2025</c:v>
                </c:pt>
                <c:pt idx="11">
                  <c:v>2026</c:v>
                </c:pt>
                <c:pt idx="12">
                  <c:v>2027</c:v>
                </c:pt>
                <c:pt idx="13">
                  <c:v>2028</c:v>
                </c:pt>
                <c:pt idx="14">
                  <c:v>2029</c:v>
                </c:pt>
                <c:pt idx="15">
                  <c:v>2030</c:v>
                </c:pt>
                <c:pt idx="16">
                  <c:v>2031</c:v>
                </c:pt>
                <c:pt idx="17">
                  <c:v>2032</c:v>
                </c:pt>
                <c:pt idx="18">
                  <c:v>2033</c:v>
                </c:pt>
                <c:pt idx="19">
                  <c:v>2034</c:v>
                </c:pt>
                <c:pt idx="20">
                  <c:v>2035</c:v>
                </c:pt>
                <c:pt idx="21">
                  <c:v>2036</c:v>
                </c:pt>
                <c:pt idx="22">
                  <c:v>2037</c:v>
                </c:pt>
                <c:pt idx="23">
                  <c:v>2038</c:v>
                </c:pt>
                <c:pt idx="24">
                  <c:v>2039</c:v>
                </c:pt>
                <c:pt idx="25">
                  <c:v>2040</c:v>
                </c:pt>
                <c:pt idx="26">
                  <c:v>2041</c:v>
                </c:pt>
                <c:pt idx="27">
                  <c:v>2042</c:v>
                </c:pt>
                <c:pt idx="28">
                  <c:v>2043</c:v>
                </c:pt>
                <c:pt idx="29">
                  <c:v>2044</c:v>
                </c:pt>
                <c:pt idx="30">
                  <c:v>2045</c:v>
                </c:pt>
                <c:pt idx="31">
                  <c:v>2046</c:v>
                </c:pt>
              </c:numCache>
            </c:numRef>
          </c:cat>
          <c:val>
            <c:numRef>
              <c:f>WillMartinModel!$E$133:$AJ$133</c:f>
              <c:numCache>
                <c:formatCode>_("$"* #,##0_);_("$"* \(#,##0\);_("$"* "-"??_);_(@_)</c:formatCode>
                <c:ptCount val="32"/>
                <c:pt idx="0">
                  <c:v>27830.61582091116</c:v>
                </c:pt>
                <c:pt idx="1">
                  <c:v>27199.893600645279</c:v>
                </c:pt>
                <c:pt idx="2">
                  <c:v>26655.238126834942</c:v>
                </c:pt>
                <c:pt idx="3">
                  <c:v>26201.577293803675</c:v>
                </c:pt>
                <c:pt idx="4">
                  <c:v>25787.681576060146</c:v>
                </c:pt>
                <c:pt idx="5">
                  <c:v>25403.75920776878</c:v>
                </c:pt>
                <c:pt idx="6">
                  <c:v>25076.821951462702</c:v>
                </c:pt>
                <c:pt idx="7">
                  <c:v>24762.841027524177</c:v>
                </c:pt>
                <c:pt idx="8">
                  <c:v>24469.61467788872</c:v>
                </c:pt>
                <c:pt idx="9">
                  <c:v>24188.066724175249</c:v>
                </c:pt>
                <c:pt idx="10">
                  <c:v>23915.849482653408</c:v>
                </c:pt>
                <c:pt idx="11">
                  <c:v>23651.884621436922</c:v>
                </c:pt>
                <c:pt idx="12">
                  <c:v>23413.971545486143</c:v>
                </c:pt>
                <c:pt idx="13">
                  <c:v>23187.213034019205</c:v>
                </c:pt>
                <c:pt idx="14">
                  <c:v>22973.184914661702</c:v>
                </c:pt>
                <c:pt idx="15">
                  <c:v>22769.748988100811</c:v>
                </c:pt>
                <c:pt idx="16">
                  <c:v>22590.473176804411</c:v>
                </c:pt>
                <c:pt idx="17">
                  <c:v>22447.417788142291</c:v>
                </c:pt>
                <c:pt idx="18">
                  <c:v>22320.811113974429</c:v>
                </c:pt>
                <c:pt idx="19">
                  <c:v>22212.464035633198</c:v>
                </c:pt>
                <c:pt idx="20">
                  <c:v>22159.162551849131</c:v>
                </c:pt>
                <c:pt idx="21">
                  <c:v>22087.034199478909</c:v>
                </c:pt>
                <c:pt idx="22">
                  <c:v>21962.483119503766</c:v>
                </c:pt>
                <c:pt idx="23">
                  <c:v>21843.780228286647</c:v>
                </c:pt>
                <c:pt idx="24">
                  <c:v>21730.524882566744</c:v>
                </c:pt>
                <c:pt idx="25">
                  <c:v>21622.045557657169</c:v>
                </c:pt>
                <c:pt idx="26">
                  <c:v>21511.627927088652</c:v>
                </c:pt>
                <c:pt idx="27">
                  <c:v>21404.8331816465</c:v>
                </c:pt>
                <c:pt idx="28">
                  <c:v>21301.250571935252</c:v>
                </c:pt>
                <c:pt idx="29">
                  <c:v>21200.423025053184</c:v>
                </c:pt>
                <c:pt idx="30">
                  <c:v>21101.883632899586</c:v>
                </c:pt>
                <c:pt idx="31">
                  <c:v>21005.200948697351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64168400"/>
        <c:axId val="264168792"/>
      </c:lineChart>
      <c:catAx>
        <c:axId val="264168400"/>
        <c:scaling>
          <c:orientation val="minMax"/>
        </c:scaling>
        <c:delete val="0"/>
        <c:axPos val="b"/>
        <c:majorGridlines/>
        <c:numFmt formatCode="0" sourceLinked="1"/>
        <c:majorTickMark val="out"/>
        <c:minorTickMark val="none"/>
        <c:tickLblPos val="nextTo"/>
        <c:crossAx val="264168792"/>
        <c:crosses val="autoZero"/>
        <c:auto val="1"/>
        <c:lblAlgn val="ctr"/>
        <c:lblOffset val="100"/>
        <c:noMultiLvlLbl val="0"/>
      </c:catAx>
      <c:valAx>
        <c:axId val="264168792"/>
        <c:scaling>
          <c:orientation val="minMax"/>
          <c:max val="32000"/>
          <c:min val="20000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Discounted 5-Year Total Cost of Ownership</a:t>
                </a:r>
              </a:p>
            </c:rich>
          </c:tx>
          <c:overlay val="0"/>
        </c:title>
        <c:numFmt formatCode="_(&quot;$&quot;* #,##0_);_(&quot;$&quot;* \(#,##0\);_(&quot;$&quot;* &quot;-&quot;??_);_(@_)" sourceLinked="1"/>
        <c:majorTickMark val="out"/>
        <c:minorTickMark val="none"/>
        <c:tickLblPos val="nextTo"/>
        <c:crossAx val="26416840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txPr>
    <a:bodyPr/>
    <a:lstStyle/>
    <a:p>
      <a:pPr>
        <a:defRPr sz="1600" b="0">
          <a:latin typeface="Tahoma" panose="020B0604030504040204" pitchFamily="34" charset="0"/>
          <a:ea typeface="Tahoma" panose="020B0604030504040204" pitchFamily="34" charset="0"/>
          <a:cs typeface="Tahoma" panose="020B0604030504040204" pitchFamily="34" charset="0"/>
        </a:defRPr>
      </a:pPr>
      <a:endParaRPr lang="en-US"/>
    </a:p>
  </c:tx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chart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chart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chart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chart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chart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chart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chartsheets/sheet1.xml><?xml version="1.0" encoding="utf-8"?>
<chartsheet xmlns="http://schemas.openxmlformats.org/spreadsheetml/2006/main" xmlns:r="http://schemas.openxmlformats.org/officeDocument/2006/relationships">
  <sheetPr/>
  <sheetViews>
    <sheetView zoomScale="122" workbookViewId="0" zoomToFit="1"/>
  </sheetViews>
  <pageMargins left="0.7" right="0.7" top="0.75" bottom="0.75" header="0.3" footer="0.3"/>
  <drawing r:id="rId1"/>
</chartsheet>
</file>

<file path=xl/chartsheets/sheet2.xml><?xml version="1.0" encoding="utf-8"?>
<chartsheet xmlns="http://schemas.openxmlformats.org/spreadsheetml/2006/main" xmlns:r="http://schemas.openxmlformats.org/officeDocument/2006/relationships">
  <sheetPr/>
  <sheetViews>
    <sheetView zoomScale="122" workbookViewId="0" zoomToFit="1"/>
  </sheetViews>
  <pageMargins left="0.7" right="0.7" top="0.75" bottom="0.75" header="0.3" footer="0.3"/>
  <drawing r:id="rId1"/>
</chartsheet>
</file>

<file path=xl/chartsheets/sheet3.xml><?xml version="1.0" encoding="utf-8"?>
<chartsheet xmlns="http://schemas.openxmlformats.org/spreadsheetml/2006/main" xmlns:r="http://schemas.openxmlformats.org/officeDocument/2006/relationships">
  <sheetPr/>
  <sheetViews>
    <sheetView zoomScale="122" workbookViewId="0" zoomToFit="1"/>
  </sheetViews>
  <pageMargins left="0.7" right="0.7" top="0.75" bottom="0.75" header="0.3" footer="0.3"/>
  <drawing r:id="rId1"/>
</chartsheet>
</file>

<file path=xl/chartsheets/sheet4.xml><?xml version="1.0" encoding="utf-8"?>
<chartsheet xmlns="http://schemas.openxmlformats.org/spreadsheetml/2006/main" xmlns:r="http://schemas.openxmlformats.org/officeDocument/2006/relationships">
  <sheetPr/>
  <sheetViews>
    <sheetView zoomScale="122" workbookViewId="0" zoomToFit="1"/>
  </sheetViews>
  <pageMargins left="0.7" right="0.7" top="0.75" bottom="0.75" header="0.3" footer="0.3"/>
  <drawing r:id="rId1"/>
</chartsheet>
</file>

<file path=xl/chartsheets/sheet5.xml><?xml version="1.0" encoding="utf-8"?>
<chartsheet xmlns="http://schemas.openxmlformats.org/spreadsheetml/2006/main" xmlns:r="http://schemas.openxmlformats.org/officeDocument/2006/relationships">
  <sheetPr/>
  <sheetViews>
    <sheetView zoomScale="122" workbookViewId="0" zoomToFit="1"/>
  </sheetViews>
  <pageMargins left="0.7" right="0.7" top="0.75" bottom="0.75" header="0.3" footer="0.3"/>
  <drawing r:id="rId1"/>
</chartsheet>
</file>

<file path=xl/chartsheets/sheet6.xml><?xml version="1.0" encoding="utf-8"?>
<chartsheet xmlns="http://schemas.openxmlformats.org/spreadsheetml/2006/main" xmlns:r="http://schemas.openxmlformats.org/officeDocument/2006/relationships">
  <sheetPr/>
  <sheetViews>
    <sheetView zoomScale="122" workbookViewId="0" zoomToFit="1"/>
  </sheetViews>
  <pageMargins left="0.7" right="0.7" top="0.75" bottom="0.75" header="0.3" footer="0.3"/>
  <drawing r:id="rId1"/>
</chartsheet>
</file>

<file path=xl/chartsheets/sheet7.xml><?xml version="1.0" encoding="utf-8"?>
<chartsheet xmlns="http://schemas.openxmlformats.org/spreadsheetml/2006/main" xmlns:r="http://schemas.openxmlformats.org/officeDocument/2006/relationships">
  <sheetPr/>
  <sheetViews>
    <sheetView zoomScale="122" workbookViewId="0" zoomToFit="1"/>
  </sheetViews>
  <pageMargins left="0.7" right="0.7" top="0.75" bottom="0.75" header="0.3" footer="0.3"/>
  <drawing r:id="rId1"/>
</chartsheet>
</file>

<file path=xl/chartsheets/sheet8.xml><?xml version="1.0" encoding="utf-8"?>
<chartsheet xmlns="http://schemas.openxmlformats.org/spreadsheetml/2006/main" xmlns:r="http://schemas.openxmlformats.org/officeDocument/2006/relationships">
  <sheetPr/>
  <sheetViews>
    <sheetView zoomScale="115" workbookViewId="0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chart" Target="../charts/chart9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8666189" cy="6292746"/>
    <xdr:graphicFrame macro="">
      <xdr:nvGraphicFramePr>
        <xdr:cNvPr id="2" name="Chart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0.49584</cdr:x>
      <cdr:y>0.38168</cdr:y>
    </cdr:from>
    <cdr:to>
      <cdr:x>0.54017</cdr:x>
      <cdr:y>0.48346</cdr:y>
    </cdr:to>
    <cdr:cxnSp macro="">
      <cdr:nvCxnSpPr>
        <cdr:cNvPr id="4" name="Straight Arrow Connector 3"/>
        <cdr:cNvCxnSpPr/>
      </cdr:nvCxnSpPr>
      <cdr:spPr>
        <a:xfrm xmlns:a="http://schemas.openxmlformats.org/drawingml/2006/main">
          <a:off x="4298256" y="2401260"/>
          <a:ext cx="384202" cy="640338"/>
        </a:xfrm>
        <a:prstGeom xmlns:a="http://schemas.openxmlformats.org/drawingml/2006/main" prst="straightConnector1">
          <a:avLst/>
        </a:prstGeom>
        <a:ln xmlns:a="http://schemas.openxmlformats.org/drawingml/2006/main" w="53975">
          <a:tailEnd type="triangle"/>
        </a:ln>
      </cdr:spPr>
      <cdr:style>
        <a:lnRef xmlns:a="http://schemas.openxmlformats.org/drawingml/2006/main" idx="1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0.38091</cdr:x>
      <cdr:y>0.303</cdr:y>
    </cdr:from>
    <cdr:to>
      <cdr:x>0.63513</cdr:x>
      <cdr:y>0.35145</cdr:y>
    </cdr:to>
    <cdr:sp macro="" textlink="">
      <cdr:nvSpPr>
        <cdr:cNvPr id="8" name="TextBox 1"/>
        <cdr:cNvSpPr txBox="1"/>
      </cdr:nvSpPr>
      <cdr:spPr>
        <a:xfrm xmlns:a="http://schemas.openxmlformats.org/drawingml/2006/main">
          <a:off x="3301944" y="1906267"/>
          <a:ext cx="2203722" cy="3048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sz="1600" b="1" dirty="0">
              <a:solidFill>
                <a:srgbClr val="5B5E5F"/>
              </a:solidFill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"Parity Point"</a:t>
          </a:r>
        </a:p>
      </cdr:txBody>
    </cdr:sp>
  </cdr:relSizeAnchor>
</c:userShapes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3879273</xdr:colOff>
      <xdr:row>134</xdr:row>
      <xdr:rowOff>103909</xdr:rowOff>
    </xdr:from>
    <xdr:to>
      <xdr:col>15</xdr:col>
      <xdr:colOff>554182</xdr:colOff>
      <xdr:row>166</xdr:row>
      <xdr:rowOff>86591</xdr:rowOff>
    </xdr:to>
    <xdr:graphicFrame macro="">
      <xdr:nvGraphicFramePr>
        <xdr:cNvPr id="6" name="Chart 5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absoluteAnchor>
    <xdr:pos x="0" y="0"/>
    <xdr:ext cx="8666189" cy="6292746"/>
    <xdr:graphicFrame macro="">
      <xdr:nvGraphicFramePr>
        <xdr:cNvPr id="2" name="Chart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5.xml><?xml version="1.0" encoding="utf-8"?>
<xdr:wsDr xmlns:xdr="http://schemas.openxmlformats.org/drawingml/2006/spreadsheetDrawing" xmlns:a="http://schemas.openxmlformats.org/drawingml/2006/main">
  <xdr:absoluteAnchor>
    <xdr:pos x="0" y="0"/>
    <xdr:ext cx="8666189" cy="6292746"/>
    <xdr:graphicFrame macro="">
      <xdr:nvGraphicFramePr>
        <xdr:cNvPr id="2" name="Chart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6.xml><?xml version="1.0" encoding="utf-8"?>
<xdr:wsDr xmlns:xdr="http://schemas.openxmlformats.org/drawingml/2006/spreadsheetDrawing" xmlns:a="http://schemas.openxmlformats.org/drawingml/2006/main">
  <xdr:absoluteAnchor>
    <xdr:pos x="0" y="0"/>
    <xdr:ext cx="8666189" cy="6292746"/>
    <xdr:graphicFrame macro="">
      <xdr:nvGraphicFramePr>
        <xdr:cNvPr id="2" name="Chart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7.xml><?xml version="1.0" encoding="utf-8"?>
<xdr:wsDr xmlns:xdr="http://schemas.openxmlformats.org/drawingml/2006/spreadsheetDrawing" xmlns:a="http://schemas.openxmlformats.org/drawingml/2006/main">
  <xdr:absoluteAnchor>
    <xdr:pos x="0" y="0"/>
    <xdr:ext cx="8666189" cy="6292746"/>
    <xdr:graphicFrame macro="">
      <xdr:nvGraphicFramePr>
        <xdr:cNvPr id="2" name="Chart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8.xml><?xml version="1.0" encoding="utf-8"?>
<xdr:wsDr xmlns:xdr="http://schemas.openxmlformats.org/drawingml/2006/spreadsheetDrawing" xmlns:a="http://schemas.openxmlformats.org/drawingml/2006/main">
  <xdr:absoluteAnchor>
    <xdr:pos x="0" y="0"/>
    <xdr:ext cx="8673996" cy="6292746"/>
    <xdr:graphicFrame macro="">
      <xdr:nvGraphicFramePr>
        <xdr:cNvPr id="2" name="Chart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9.xml><?xml version="1.0" encoding="utf-8"?>
<xdr:wsDr xmlns:xdr="http://schemas.openxmlformats.org/drawingml/2006/spreadsheetDrawing" xmlns:a="http://schemas.openxmlformats.org/drawingml/2006/main">
  <xdr:absoluteAnchor>
    <xdr:pos x="0" y="0"/>
    <xdr:ext cx="8673996" cy="6292746"/>
    <xdr:graphicFrame macro="">
      <xdr:nvGraphicFramePr>
        <xdr:cNvPr id="2" name="Chart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10.xml><?xml version="1.0" encoding="utf-8"?>
<xdr:wsDr xmlns:xdr="http://schemas.openxmlformats.org/drawingml/2006/spreadsheetDrawing" xmlns:a="http://schemas.openxmlformats.org/drawingml/2006/main">
  <xdr:absoluteAnchor>
    <xdr:pos x="0" y="0"/>
    <xdr:ext cx="8668550" cy="6291303"/>
    <xdr:graphicFrame macro="">
      <xdr:nvGraphicFramePr>
        <xdr:cNvPr id="2" name="Chart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2.bin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6"/>
    <pageSetUpPr fitToPage="1"/>
  </sheetPr>
  <dimension ref="A1:MH9822"/>
  <sheetViews>
    <sheetView zoomScale="80" zoomScaleNormal="80" workbookViewId="0">
      <selection activeCell="D8" sqref="D8"/>
    </sheetView>
  </sheetViews>
  <sheetFormatPr defaultColWidth="0" defaultRowHeight="0" customHeight="1" zeroHeight="1" x14ac:dyDescent="0.2"/>
  <cols>
    <col min="1" max="3" width="3.140625" style="4" customWidth="1"/>
    <col min="4" max="4" width="70.7109375" style="4" bestFit="1" customWidth="1"/>
    <col min="5" max="7" width="12.7109375" style="4" bestFit="1" customWidth="1"/>
    <col min="8" max="57" width="12.7109375" style="4" customWidth="1"/>
    <col min="58" max="60" width="3.140625" style="4" customWidth="1"/>
    <col min="61" max="346" width="0" style="4" hidden="1" customWidth="1"/>
    <col min="347" max="16384" width="9.140625" style="4" hidden="1"/>
  </cols>
  <sheetData>
    <row r="1" spans="1:60" ht="16.5" thickBot="1" x14ac:dyDescent="0.3">
      <c r="A1" s="1"/>
      <c r="B1" s="1"/>
      <c r="C1" s="1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  <c r="BE1" s="2"/>
      <c r="BF1" s="1"/>
      <c r="BG1" s="3"/>
      <c r="BH1" s="1"/>
    </row>
    <row r="2" spans="1:60" ht="16.5" thickTop="1" x14ac:dyDescent="0.25">
      <c r="A2" s="1"/>
      <c r="B2" s="5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  <c r="AC2" s="6"/>
      <c r="AD2" s="6"/>
      <c r="AE2" s="6"/>
      <c r="AF2" s="6"/>
      <c r="AG2" s="6"/>
      <c r="AH2" s="6"/>
      <c r="AI2" s="6"/>
      <c r="AJ2" s="6"/>
      <c r="AK2" s="6"/>
      <c r="AL2" s="6"/>
      <c r="AM2" s="6"/>
      <c r="AN2" s="6"/>
      <c r="AO2" s="6"/>
      <c r="AP2" s="6"/>
      <c r="AQ2" s="6"/>
      <c r="AR2" s="6"/>
      <c r="AS2" s="6"/>
      <c r="AT2" s="6"/>
      <c r="AU2" s="6"/>
      <c r="AV2" s="6"/>
      <c r="AW2" s="6"/>
      <c r="AX2" s="6"/>
      <c r="AY2" s="6"/>
      <c r="AZ2" s="6"/>
      <c r="BA2" s="6"/>
      <c r="BB2" s="6"/>
      <c r="BC2" s="6"/>
      <c r="BD2" s="6"/>
      <c r="BE2" s="6"/>
      <c r="BF2" s="6"/>
      <c r="BG2" s="7"/>
      <c r="BH2" s="1"/>
    </row>
    <row r="3" spans="1:60" ht="20.25" x14ac:dyDescent="0.3">
      <c r="A3" s="1"/>
      <c r="B3" s="8"/>
      <c r="C3" s="9"/>
      <c r="D3" s="9" t="s">
        <v>29</v>
      </c>
      <c r="E3" s="9"/>
      <c r="F3" s="9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  <c r="AA3" s="9"/>
      <c r="AB3" s="9"/>
      <c r="AC3" s="9"/>
      <c r="AD3" s="9"/>
      <c r="AE3" s="9"/>
      <c r="AF3" s="9"/>
      <c r="AG3" s="9"/>
      <c r="AH3" s="9"/>
      <c r="AI3" s="9"/>
      <c r="AJ3" s="9"/>
      <c r="AK3" s="9"/>
      <c r="AL3" s="9"/>
      <c r="AM3" s="9"/>
      <c r="AN3" s="9"/>
      <c r="AO3" s="9"/>
      <c r="AP3" s="9"/>
      <c r="AQ3" s="9"/>
      <c r="AR3" s="9"/>
      <c r="AS3" s="9"/>
      <c r="AT3" s="9"/>
      <c r="AU3" s="9"/>
      <c r="AV3" s="9"/>
      <c r="AW3" s="9"/>
      <c r="AX3" s="9"/>
      <c r="AY3" s="9"/>
      <c r="AZ3" s="9"/>
      <c r="BA3" s="9"/>
      <c r="BB3" s="9"/>
      <c r="BC3" s="9"/>
      <c r="BD3" s="9"/>
      <c r="BE3" s="9"/>
      <c r="BF3" s="9"/>
      <c r="BG3" s="10"/>
      <c r="BH3" s="1"/>
    </row>
    <row r="4" spans="1:60" ht="15.75" x14ac:dyDescent="0.25">
      <c r="A4" s="1"/>
      <c r="B4" s="11"/>
      <c r="C4" s="12"/>
      <c r="D4" s="12" t="s">
        <v>4</v>
      </c>
      <c r="E4" s="12"/>
      <c r="F4" s="12"/>
      <c r="G4" s="12"/>
      <c r="H4" s="12"/>
      <c r="I4" s="12"/>
      <c r="J4" s="12"/>
      <c r="K4" s="12"/>
      <c r="L4" s="12"/>
      <c r="M4" s="12"/>
      <c r="N4" s="12"/>
      <c r="O4" s="12"/>
      <c r="P4" s="12"/>
      <c r="Q4" s="12"/>
      <c r="R4" s="12"/>
      <c r="S4" s="12"/>
      <c r="T4" s="12"/>
      <c r="U4" s="12"/>
      <c r="V4" s="12"/>
      <c r="W4" s="12"/>
      <c r="X4" s="12"/>
      <c r="Y4" s="12"/>
      <c r="Z4" s="12"/>
      <c r="AA4" s="12"/>
      <c r="AB4" s="12"/>
      <c r="AC4" s="12"/>
      <c r="AD4" s="12"/>
      <c r="AE4" s="12"/>
      <c r="AF4" s="12"/>
      <c r="AG4" s="12"/>
      <c r="AH4" s="12"/>
      <c r="AI4" s="12"/>
      <c r="AJ4" s="12"/>
      <c r="AK4" s="12"/>
      <c r="AL4" s="12"/>
      <c r="AM4" s="12"/>
      <c r="AN4" s="12"/>
      <c r="AO4" s="12"/>
      <c r="AP4" s="12"/>
      <c r="AQ4" s="12"/>
      <c r="AR4" s="12"/>
      <c r="AS4" s="12"/>
      <c r="AT4" s="12"/>
      <c r="AU4" s="12"/>
      <c r="AV4" s="12"/>
      <c r="AW4" s="12"/>
      <c r="AX4" s="12"/>
      <c r="AY4" s="12"/>
      <c r="AZ4" s="12"/>
      <c r="BA4" s="12"/>
      <c r="BB4" s="12"/>
      <c r="BC4" s="12"/>
      <c r="BD4" s="12"/>
      <c r="BE4" s="12"/>
      <c r="BF4" s="12"/>
      <c r="BG4" s="13"/>
      <c r="BH4" s="1"/>
    </row>
    <row r="5" spans="1:60" ht="15.75" x14ac:dyDescent="0.25">
      <c r="A5" s="1"/>
      <c r="B5" s="14"/>
      <c r="C5" s="15"/>
      <c r="D5" s="15"/>
      <c r="E5" s="15"/>
      <c r="F5" s="15"/>
      <c r="G5" s="15"/>
      <c r="H5" s="15"/>
      <c r="I5" s="15"/>
      <c r="J5" s="15"/>
      <c r="K5" s="15"/>
      <c r="L5" s="15"/>
      <c r="M5" s="15"/>
      <c r="N5" s="15"/>
      <c r="O5" s="15"/>
      <c r="P5" s="15"/>
      <c r="Q5" s="15"/>
      <c r="R5" s="15"/>
      <c r="S5" s="15"/>
      <c r="T5" s="15"/>
      <c r="U5" s="15"/>
      <c r="V5" s="15"/>
      <c r="W5" s="15"/>
      <c r="X5" s="15"/>
      <c r="Y5" s="15"/>
      <c r="Z5" s="15"/>
      <c r="AA5" s="15"/>
      <c r="AB5" s="15"/>
      <c r="AC5" s="15"/>
      <c r="AD5" s="15"/>
      <c r="AE5" s="15"/>
      <c r="AF5" s="15"/>
      <c r="AG5" s="15"/>
      <c r="AH5" s="15"/>
      <c r="AI5" s="15"/>
      <c r="AJ5" s="15"/>
      <c r="AK5" s="15"/>
      <c r="AL5" s="15"/>
      <c r="AM5" s="15"/>
      <c r="AN5" s="15"/>
      <c r="AO5" s="15"/>
      <c r="AP5" s="15"/>
      <c r="AQ5" s="15"/>
      <c r="AR5" s="15"/>
      <c r="AS5" s="15"/>
      <c r="AT5" s="15"/>
      <c r="AU5" s="15"/>
      <c r="AV5" s="15"/>
      <c r="AW5" s="15"/>
      <c r="AX5" s="15"/>
      <c r="AY5" s="15"/>
      <c r="AZ5" s="15"/>
      <c r="BA5" s="15"/>
      <c r="BB5" s="15"/>
      <c r="BC5" s="15"/>
      <c r="BD5" s="15"/>
      <c r="BE5" s="15"/>
      <c r="BF5" s="15"/>
      <c r="BG5" s="16"/>
      <c r="BH5" s="1"/>
    </row>
    <row r="6" spans="1:60" ht="16.5" customHeight="1" x14ac:dyDescent="0.25">
      <c r="A6" s="1"/>
      <c r="B6" s="14"/>
      <c r="C6" s="15"/>
      <c r="D6" s="24" t="s">
        <v>30</v>
      </c>
      <c r="E6" s="27">
        <v>1</v>
      </c>
      <c r="F6" s="27">
        <v>1</v>
      </c>
      <c r="G6" s="27">
        <v>1</v>
      </c>
      <c r="H6" s="27">
        <v>1</v>
      </c>
      <c r="I6" s="27">
        <v>1</v>
      </c>
      <c r="J6" s="27">
        <v>1</v>
      </c>
      <c r="K6" s="27">
        <v>1</v>
      </c>
      <c r="L6" s="27">
        <v>1</v>
      </c>
      <c r="M6" s="27">
        <v>1</v>
      </c>
      <c r="N6" s="27">
        <v>1</v>
      </c>
      <c r="O6" s="27">
        <v>1</v>
      </c>
      <c r="P6" s="27">
        <v>1</v>
      </c>
      <c r="Q6" s="27">
        <v>1</v>
      </c>
      <c r="R6" s="27">
        <v>1</v>
      </c>
      <c r="S6" s="27">
        <v>1</v>
      </c>
      <c r="T6" s="27">
        <v>1</v>
      </c>
      <c r="U6" s="27">
        <v>1</v>
      </c>
      <c r="V6" s="27">
        <v>1</v>
      </c>
      <c r="W6" s="27">
        <v>1</v>
      </c>
      <c r="X6" s="27">
        <v>1</v>
      </c>
      <c r="Y6" s="27">
        <v>1</v>
      </c>
      <c r="Z6" s="27">
        <v>1</v>
      </c>
      <c r="AA6" s="27">
        <v>1</v>
      </c>
      <c r="AB6" s="27">
        <v>1</v>
      </c>
      <c r="AC6" s="27">
        <v>1</v>
      </c>
      <c r="AD6" s="27">
        <v>1</v>
      </c>
      <c r="AE6" s="27">
        <v>1</v>
      </c>
      <c r="AF6" s="27">
        <v>1</v>
      </c>
      <c r="AG6" s="27">
        <v>1</v>
      </c>
      <c r="AH6" s="27">
        <v>1</v>
      </c>
      <c r="AI6" s="27">
        <v>1</v>
      </c>
      <c r="AJ6" s="27">
        <v>1</v>
      </c>
      <c r="AK6" s="27">
        <v>1</v>
      </c>
      <c r="AL6" s="27">
        <v>1</v>
      </c>
      <c r="AM6" s="27">
        <v>1</v>
      </c>
      <c r="AN6" s="27">
        <v>1</v>
      </c>
      <c r="AO6" s="27">
        <v>1</v>
      </c>
      <c r="AP6" s="27">
        <v>1</v>
      </c>
      <c r="AQ6" s="27">
        <v>1</v>
      </c>
      <c r="AR6" s="27">
        <v>1</v>
      </c>
      <c r="AS6" s="27">
        <v>1</v>
      </c>
      <c r="AT6" s="27">
        <v>1</v>
      </c>
      <c r="AU6" s="27">
        <v>1</v>
      </c>
      <c r="AV6" s="27">
        <v>1</v>
      </c>
      <c r="AW6" s="27">
        <v>1</v>
      </c>
      <c r="AX6" s="27">
        <v>1</v>
      </c>
      <c r="AY6" s="27">
        <v>1</v>
      </c>
      <c r="AZ6" s="27">
        <v>1</v>
      </c>
      <c r="BA6" s="27">
        <v>1</v>
      </c>
      <c r="BB6" s="27">
        <v>1</v>
      </c>
      <c r="BC6" s="27">
        <v>1</v>
      </c>
      <c r="BD6" s="27">
        <v>1</v>
      </c>
      <c r="BE6" s="27">
        <v>1</v>
      </c>
      <c r="BF6" s="15"/>
      <c r="BG6" s="16"/>
      <c r="BH6" s="1"/>
    </row>
    <row r="7" spans="1:60" ht="15.75" x14ac:dyDescent="0.25">
      <c r="A7" s="1"/>
      <c r="B7" s="14"/>
      <c r="C7" s="15"/>
      <c r="D7" s="24" t="s">
        <v>31</v>
      </c>
      <c r="E7" s="27">
        <v>0.1</v>
      </c>
      <c r="F7" s="27">
        <f>E7*1.07</f>
        <v>0.10700000000000001</v>
      </c>
      <c r="G7" s="27">
        <f t="shared" ref="G7:BE7" si="0">F7*1.07</f>
        <v>0.11449000000000002</v>
      </c>
      <c r="H7" s="27">
        <f t="shared" si="0"/>
        <v>0.12250430000000002</v>
      </c>
      <c r="I7" s="27">
        <f t="shared" si="0"/>
        <v>0.13107960100000005</v>
      </c>
      <c r="J7" s="27">
        <f t="shared" si="0"/>
        <v>0.14025517307000004</v>
      </c>
      <c r="K7" s="27">
        <f t="shared" si="0"/>
        <v>0.15007303518490006</v>
      </c>
      <c r="L7" s="27">
        <f t="shared" si="0"/>
        <v>0.16057814764784306</v>
      </c>
      <c r="M7" s="27">
        <f t="shared" si="0"/>
        <v>0.17181861798319209</v>
      </c>
      <c r="N7" s="27">
        <f t="shared" si="0"/>
        <v>0.18384592124201554</v>
      </c>
      <c r="O7" s="27">
        <f t="shared" si="0"/>
        <v>0.19671513572895663</v>
      </c>
      <c r="P7" s="27">
        <f t="shared" si="0"/>
        <v>0.2104851952299836</v>
      </c>
      <c r="Q7" s="27">
        <f t="shared" si="0"/>
        <v>0.22521915889608246</v>
      </c>
      <c r="R7" s="27">
        <f t="shared" si="0"/>
        <v>0.24098450001880825</v>
      </c>
      <c r="S7" s="27">
        <f t="shared" si="0"/>
        <v>0.25785341502012482</v>
      </c>
      <c r="T7" s="27">
        <f t="shared" si="0"/>
        <v>0.2759031540715336</v>
      </c>
      <c r="U7" s="27">
        <f t="shared" si="0"/>
        <v>0.29521637485654095</v>
      </c>
      <c r="V7" s="27">
        <f t="shared" si="0"/>
        <v>0.31588152109649886</v>
      </c>
      <c r="W7" s="27">
        <f t="shared" si="0"/>
        <v>0.33799322757325378</v>
      </c>
      <c r="X7" s="27">
        <f t="shared" si="0"/>
        <v>0.36165275350338155</v>
      </c>
      <c r="Y7" s="27">
        <f t="shared" si="0"/>
        <v>0.38696844624861826</v>
      </c>
      <c r="Z7" s="27">
        <f t="shared" si="0"/>
        <v>0.41405623748602155</v>
      </c>
      <c r="AA7" s="27">
        <f t="shared" si="0"/>
        <v>0.44304017411004309</v>
      </c>
      <c r="AB7" s="27">
        <f t="shared" si="0"/>
        <v>0.47405298629774612</v>
      </c>
      <c r="AC7" s="27">
        <f t="shared" si="0"/>
        <v>0.50723669533858839</v>
      </c>
      <c r="AD7" s="27">
        <f t="shared" si="0"/>
        <v>0.54274326401228956</v>
      </c>
      <c r="AE7" s="27">
        <f t="shared" si="0"/>
        <v>0.58073529249314981</v>
      </c>
      <c r="AF7" s="27">
        <f t="shared" si="0"/>
        <v>0.62138676296767037</v>
      </c>
      <c r="AG7" s="27">
        <f t="shared" si="0"/>
        <v>0.66488383637540738</v>
      </c>
      <c r="AH7" s="27">
        <f t="shared" si="0"/>
        <v>0.71142570492168589</v>
      </c>
      <c r="AI7" s="27">
        <f t="shared" si="0"/>
        <v>0.76122550426620395</v>
      </c>
      <c r="AJ7" s="27">
        <f t="shared" si="0"/>
        <v>0.81451128956483831</v>
      </c>
      <c r="AK7" s="27">
        <f t="shared" si="0"/>
        <v>0.87152707983437705</v>
      </c>
      <c r="AL7" s="27">
        <f t="shared" si="0"/>
        <v>0.93253397542278349</v>
      </c>
      <c r="AM7" s="27">
        <f t="shared" si="0"/>
        <v>0.99781135370237839</v>
      </c>
      <c r="AN7" s="27">
        <f t="shared" si="0"/>
        <v>1.0676581484615448</v>
      </c>
      <c r="AO7" s="27">
        <f t="shared" si="0"/>
        <v>1.1423942188538529</v>
      </c>
      <c r="AP7" s="27">
        <f t="shared" si="0"/>
        <v>1.2223618141736228</v>
      </c>
      <c r="AQ7" s="27">
        <f t="shared" si="0"/>
        <v>1.3079271411657765</v>
      </c>
      <c r="AR7" s="27">
        <f t="shared" si="0"/>
        <v>1.3994820410473809</v>
      </c>
      <c r="AS7" s="27">
        <f t="shared" si="0"/>
        <v>1.4974457839206976</v>
      </c>
      <c r="AT7" s="27">
        <f t="shared" si="0"/>
        <v>1.6022669887951466</v>
      </c>
      <c r="AU7" s="27">
        <f t="shared" si="0"/>
        <v>1.7144256780108069</v>
      </c>
      <c r="AV7" s="27">
        <f t="shared" si="0"/>
        <v>1.8344354754715635</v>
      </c>
      <c r="AW7" s="27">
        <f t="shared" si="0"/>
        <v>1.962845958754573</v>
      </c>
      <c r="AX7" s="27">
        <f t="shared" si="0"/>
        <v>2.1002451758673932</v>
      </c>
      <c r="AY7" s="27">
        <f t="shared" si="0"/>
        <v>2.2472623381781109</v>
      </c>
      <c r="AZ7" s="27">
        <f t="shared" si="0"/>
        <v>2.4045707018505786</v>
      </c>
      <c r="BA7" s="27">
        <f t="shared" si="0"/>
        <v>2.5728906509801193</v>
      </c>
      <c r="BB7" s="27">
        <f t="shared" si="0"/>
        <v>2.7529929965487279</v>
      </c>
      <c r="BC7" s="27">
        <f t="shared" si="0"/>
        <v>2.9457025063071391</v>
      </c>
      <c r="BD7" s="27">
        <f t="shared" si="0"/>
        <v>3.1519016817486389</v>
      </c>
      <c r="BE7" s="27">
        <f t="shared" si="0"/>
        <v>3.372534799471044</v>
      </c>
      <c r="BF7" s="15"/>
      <c r="BG7" s="16"/>
      <c r="BH7" s="1"/>
    </row>
    <row r="8" spans="1:60" ht="15.75" x14ac:dyDescent="0.25">
      <c r="A8" s="1"/>
      <c r="B8" s="14"/>
      <c r="C8" s="15"/>
      <c r="D8" s="24" t="s">
        <v>32</v>
      </c>
      <c r="E8" s="27">
        <f>MIN(E6:E7)</f>
        <v>0.1</v>
      </c>
      <c r="F8" s="27">
        <f t="shared" ref="F8:BE8" si="1">MIN(F6:F7)</f>
        <v>0.10700000000000001</v>
      </c>
      <c r="G8" s="27">
        <f t="shared" si="1"/>
        <v>0.11449000000000002</v>
      </c>
      <c r="H8" s="27">
        <f t="shared" si="1"/>
        <v>0.12250430000000002</v>
      </c>
      <c r="I8" s="27">
        <f t="shared" si="1"/>
        <v>0.13107960100000005</v>
      </c>
      <c r="J8" s="27">
        <f t="shared" si="1"/>
        <v>0.14025517307000004</v>
      </c>
      <c r="K8" s="27">
        <f t="shared" si="1"/>
        <v>0.15007303518490006</v>
      </c>
      <c r="L8" s="27">
        <f t="shared" si="1"/>
        <v>0.16057814764784306</v>
      </c>
      <c r="M8" s="27">
        <f t="shared" si="1"/>
        <v>0.17181861798319209</v>
      </c>
      <c r="N8" s="27">
        <f t="shared" si="1"/>
        <v>0.18384592124201554</v>
      </c>
      <c r="O8" s="27">
        <f t="shared" si="1"/>
        <v>0.19671513572895663</v>
      </c>
      <c r="P8" s="27">
        <f t="shared" si="1"/>
        <v>0.2104851952299836</v>
      </c>
      <c r="Q8" s="27">
        <f t="shared" si="1"/>
        <v>0.22521915889608246</v>
      </c>
      <c r="R8" s="27">
        <f t="shared" si="1"/>
        <v>0.24098450001880825</v>
      </c>
      <c r="S8" s="27">
        <f t="shared" si="1"/>
        <v>0.25785341502012482</v>
      </c>
      <c r="T8" s="27">
        <f t="shared" si="1"/>
        <v>0.2759031540715336</v>
      </c>
      <c r="U8" s="27">
        <f t="shared" si="1"/>
        <v>0.29521637485654095</v>
      </c>
      <c r="V8" s="27">
        <f t="shared" si="1"/>
        <v>0.31588152109649886</v>
      </c>
      <c r="W8" s="27">
        <f t="shared" si="1"/>
        <v>0.33799322757325378</v>
      </c>
      <c r="X8" s="27">
        <f t="shared" si="1"/>
        <v>0.36165275350338155</v>
      </c>
      <c r="Y8" s="27">
        <f t="shared" si="1"/>
        <v>0.38696844624861826</v>
      </c>
      <c r="Z8" s="27">
        <f t="shared" si="1"/>
        <v>0.41405623748602155</v>
      </c>
      <c r="AA8" s="27">
        <f t="shared" si="1"/>
        <v>0.44304017411004309</v>
      </c>
      <c r="AB8" s="27">
        <f t="shared" si="1"/>
        <v>0.47405298629774612</v>
      </c>
      <c r="AC8" s="27">
        <f t="shared" si="1"/>
        <v>0.50723669533858839</v>
      </c>
      <c r="AD8" s="27">
        <f t="shared" si="1"/>
        <v>0.54274326401228956</v>
      </c>
      <c r="AE8" s="27">
        <f t="shared" si="1"/>
        <v>0.58073529249314981</v>
      </c>
      <c r="AF8" s="27">
        <f t="shared" si="1"/>
        <v>0.62138676296767037</v>
      </c>
      <c r="AG8" s="27">
        <f t="shared" si="1"/>
        <v>0.66488383637540738</v>
      </c>
      <c r="AH8" s="27">
        <f t="shared" si="1"/>
        <v>0.71142570492168589</v>
      </c>
      <c r="AI8" s="27">
        <f t="shared" si="1"/>
        <v>0.76122550426620395</v>
      </c>
      <c r="AJ8" s="27">
        <f t="shared" si="1"/>
        <v>0.81451128956483831</v>
      </c>
      <c r="AK8" s="27">
        <f t="shared" si="1"/>
        <v>0.87152707983437705</v>
      </c>
      <c r="AL8" s="27">
        <f t="shared" si="1"/>
        <v>0.93253397542278349</v>
      </c>
      <c r="AM8" s="27">
        <f t="shared" si="1"/>
        <v>0.99781135370237839</v>
      </c>
      <c r="AN8" s="27">
        <f t="shared" si="1"/>
        <v>1</v>
      </c>
      <c r="AO8" s="27">
        <f t="shared" si="1"/>
        <v>1</v>
      </c>
      <c r="AP8" s="27">
        <f t="shared" si="1"/>
        <v>1</v>
      </c>
      <c r="AQ8" s="27">
        <f t="shared" si="1"/>
        <v>1</v>
      </c>
      <c r="AR8" s="27">
        <f t="shared" si="1"/>
        <v>1</v>
      </c>
      <c r="AS8" s="27">
        <f t="shared" si="1"/>
        <v>1</v>
      </c>
      <c r="AT8" s="27">
        <f t="shared" si="1"/>
        <v>1</v>
      </c>
      <c r="AU8" s="27">
        <f t="shared" si="1"/>
        <v>1</v>
      </c>
      <c r="AV8" s="27">
        <f t="shared" si="1"/>
        <v>1</v>
      </c>
      <c r="AW8" s="27">
        <f t="shared" si="1"/>
        <v>1</v>
      </c>
      <c r="AX8" s="27">
        <f t="shared" si="1"/>
        <v>1</v>
      </c>
      <c r="AY8" s="27">
        <f t="shared" si="1"/>
        <v>1</v>
      </c>
      <c r="AZ8" s="27">
        <f t="shared" si="1"/>
        <v>1</v>
      </c>
      <c r="BA8" s="27">
        <f t="shared" si="1"/>
        <v>1</v>
      </c>
      <c r="BB8" s="27">
        <f t="shared" si="1"/>
        <v>1</v>
      </c>
      <c r="BC8" s="27">
        <f t="shared" si="1"/>
        <v>1</v>
      </c>
      <c r="BD8" s="27">
        <f t="shared" si="1"/>
        <v>1</v>
      </c>
      <c r="BE8" s="27">
        <f t="shared" si="1"/>
        <v>1</v>
      </c>
      <c r="BF8" s="15"/>
      <c r="BG8" s="16"/>
      <c r="BH8" s="1"/>
    </row>
    <row r="9" spans="1:60" ht="16.5" thickBot="1" x14ac:dyDescent="0.3">
      <c r="A9" s="1"/>
      <c r="B9" s="20"/>
      <c r="C9" s="21"/>
      <c r="D9" s="21"/>
      <c r="E9" s="21"/>
      <c r="F9" s="21"/>
      <c r="G9" s="21"/>
      <c r="H9" s="21"/>
      <c r="I9" s="21"/>
      <c r="J9" s="21"/>
      <c r="K9" s="21"/>
      <c r="L9" s="21"/>
      <c r="M9" s="21"/>
      <c r="N9" s="21"/>
      <c r="O9" s="21"/>
      <c r="P9" s="21"/>
      <c r="Q9" s="21"/>
      <c r="R9" s="21"/>
      <c r="S9" s="21"/>
      <c r="T9" s="21"/>
      <c r="U9" s="21"/>
      <c r="V9" s="21"/>
      <c r="W9" s="21"/>
      <c r="X9" s="21"/>
      <c r="Y9" s="21"/>
      <c r="Z9" s="21"/>
      <c r="AA9" s="21"/>
      <c r="AB9" s="21"/>
      <c r="AC9" s="21"/>
      <c r="AD9" s="21"/>
      <c r="AE9" s="21"/>
      <c r="AF9" s="21"/>
      <c r="AG9" s="21"/>
      <c r="AH9" s="21"/>
      <c r="AI9" s="21"/>
      <c r="AJ9" s="21"/>
      <c r="AK9" s="21"/>
      <c r="AL9" s="21"/>
      <c r="AM9" s="21"/>
      <c r="AN9" s="21"/>
      <c r="AO9" s="21"/>
      <c r="AP9" s="21"/>
      <c r="AQ9" s="21"/>
      <c r="AR9" s="21"/>
      <c r="AS9" s="21"/>
      <c r="AT9" s="21"/>
      <c r="AU9" s="21"/>
      <c r="AV9" s="21"/>
      <c r="AW9" s="21"/>
      <c r="AX9" s="21"/>
      <c r="AY9" s="21"/>
      <c r="AZ9" s="21"/>
      <c r="BA9" s="21"/>
      <c r="BB9" s="21"/>
      <c r="BC9" s="21"/>
      <c r="BD9" s="21"/>
      <c r="BE9" s="21"/>
      <c r="BF9" s="21"/>
      <c r="BG9" s="22"/>
      <c r="BH9" s="1"/>
    </row>
    <row r="10" spans="1:60" ht="16.5" thickTop="1" x14ac:dyDescent="0.25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  <c r="AY10" s="1"/>
      <c r="AZ10" s="1"/>
      <c r="BA10" s="1"/>
      <c r="BB10" s="1"/>
      <c r="BC10" s="1"/>
      <c r="BD10" s="1"/>
      <c r="BE10" s="1"/>
      <c r="BF10" s="1"/>
      <c r="BG10" s="1"/>
      <c r="BH10" s="1"/>
    </row>
    <row r="11" spans="1:60" ht="12.75" hidden="1" x14ac:dyDescent="0.2"/>
    <row r="12" spans="1:60" ht="12.75" hidden="1" x14ac:dyDescent="0.2"/>
    <row r="13" spans="1:60" ht="12.75" hidden="1" x14ac:dyDescent="0.2"/>
    <row r="14" spans="1:60" ht="12.75" hidden="1" x14ac:dyDescent="0.2"/>
    <row r="15" spans="1:60" ht="12.75" hidden="1" x14ac:dyDescent="0.2"/>
    <row r="16" spans="1:60" ht="12.75" hidden="1" x14ac:dyDescent="0.2"/>
    <row r="17" ht="12.75" hidden="1" x14ac:dyDescent="0.2"/>
    <row r="18" ht="12.75" hidden="1" x14ac:dyDescent="0.2"/>
    <row r="19" ht="12.75" hidden="1" x14ac:dyDescent="0.2"/>
    <row r="20" ht="12.75" hidden="1" x14ac:dyDescent="0.2"/>
    <row r="21" ht="12.75" hidden="1" x14ac:dyDescent="0.2"/>
    <row r="22" ht="12.75" hidden="1" x14ac:dyDescent="0.2"/>
    <row r="23" ht="12.75" hidden="1" x14ac:dyDescent="0.2"/>
    <row r="24" ht="12.75" hidden="1" x14ac:dyDescent="0.2"/>
    <row r="25" ht="12.75" hidden="1" x14ac:dyDescent="0.2"/>
    <row r="26" ht="12.75" hidden="1" x14ac:dyDescent="0.2"/>
    <row r="27" ht="12.75" hidden="1" x14ac:dyDescent="0.2"/>
    <row r="28" ht="12.75" hidden="1" x14ac:dyDescent="0.2"/>
    <row r="29" ht="12.75" hidden="1" x14ac:dyDescent="0.2"/>
    <row r="30" ht="12.75" hidden="1" x14ac:dyDescent="0.2"/>
    <row r="31" ht="12.75" hidden="1" x14ac:dyDescent="0.2"/>
    <row r="32" ht="12.75" hidden="1" x14ac:dyDescent="0.2"/>
    <row r="33" ht="12.75" hidden="1" x14ac:dyDescent="0.2"/>
    <row r="34" ht="12.75" hidden="1" x14ac:dyDescent="0.2"/>
    <row r="35" ht="12.75" hidden="1" x14ac:dyDescent="0.2"/>
    <row r="36" ht="12.75" hidden="1" x14ac:dyDescent="0.2"/>
    <row r="37" ht="12.75" hidden="1" x14ac:dyDescent="0.2"/>
    <row r="38" ht="12.75" hidden="1" x14ac:dyDescent="0.2"/>
    <row r="39" ht="12.75" hidden="1" x14ac:dyDescent="0.2"/>
    <row r="40" ht="12.75" hidden="1" x14ac:dyDescent="0.2"/>
    <row r="41" ht="12.75" hidden="1" x14ac:dyDescent="0.2"/>
    <row r="42" ht="12.75" hidden="1" x14ac:dyDescent="0.2"/>
    <row r="43" ht="12.75" hidden="1" x14ac:dyDescent="0.2"/>
    <row r="44" ht="12.75" hidden="1" x14ac:dyDescent="0.2"/>
    <row r="45" ht="12.75" hidden="1" x14ac:dyDescent="0.2"/>
    <row r="46" ht="12.75" hidden="1" x14ac:dyDescent="0.2"/>
    <row r="47" ht="12.75" hidden="1" x14ac:dyDescent="0.2"/>
    <row r="48" ht="12.75" hidden="1" x14ac:dyDescent="0.2"/>
    <row r="49" ht="12.75" hidden="1" x14ac:dyDescent="0.2"/>
    <row r="50" ht="12.75" hidden="1" x14ac:dyDescent="0.2"/>
    <row r="51" ht="12.75" hidden="1" x14ac:dyDescent="0.2"/>
    <row r="52" ht="12.75" hidden="1" x14ac:dyDescent="0.2"/>
    <row r="53" ht="12.75" hidden="1" x14ac:dyDescent="0.2"/>
    <row r="54" ht="12.75" hidden="1" x14ac:dyDescent="0.2"/>
    <row r="55" ht="12.75" hidden="1" x14ac:dyDescent="0.2"/>
    <row r="56" ht="12.75" hidden="1" x14ac:dyDescent="0.2"/>
    <row r="57" ht="12.75" hidden="1" x14ac:dyDescent="0.2"/>
    <row r="58" ht="12.75" hidden="1" x14ac:dyDescent="0.2"/>
    <row r="59" ht="12.75" hidden="1" x14ac:dyDescent="0.2"/>
    <row r="60" ht="12.75" hidden="1" x14ac:dyDescent="0.2"/>
    <row r="61" ht="12.75" hidden="1" x14ac:dyDescent="0.2"/>
    <row r="62" ht="12.75" hidden="1" x14ac:dyDescent="0.2"/>
    <row r="63" ht="12.75" hidden="1" x14ac:dyDescent="0.2"/>
    <row r="64" ht="12.75" hidden="1" x14ac:dyDescent="0.2"/>
    <row r="65" ht="12.75" hidden="1" x14ac:dyDescent="0.2"/>
    <row r="66" ht="12.75" hidden="1" x14ac:dyDescent="0.2"/>
    <row r="67" ht="12.75" hidden="1" x14ac:dyDescent="0.2"/>
    <row r="68" ht="12.75" hidden="1" x14ac:dyDescent="0.2"/>
    <row r="69" ht="12.75" hidden="1" x14ac:dyDescent="0.2"/>
    <row r="70" ht="12.75" hidden="1" x14ac:dyDescent="0.2"/>
    <row r="71" ht="12.75" hidden="1" x14ac:dyDescent="0.2"/>
    <row r="72" ht="12.75" hidden="1" x14ac:dyDescent="0.2"/>
    <row r="73" ht="12.75" hidden="1" x14ac:dyDescent="0.2"/>
    <row r="74" ht="12.75" hidden="1" x14ac:dyDescent="0.2"/>
    <row r="75" ht="12.75" hidden="1" x14ac:dyDescent="0.2"/>
    <row r="76" ht="12.75" hidden="1" x14ac:dyDescent="0.2"/>
    <row r="77" ht="12.75" hidden="1" x14ac:dyDescent="0.2"/>
    <row r="78" ht="12.75" hidden="1" x14ac:dyDescent="0.2"/>
    <row r="79" ht="12.75" hidden="1" x14ac:dyDescent="0.2"/>
    <row r="80" ht="12.75" hidden="1" x14ac:dyDescent="0.2"/>
    <row r="81" ht="12.75" hidden="1" x14ac:dyDescent="0.2"/>
    <row r="82" ht="12.75" hidden="1" x14ac:dyDescent="0.2"/>
    <row r="83" ht="12.75" hidden="1" x14ac:dyDescent="0.2"/>
    <row r="84" ht="12.75" hidden="1" x14ac:dyDescent="0.2"/>
    <row r="85" ht="12.75" hidden="1" x14ac:dyDescent="0.2"/>
    <row r="86" ht="12.75" hidden="1" x14ac:dyDescent="0.2"/>
    <row r="87" ht="12.75" hidden="1" x14ac:dyDescent="0.2"/>
    <row r="88" ht="12.75" hidden="1" x14ac:dyDescent="0.2"/>
    <row r="89" ht="12.75" hidden="1" x14ac:dyDescent="0.2"/>
    <row r="90" ht="12.75" hidden="1" x14ac:dyDescent="0.2"/>
    <row r="91" ht="12.75" hidden="1" x14ac:dyDescent="0.2"/>
    <row r="92" ht="12.75" hidden="1" x14ac:dyDescent="0.2"/>
    <row r="93" ht="12.75" hidden="1" x14ac:dyDescent="0.2"/>
    <row r="94" ht="12.75" hidden="1" x14ac:dyDescent="0.2"/>
    <row r="95" ht="12.75" hidden="1" x14ac:dyDescent="0.2"/>
    <row r="96" ht="12.75" hidden="1" x14ac:dyDescent="0.2"/>
    <row r="97" ht="12.75" hidden="1" x14ac:dyDescent="0.2"/>
    <row r="98" ht="12.75" hidden="1" x14ac:dyDescent="0.2"/>
    <row r="99" ht="12.75" hidden="1" x14ac:dyDescent="0.2"/>
    <row r="100" ht="12.75" hidden="1" x14ac:dyDescent="0.2"/>
    <row r="101" ht="12.75" hidden="1" x14ac:dyDescent="0.2"/>
    <row r="102" ht="12.75" hidden="1" x14ac:dyDescent="0.2"/>
    <row r="103" ht="12.75" hidden="1" x14ac:dyDescent="0.2"/>
    <row r="104" ht="12.75" hidden="1" x14ac:dyDescent="0.2"/>
    <row r="105" ht="12.75" hidden="1" x14ac:dyDescent="0.2"/>
    <row r="106" ht="12.75" hidden="1" x14ac:dyDescent="0.2"/>
    <row r="107" ht="12.75" hidden="1" x14ac:dyDescent="0.2"/>
    <row r="108" ht="12.75" hidden="1" x14ac:dyDescent="0.2"/>
    <row r="109" ht="12.75" hidden="1" x14ac:dyDescent="0.2"/>
    <row r="110" ht="12.75" hidden="1" x14ac:dyDescent="0.2"/>
    <row r="111" ht="12.75" hidden="1" x14ac:dyDescent="0.2"/>
    <row r="112" ht="12.75" hidden="1" x14ac:dyDescent="0.2"/>
    <row r="113" ht="12.75" hidden="1" x14ac:dyDescent="0.2"/>
    <row r="114" ht="12.75" hidden="1" x14ac:dyDescent="0.2"/>
    <row r="115" ht="12.75" hidden="1" x14ac:dyDescent="0.2"/>
    <row r="116" ht="12.75" hidden="1" x14ac:dyDescent="0.2"/>
    <row r="117" ht="12.75" hidden="1" x14ac:dyDescent="0.2"/>
    <row r="118" ht="12.75" hidden="1" x14ac:dyDescent="0.2"/>
    <row r="119" ht="12.75" hidden="1" x14ac:dyDescent="0.2"/>
    <row r="120" ht="12.75" hidden="1" x14ac:dyDescent="0.2"/>
    <row r="121" ht="12.75" hidden="1" x14ac:dyDescent="0.2"/>
    <row r="122" ht="12.75" hidden="1" x14ac:dyDescent="0.2"/>
    <row r="123" ht="12.75" hidden="1" x14ac:dyDescent="0.2"/>
    <row r="124" ht="12.75" hidden="1" x14ac:dyDescent="0.2"/>
    <row r="125" ht="12.75" hidden="1" x14ac:dyDescent="0.2"/>
    <row r="126" ht="12.75" hidden="1" x14ac:dyDescent="0.2"/>
    <row r="127" ht="12.75" hidden="1" x14ac:dyDescent="0.2"/>
    <row r="128" ht="12.75" hidden="1" x14ac:dyDescent="0.2"/>
    <row r="129" ht="12.75" hidden="1" x14ac:dyDescent="0.2"/>
    <row r="130" ht="12.75" hidden="1" x14ac:dyDescent="0.2"/>
    <row r="131" ht="12.75" hidden="1" x14ac:dyDescent="0.2"/>
    <row r="132" ht="12.75" hidden="1" x14ac:dyDescent="0.2"/>
    <row r="133" ht="12.75" hidden="1" x14ac:dyDescent="0.2"/>
    <row r="134" ht="12.75" hidden="1" x14ac:dyDescent="0.2"/>
    <row r="135" ht="12.75" hidden="1" x14ac:dyDescent="0.2"/>
    <row r="136" ht="12.75" hidden="1" x14ac:dyDescent="0.2"/>
    <row r="137" ht="12.75" hidden="1" x14ac:dyDescent="0.2"/>
    <row r="138" ht="12.75" hidden="1" x14ac:dyDescent="0.2"/>
    <row r="139" ht="12.75" hidden="1" x14ac:dyDescent="0.2"/>
    <row r="140" ht="12.75" hidden="1" x14ac:dyDescent="0.2"/>
    <row r="141" ht="12.75" hidden="1" x14ac:dyDescent="0.2"/>
    <row r="142" ht="12.75" hidden="1" x14ac:dyDescent="0.2"/>
    <row r="143" ht="12.75" hidden="1" x14ac:dyDescent="0.2"/>
    <row r="144" ht="12.75" hidden="1" x14ac:dyDescent="0.2"/>
    <row r="145" ht="12.75" hidden="1" x14ac:dyDescent="0.2"/>
    <row r="146" ht="12.75" hidden="1" x14ac:dyDescent="0.2"/>
    <row r="147" ht="12.75" hidden="1" x14ac:dyDescent="0.2"/>
    <row r="148" ht="12.75" hidden="1" x14ac:dyDescent="0.2"/>
    <row r="149" ht="12.75" hidden="1" x14ac:dyDescent="0.2"/>
    <row r="150" ht="12.75" hidden="1" x14ac:dyDescent="0.2"/>
    <row r="151" ht="12.75" hidden="1" x14ac:dyDescent="0.2"/>
    <row r="152" ht="12.75" hidden="1" x14ac:dyDescent="0.2"/>
    <row r="153" ht="12.75" hidden="1" x14ac:dyDescent="0.2"/>
    <row r="154" ht="12.75" hidden="1" x14ac:dyDescent="0.2"/>
    <row r="155" ht="12.75" hidden="1" x14ac:dyDescent="0.2"/>
    <row r="156" ht="12.75" hidden="1" x14ac:dyDescent="0.2"/>
    <row r="157" ht="12.75" hidden="1" x14ac:dyDescent="0.2"/>
    <row r="158" ht="12.75" hidden="1" x14ac:dyDescent="0.2"/>
    <row r="159" ht="12.75" hidden="1" x14ac:dyDescent="0.2"/>
    <row r="160" ht="12.75" hidden="1" x14ac:dyDescent="0.2"/>
    <row r="161" ht="12.75" hidden="1" x14ac:dyDescent="0.2"/>
    <row r="162" ht="12.75" hidden="1" x14ac:dyDescent="0.2"/>
    <row r="163" ht="12.75" hidden="1" x14ac:dyDescent="0.2"/>
    <row r="164" ht="12.75" hidden="1" x14ac:dyDescent="0.2"/>
    <row r="165" ht="12.75" hidden="1" x14ac:dyDescent="0.2"/>
    <row r="166" ht="12.75" hidden="1" x14ac:dyDescent="0.2"/>
    <row r="167" ht="12.75" hidden="1" x14ac:dyDescent="0.2"/>
    <row r="168" ht="12.75" hidden="1" x14ac:dyDescent="0.2"/>
    <row r="169" ht="12.75" hidden="1" x14ac:dyDescent="0.2"/>
    <row r="170" ht="12.75" hidden="1" x14ac:dyDescent="0.2"/>
    <row r="171" ht="12.75" hidden="1" x14ac:dyDescent="0.2"/>
    <row r="172" ht="12.75" hidden="1" x14ac:dyDescent="0.2"/>
    <row r="173" ht="12.75" hidden="1" x14ac:dyDescent="0.2"/>
    <row r="174" ht="12.75" hidden="1" x14ac:dyDescent="0.2"/>
    <row r="175" ht="12.75" hidden="1" x14ac:dyDescent="0.2"/>
    <row r="176" ht="12.75" hidden="1" x14ac:dyDescent="0.2"/>
    <row r="177" ht="12.75" hidden="1" x14ac:dyDescent="0.2"/>
    <row r="178" ht="12.75" hidden="1" x14ac:dyDescent="0.2"/>
    <row r="179" ht="12.75" hidden="1" x14ac:dyDescent="0.2"/>
    <row r="180" ht="12.75" hidden="1" x14ac:dyDescent="0.2"/>
    <row r="181" ht="12.75" hidden="1" x14ac:dyDescent="0.2"/>
    <row r="182" ht="12.75" hidden="1" x14ac:dyDescent="0.2"/>
    <row r="183" ht="12.75" hidden="1" x14ac:dyDescent="0.2"/>
    <row r="184" ht="12.75" hidden="1" x14ac:dyDescent="0.2"/>
    <row r="185" ht="12.75" hidden="1" x14ac:dyDescent="0.2"/>
    <row r="186" ht="12.75" hidden="1" x14ac:dyDescent="0.2"/>
    <row r="187" ht="12.75" hidden="1" x14ac:dyDescent="0.2"/>
    <row r="188" ht="12.75" hidden="1" x14ac:dyDescent="0.2"/>
    <row r="189" ht="12.75" hidden="1" x14ac:dyDescent="0.2"/>
    <row r="190" ht="12.75" hidden="1" x14ac:dyDescent="0.2"/>
    <row r="191" ht="12.75" hidden="1" x14ac:dyDescent="0.2"/>
    <row r="192" ht="12.75" hidden="1" x14ac:dyDescent="0.2"/>
    <row r="193" ht="12.75" hidden="1" x14ac:dyDescent="0.2"/>
    <row r="194" ht="12.75" hidden="1" x14ac:dyDescent="0.2"/>
    <row r="195" ht="12.75" hidden="1" x14ac:dyDescent="0.2"/>
    <row r="196" ht="12.75" hidden="1" x14ac:dyDescent="0.2"/>
    <row r="197" ht="12.75" hidden="1" x14ac:dyDescent="0.2"/>
    <row r="198" ht="12.75" hidden="1" x14ac:dyDescent="0.2"/>
    <row r="199" ht="12.75" hidden="1" x14ac:dyDescent="0.2"/>
    <row r="200" ht="12.75" hidden="1" x14ac:dyDescent="0.2"/>
    <row r="201" ht="12.75" hidden="1" x14ac:dyDescent="0.2"/>
    <row r="202" ht="12.75" hidden="1" x14ac:dyDescent="0.2"/>
    <row r="203" ht="12.75" hidden="1" x14ac:dyDescent="0.2"/>
    <row r="204" ht="12.75" hidden="1" x14ac:dyDescent="0.2"/>
    <row r="205" ht="12.75" hidden="1" x14ac:dyDescent="0.2"/>
    <row r="206" ht="12.75" hidden="1" x14ac:dyDescent="0.2"/>
    <row r="207" ht="12.75" hidden="1" x14ac:dyDescent="0.2"/>
    <row r="208" ht="12.75" hidden="1" x14ac:dyDescent="0.2"/>
    <row r="209" ht="12.75" hidden="1" x14ac:dyDescent="0.2"/>
    <row r="210" ht="12.75" hidden="1" x14ac:dyDescent="0.2"/>
    <row r="211" ht="12.75" hidden="1" x14ac:dyDescent="0.2"/>
    <row r="212" ht="12.75" hidden="1" x14ac:dyDescent="0.2"/>
    <row r="213" ht="12.75" hidden="1" x14ac:dyDescent="0.2"/>
    <row r="214" ht="12.75" hidden="1" x14ac:dyDescent="0.2"/>
    <row r="215" ht="12.75" hidden="1" x14ac:dyDescent="0.2"/>
    <row r="216" ht="12.75" hidden="1" x14ac:dyDescent="0.2"/>
    <row r="217" ht="12.75" hidden="1" x14ac:dyDescent="0.2"/>
    <row r="218" ht="12.75" hidden="1" x14ac:dyDescent="0.2"/>
    <row r="219" ht="12.75" hidden="1" x14ac:dyDescent="0.2"/>
    <row r="220" ht="12.75" hidden="1" x14ac:dyDescent="0.2"/>
    <row r="221" ht="12.75" hidden="1" x14ac:dyDescent="0.2"/>
    <row r="222" ht="12.75" hidden="1" x14ac:dyDescent="0.2"/>
    <row r="223" ht="12.75" hidden="1" x14ac:dyDescent="0.2"/>
    <row r="224" ht="12.75" hidden="1" x14ac:dyDescent="0.2"/>
    <row r="225" ht="12.75" hidden="1" x14ac:dyDescent="0.2"/>
    <row r="226" ht="12.75" hidden="1" x14ac:dyDescent="0.2"/>
    <row r="227" ht="12.75" hidden="1" x14ac:dyDescent="0.2"/>
    <row r="228" ht="12.75" hidden="1" x14ac:dyDescent="0.2"/>
    <row r="229" ht="12.75" hidden="1" x14ac:dyDescent="0.2"/>
    <row r="230" ht="12.75" hidden="1" x14ac:dyDescent="0.2"/>
    <row r="231" ht="12.75" hidden="1" x14ac:dyDescent="0.2"/>
    <row r="232" ht="12.75" hidden="1" x14ac:dyDescent="0.2"/>
    <row r="233" ht="12.75" hidden="1" x14ac:dyDescent="0.2"/>
    <row r="234" ht="12.75" hidden="1" x14ac:dyDescent="0.2"/>
    <row r="235" ht="12.75" hidden="1" x14ac:dyDescent="0.2"/>
    <row r="236" ht="12.75" hidden="1" x14ac:dyDescent="0.2"/>
    <row r="237" ht="12.75" hidden="1" x14ac:dyDescent="0.2"/>
    <row r="238" ht="12.75" hidden="1" x14ac:dyDescent="0.2"/>
    <row r="239" ht="12.75" hidden="1" x14ac:dyDescent="0.2"/>
    <row r="240" ht="12.75" hidden="1" x14ac:dyDescent="0.2"/>
    <row r="241" ht="12.75" hidden="1" x14ac:dyDescent="0.2"/>
    <row r="242" ht="12.75" hidden="1" x14ac:dyDescent="0.2"/>
    <row r="243" ht="12.75" hidden="1" x14ac:dyDescent="0.2"/>
    <row r="244" ht="12.75" hidden="1" x14ac:dyDescent="0.2"/>
    <row r="245" ht="12.75" hidden="1" x14ac:dyDescent="0.2"/>
    <row r="246" ht="12.75" hidden="1" x14ac:dyDescent="0.2"/>
    <row r="247" ht="12.75" hidden="1" x14ac:dyDescent="0.2"/>
    <row r="248" ht="12.75" hidden="1" x14ac:dyDescent="0.2"/>
    <row r="249" ht="12.75" hidden="1" x14ac:dyDescent="0.2"/>
    <row r="250" ht="12.75" hidden="1" x14ac:dyDescent="0.2"/>
    <row r="251" ht="12.75" hidden="1" x14ac:dyDescent="0.2"/>
    <row r="252" ht="12.75" hidden="1" x14ac:dyDescent="0.2"/>
    <row r="253" ht="12.75" hidden="1" x14ac:dyDescent="0.2"/>
    <row r="254" ht="12.75" hidden="1" x14ac:dyDescent="0.2"/>
    <row r="255" ht="12.75" hidden="1" x14ac:dyDescent="0.2"/>
    <row r="256" ht="12.75" hidden="1" x14ac:dyDescent="0.2"/>
    <row r="257" ht="12.75" hidden="1" x14ac:dyDescent="0.2"/>
    <row r="258" ht="12.75" hidden="1" x14ac:dyDescent="0.2"/>
    <row r="259" ht="12.75" hidden="1" x14ac:dyDescent="0.2"/>
    <row r="260" ht="12.75" hidden="1" x14ac:dyDescent="0.2"/>
    <row r="261" ht="12.75" hidden="1" x14ac:dyDescent="0.2"/>
    <row r="262" ht="12.75" hidden="1" x14ac:dyDescent="0.2"/>
    <row r="263" ht="12.75" hidden="1" x14ac:dyDescent="0.2"/>
    <row r="264" ht="12.75" hidden="1" x14ac:dyDescent="0.2"/>
    <row r="265" ht="12.75" hidden="1" x14ac:dyDescent="0.2"/>
    <row r="266" ht="12.75" hidden="1" x14ac:dyDescent="0.2"/>
    <row r="267" ht="12.75" hidden="1" x14ac:dyDescent="0.2"/>
    <row r="268" ht="12.75" hidden="1" x14ac:dyDescent="0.2"/>
    <row r="269" ht="12.75" hidden="1" x14ac:dyDescent="0.2"/>
    <row r="270" ht="12.75" hidden="1" x14ac:dyDescent="0.2"/>
    <row r="271" ht="12.75" hidden="1" x14ac:dyDescent="0.2"/>
    <row r="272" ht="12.75" hidden="1" x14ac:dyDescent="0.2"/>
    <row r="273" ht="12.75" hidden="1" x14ac:dyDescent="0.2"/>
    <row r="274" ht="12.75" hidden="1" x14ac:dyDescent="0.2"/>
    <row r="275" ht="12.75" hidden="1" x14ac:dyDescent="0.2"/>
    <row r="276" ht="12.75" hidden="1" x14ac:dyDescent="0.2"/>
    <row r="277" ht="12.75" hidden="1" x14ac:dyDescent="0.2"/>
    <row r="278" ht="12.75" hidden="1" x14ac:dyDescent="0.2"/>
    <row r="279" ht="12.75" hidden="1" x14ac:dyDescent="0.2"/>
    <row r="280" ht="12.75" hidden="1" x14ac:dyDescent="0.2"/>
    <row r="281" ht="12.75" hidden="1" x14ac:dyDescent="0.2"/>
    <row r="282" ht="12.75" hidden="1" x14ac:dyDescent="0.2"/>
    <row r="283" ht="12.75" hidden="1" x14ac:dyDescent="0.2"/>
    <row r="284" ht="12.75" hidden="1" x14ac:dyDescent="0.2"/>
    <row r="285" ht="12.75" hidden="1" x14ac:dyDescent="0.2"/>
    <row r="286" ht="12.75" hidden="1" x14ac:dyDescent="0.2"/>
    <row r="287" ht="12.75" hidden="1" x14ac:dyDescent="0.2"/>
    <row r="288" ht="12.75" hidden="1" x14ac:dyDescent="0.2"/>
    <row r="289" ht="12.75" hidden="1" x14ac:dyDescent="0.2"/>
    <row r="290" ht="12.75" hidden="1" x14ac:dyDescent="0.2"/>
    <row r="291" ht="12.75" hidden="1" x14ac:dyDescent="0.2"/>
    <row r="292" ht="12.75" hidden="1" x14ac:dyDescent="0.2"/>
    <row r="293" ht="12.75" hidden="1" x14ac:dyDescent="0.2"/>
    <row r="294" ht="12.75" hidden="1" x14ac:dyDescent="0.2"/>
    <row r="295" ht="12.75" hidden="1" x14ac:dyDescent="0.2"/>
    <row r="296" ht="12.75" hidden="1" x14ac:dyDescent="0.2"/>
    <row r="297" ht="12.75" hidden="1" x14ac:dyDescent="0.2"/>
    <row r="298" ht="12.75" hidden="1" x14ac:dyDescent="0.2"/>
    <row r="299" ht="12.75" hidden="1" x14ac:dyDescent="0.2"/>
    <row r="300" ht="12.75" hidden="1" x14ac:dyDescent="0.2"/>
    <row r="301" ht="12.75" hidden="1" x14ac:dyDescent="0.2"/>
    <row r="302" ht="12.75" hidden="1" x14ac:dyDescent="0.2"/>
    <row r="303" ht="12.75" hidden="1" x14ac:dyDescent="0.2"/>
    <row r="304" ht="12.75" hidden="1" x14ac:dyDescent="0.2"/>
    <row r="305" ht="12.75" hidden="1" x14ac:dyDescent="0.2"/>
    <row r="306" ht="12.75" hidden="1" x14ac:dyDescent="0.2"/>
    <row r="307" ht="12.75" hidden="1" x14ac:dyDescent="0.2"/>
    <row r="308" ht="12.75" hidden="1" x14ac:dyDescent="0.2"/>
    <row r="309" ht="12.75" hidden="1" x14ac:dyDescent="0.2"/>
    <row r="310" ht="12.75" hidden="1" x14ac:dyDescent="0.2"/>
    <row r="311" ht="12.75" hidden="1" x14ac:dyDescent="0.2"/>
    <row r="312" ht="12.75" hidden="1" x14ac:dyDescent="0.2"/>
    <row r="313" ht="12.75" hidden="1" x14ac:dyDescent="0.2"/>
    <row r="314" ht="12.75" hidden="1" x14ac:dyDescent="0.2"/>
    <row r="315" ht="12.75" hidden="1" x14ac:dyDescent="0.2"/>
    <row r="316" ht="12.75" hidden="1" x14ac:dyDescent="0.2"/>
    <row r="317" ht="12.75" hidden="1" x14ac:dyDescent="0.2"/>
    <row r="318" ht="12.75" hidden="1" x14ac:dyDescent="0.2"/>
    <row r="319" ht="12.75" hidden="1" x14ac:dyDescent="0.2"/>
    <row r="320" ht="12.75" hidden="1" x14ac:dyDescent="0.2"/>
    <row r="321" ht="12.75" hidden="1" x14ac:dyDescent="0.2"/>
    <row r="322" ht="12.75" hidden="1" x14ac:dyDescent="0.2"/>
    <row r="323" ht="12.75" hidden="1" x14ac:dyDescent="0.2"/>
    <row r="324" ht="12.75" hidden="1" x14ac:dyDescent="0.2"/>
    <row r="325" ht="12.75" hidden="1" x14ac:dyDescent="0.2"/>
    <row r="326" ht="12.75" hidden="1" x14ac:dyDescent="0.2"/>
    <row r="327" ht="12.75" hidden="1" x14ac:dyDescent="0.2"/>
    <row r="328" ht="12.75" hidden="1" x14ac:dyDescent="0.2"/>
    <row r="329" ht="12.75" hidden="1" x14ac:dyDescent="0.2"/>
    <row r="330" ht="12.75" hidden="1" x14ac:dyDescent="0.2"/>
    <row r="331" ht="12.75" hidden="1" x14ac:dyDescent="0.2"/>
    <row r="332" ht="12.75" hidden="1" x14ac:dyDescent="0.2"/>
    <row r="333" ht="12.75" hidden="1" x14ac:dyDescent="0.2"/>
    <row r="334" ht="12.75" hidden="1" x14ac:dyDescent="0.2"/>
    <row r="335" ht="12.75" hidden="1" x14ac:dyDescent="0.2"/>
    <row r="336" ht="12.75" hidden="1" x14ac:dyDescent="0.2"/>
    <row r="337" ht="12.75" hidden="1" x14ac:dyDescent="0.2"/>
    <row r="338" ht="12.75" hidden="1" x14ac:dyDescent="0.2"/>
    <row r="339" ht="12.75" hidden="1" x14ac:dyDescent="0.2"/>
    <row r="340" ht="12.75" hidden="1" x14ac:dyDescent="0.2"/>
    <row r="341" ht="12.75" hidden="1" x14ac:dyDescent="0.2"/>
    <row r="342" ht="12.75" hidden="1" x14ac:dyDescent="0.2"/>
    <row r="343" ht="12.75" hidden="1" x14ac:dyDescent="0.2"/>
    <row r="344" ht="12.75" hidden="1" x14ac:dyDescent="0.2"/>
    <row r="345" ht="12.75" hidden="1" x14ac:dyDescent="0.2"/>
    <row r="346" ht="12.75" hidden="1" x14ac:dyDescent="0.2"/>
    <row r="347" ht="12.75" hidden="1" x14ac:dyDescent="0.2"/>
    <row r="348" ht="12.75" hidden="1" x14ac:dyDescent="0.2"/>
    <row r="349" ht="12.75" hidden="1" x14ac:dyDescent="0.2"/>
    <row r="350" ht="12.75" hidden="1" x14ac:dyDescent="0.2"/>
    <row r="351" ht="12.75" hidden="1" x14ac:dyDescent="0.2"/>
    <row r="352" ht="12.75" hidden="1" x14ac:dyDescent="0.2"/>
    <row r="353" ht="12.75" hidden="1" x14ac:dyDescent="0.2"/>
    <row r="354" ht="12.75" hidden="1" x14ac:dyDescent="0.2"/>
    <row r="355" ht="12.75" hidden="1" x14ac:dyDescent="0.2"/>
    <row r="356" ht="12.75" hidden="1" x14ac:dyDescent="0.2"/>
    <row r="357" ht="12.75" hidden="1" x14ac:dyDescent="0.2"/>
    <row r="358" ht="12.75" hidden="1" x14ac:dyDescent="0.2"/>
    <row r="359" ht="12.75" hidden="1" x14ac:dyDescent="0.2"/>
    <row r="360" ht="12.75" hidden="1" x14ac:dyDescent="0.2"/>
    <row r="361" ht="12.75" hidden="1" x14ac:dyDescent="0.2"/>
    <row r="362" ht="12.75" hidden="1" x14ac:dyDescent="0.2"/>
    <row r="363" ht="12.75" hidden="1" x14ac:dyDescent="0.2"/>
    <row r="364" ht="12.75" hidden="1" x14ac:dyDescent="0.2"/>
    <row r="365" ht="12.75" hidden="1" x14ac:dyDescent="0.2"/>
    <row r="366" ht="12.75" hidden="1" x14ac:dyDescent="0.2"/>
    <row r="367" ht="12.75" hidden="1" x14ac:dyDescent="0.2"/>
    <row r="368" ht="12.75" hidden="1" x14ac:dyDescent="0.2"/>
    <row r="369" ht="12.75" hidden="1" x14ac:dyDescent="0.2"/>
    <row r="370" ht="12.75" hidden="1" x14ac:dyDescent="0.2"/>
    <row r="371" ht="12.75" hidden="1" x14ac:dyDescent="0.2"/>
    <row r="372" ht="12.75" hidden="1" x14ac:dyDescent="0.2"/>
    <row r="373" ht="12.75" hidden="1" x14ac:dyDescent="0.2"/>
    <row r="374" ht="12.75" hidden="1" x14ac:dyDescent="0.2"/>
    <row r="375" ht="12.75" hidden="1" x14ac:dyDescent="0.2"/>
    <row r="376" ht="12.75" hidden="1" x14ac:dyDescent="0.2"/>
    <row r="377" ht="12.75" hidden="1" x14ac:dyDescent="0.2"/>
    <row r="378" ht="12.75" hidden="1" x14ac:dyDescent="0.2"/>
    <row r="379" ht="12.75" hidden="1" x14ac:dyDescent="0.2"/>
    <row r="380" ht="12.75" hidden="1" x14ac:dyDescent="0.2"/>
    <row r="381" ht="12.75" hidden="1" x14ac:dyDescent="0.2"/>
    <row r="382" ht="12.75" hidden="1" x14ac:dyDescent="0.2"/>
    <row r="383" ht="12.75" hidden="1" x14ac:dyDescent="0.2"/>
    <row r="384" ht="12.75" hidden="1" x14ac:dyDescent="0.2"/>
    <row r="385" ht="12.75" hidden="1" x14ac:dyDescent="0.2"/>
    <row r="386" ht="12.75" hidden="1" x14ac:dyDescent="0.2"/>
    <row r="387" ht="12.75" hidden="1" x14ac:dyDescent="0.2"/>
    <row r="388" ht="12.75" hidden="1" x14ac:dyDescent="0.2"/>
    <row r="389" ht="12.75" hidden="1" x14ac:dyDescent="0.2"/>
    <row r="390" ht="12.75" hidden="1" x14ac:dyDescent="0.2"/>
    <row r="391" ht="12.75" hidden="1" x14ac:dyDescent="0.2"/>
    <row r="392" ht="12.75" hidden="1" x14ac:dyDescent="0.2"/>
    <row r="393" ht="12.75" hidden="1" x14ac:dyDescent="0.2"/>
    <row r="394" ht="12.75" hidden="1" x14ac:dyDescent="0.2"/>
    <row r="395" ht="12.75" hidden="1" x14ac:dyDescent="0.2"/>
    <row r="396" ht="12.75" hidden="1" x14ac:dyDescent="0.2"/>
    <row r="397" ht="12.75" hidden="1" x14ac:dyDescent="0.2"/>
    <row r="398" ht="12.75" hidden="1" x14ac:dyDescent="0.2"/>
    <row r="399" ht="12.75" hidden="1" x14ac:dyDescent="0.2"/>
    <row r="400" ht="12.75" hidden="1" x14ac:dyDescent="0.2"/>
    <row r="401" ht="12.75" hidden="1" x14ac:dyDescent="0.2"/>
    <row r="402" ht="12.75" hidden="1" x14ac:dyDescent="0.2"/>
    <row r="403" ht="12.75" hidden="1" x14ac:dyDescent="0.2"/>
    <row r="404" ht="12.75" hidden="1" x14ac:dyDescent="0.2"/>
    <row r="405" ht="12.75" hidden="1" x14ac:dyDescent="0.2"/>
    <row r="406" ht="12.75" hidden="1" x14ac:dyDescent="0.2"/>
    <row r="407" ht="12.75" hidden="1" x14ac:dyDescent="0.2"/>
    <row r="408" ht="12.75" hidden="1" x14ac:dyDescent="0.2"/>
    <row r="409" ht="12.75" hidden="1" x14ac:dyDescent="0.2"/>
    <row r="410" ht="12.75" hidden="1" x14ac:dyDescent="0.2"/>
    <row r="411" ht="12.75" hidden="1" x14ac:dyDescent="0.2"/>
    <row r="412" ht="12.75" hidden="1" x14ac:dyDescent="0.2"/>
    <row r="413" ht="12.75" hidden="1" x14ac:dyDescent="0.2"/>
    <row r="414" ht="12.75" hidden="1" x14ac:dyDescent="0.2"/>
    <row r="415" ht="12.75" hidden="1" x14ac:dyDescent="0.2"/>
    <row r="416" ht="12.75" hidden="1" x14ac:dyDescent="0.2"/>
    <row r="417" ht="12.75" hidden="1" x14ac:dyDescent="0.2"/>
    <row r="418" ht="12.75" hidden="1" x14ac:dyDescent="0.2"/>
    <row r="419" ht="12.75" hidden="1" x14ac:dyDescent="0.2"/>
    <row r="420" ht="12.75" hidden="1" x14ac:dyDescent="0.2"/>
    <row r="421" ht="12.75" hidden="1" x14ac:dyDescent="0.2"/>
    <row r="422" ht="12.75" hidden="1" x14ac:dyDescent="0.2"/>
    <row r="423" ht="12.75" hidden="1" x14ac:dyDescent="0.2"/>
    <row r="424" ht="12.75" hidden="1" x14ac:dyDescent="0.2"/>
    <row r="425" ht="12.75" hidden="1" x14ac:dyDescent="0.2"/>
    <row r="426" ht="12.75" hidden="1" x14ac:dyDescent="0.2"/>
    <row r="427" ht="12.75" hidden="1" x14ac:dyDescent="0.2"/>
    <row r="428" ht="12.75" hidden="1" x14ac:dyDescent="0.2"/>
    <row r="429" ht="12.75" hidden="1" x14ac:dyDescent="0.2"/>
    <row r="430" ht="12.75" hidden="1" x14ac:dyDescent="0.2"/>
    <row r="431" ht="12.75" hidden="1" x14ac:dyDescent="0.2"/>
    <row r="432" ht="12.75" hidden="1" x14ac:dyDescent="0.2"/>
    <row r="433" ht="12.75" hidden="1" x14ac:dyDescent="0.2"/>
    <row r="434" ht="12.75" hidden="1" x14ac:dyDescent="0.2"/>
    <row r="435" ht="12.75" hidden="1" x14ac:dyDescent="0.2"/>
    <row r="436" ht="12.75" hidden="1" x14ac:dyDescent="0.2"/>
    <row r="437" ht="12.75" hidden="1" x14ac:dyDescent="0.2"/>
    <row r="438" ht="12.75" hidden="1" x14ac:dyDescent="0.2"/>
    <row r="439" ht="12.75" hidden="1" x14ac:dyDescent="0.2"/>
    <row r="440" ht="12.75" hidden="1" x14ac:dyDescent="0.2"/>
    <row r="441" ht="12.75" hidden="1" x14ac:dyDescent="0.2"/>
    <row r="442" ht="12.75" hidden="1" x14ac:dyDescent="0.2"/>
    <row r="443" ht="12.75" hidden="1" x14ac:dyDescent="0.2"/>
    <row r="444" ht="12.75" hidden="1" x14ac:dyDescent="0.2"/>
    <row r="445" ht="12.75" hidden="1" x14ac:dyDescent="0.2"/>
    <row r="446" ht="12.75" hidden="1" x14ac:dyDescent="0.2"/>
    <row r="447" ht="12.75" hidden="1" x14ac:dyDescent="0.2"/>
    <row r="448" ht="12.75" hidden="1" x14ac:dyDescent="0.2"/>
    <row r="449" ht="12.75" hidden="1" x14ac:dyDescent="0.2"/>
    <row r="450" ht="12.75" hidden="1" x14ac:dyDescent="0.2"/>
    <row r="451" ht="12.75" hidden="1" x14ac:dyDescent="0.2"/>
    <row r="452" ht="12.75" hidden="1" x14ac:dyDescent="0.2"/>
    <row r="453" ht="12.75" hidden="1" x14ac:dyDescent="0.2"/>
    <row r="454" ht="12.75" hidden="1" x14ac:dyDescent="0.2"/>
    <row r="455" ht="12.75" hidden="1" x14ac:dyDescent="0.2"/>
    <row r="456" ht="12.75" hidden="1" x14ac:dyDescent="0.2"/>
    <row r="457" ht="12.75" hidden="1" x14ac:dyDescent="0.2"/>
    <row r="458" ht="12.75" hidden="1" x14ac:dyDescent="0.2"/>
    <row r="459" ht="12.75" hidden="1" x14ac:dyDescent="0.2"/>
    <row r="460" ht="12.75" hidden="1" x14ac:dyDescent="0.2"/>
    <row r="461" ht="12.75" hidden="1" x14ac:dyDescent="0.2"/>
    <row r="462" ht="12.75" hidden="1" x14ac:dyDescent="0.2"/>
    <row r="463" ht="12.75" hidden="1" x14ac:dyDescent="0.2"/>
    <row r="464" ht="12.75" hidden="1" x14ac:dyDescent="0.2"/>
    <row r="465" ht="12.75" hidden="1" x14ac:dyDescent="0.2"/>
    <row r="466" ht="12.75" hidden="1" x14ac:dyDescent="0.2"/>
    <row r="467" ht="12.75" hidden="1" x14ac:dyDescent="0.2"/>
    <row r="468" ht="12.75" hidden="1" x14ac:dyDescent="0.2"/>
    <row r="469" ht="12.75" hidden="1" x14ac:dyDescent="0.2"/>
    <row r="470" ht="12.75" hidden="1" x14ac:dyDescent="0.2"/>
    <row r="471" ht="12.75" hidden="1" x14ac:dyDescent="0.2"/>
    <row r="472" ht="12.75" hidden="1" x14ac:dyDescent="0.2"/>
    <row r="473" ht="12.75" hidden="1" x14ac:dyDescent="0.2"/>
    <row r="474" ht="12.75" hidden="1" x14ac:dyDescent="0.2"/>
    <row r="475" ht="12.75" hidden="1" x14ac:dyDescent="0.2"/>
    <row r="476" ht="12.75" hidden="1" x14ac:dyDescent="0.2"/>
    <row r="477" ht="12.75" hidden="1" x14ac:dyDescent="0.2"/>
    <row r="478" ht="12.75" hidden="1" x14ac:dyDescent="0.2"/>
    <row r="479" ht="12.75" hidden="1" x14ac:dyDescent="0.2"/>
    <row r="480" ht="12.75" hidden="1" x14ac:dyDescent="0.2"/>
    <row r="481" ht="12.75" hidden="1" x14ac:dyDescent="0.2"/>
    <row r="482" ht="12.75" hidden="1" x14ac:dyDescent="0.2"/>
    <row r="483" ht="12.75" hidden="1" x14ac:dyDescent="0.2"/>
    <row r="484" ht="12.75" hidden="1" x14ac:dyDescent="0.2"/>
    <row r="485" ht="12.75" hidden="1" x14ac:dyDescent="0.2"/>
    <row r="486" ht="12.75" hidden="1" x14ac:dyDescent="0.2"/>
    <row r="487" ht="12.75" hidden="1" x14ac:dyDescent="0.2"/>
    <row r="488" ht="12.75" hidden="1" x14ac:dyDescent="0.2"/>
    <row r="489" ht="12.75" hidden="1" x14ac:dyDescent="0.2"/>
    <row r="490" ht="12.75" hidden="1" x14ac:dyDescent="0.2"/>
    <row r="491" ht="12.75" hidden="1" x14ac:dyDescent="0.2"/>
    <row r="492" ht="12.75" hidden="1" x14ac:dyDescent="0.2"/>
    <row r="493" ht="12.75" hidden="1" x14ac:dyDescent="0.2"/>
    <row r="494" ht="12.75" hidden="1" x14ac:dyDescent="0.2"/>
    <row r="495" ht="12.75" hidden="1" x14ac:dyDescent="0.2"/>
    <row r="496" ht="12.75" hidden="1" x14ac:dyDescent="0.2"/>
    <row r="497" ht="12.75" hidden="1" x14ac:dyDescent="0.2"/>
    <row r="498" ht="12.75" hidden="1" x14ac:dyDescent="0.2"/>
    <row r="499" ht="12.75" hidden="1" x14ac:dyDescent="0.2"/>
    <row r="500" ht="12.75" hidden="1" x14ac:dyDescent="0.2"/>
    <row r="501" ht="12.75" hidden="1" x14ac:dyDescent="0.2"/>
    <row r="502" ht="12.75" hidden="1" x14ac:dyDescent="0.2"/>
    <row r="503" ht="12.75" hidden="1" x14ac:dyDescent="0.2"/>
    <row r="504" ht="12.75" hidden="1" x14ac:dyDescent="0.2"/>
    <row r="505" ht="12.75" hidden="1" x14ac:dyDescent="0.2"/>
    <row r="506" ht="12.75" hidden="1" x14ac:dyDescent="0.2"/>
    <row r="507" ht="12.75" hidden="1" x14ac:dyDescent="0.2"/>
    <row r="508" ht="12.75" hidden="1" x14ac:dyDescent="0.2"/>
    <row r="509" ht="12.75" hidden="1" x14ac:dyDescent="0.2"/>
    <row r="510" ht="12.75" hidden="1" x14ac:dyDescent="0.2"/>
    <row r="511" ht="12.75" hidden="1" x14ac:dyDescent="0.2"/>
    <row r="512" ht="12.75" hidden="1" x14ac:dyDescent="0.2"/>
    <row r="513" ht="12.75" hidden="1" x14ac:dyDescent="0.2"/>
    <row r="514" ht="12.75" hidden="1" x14ac:dyDescent="0.2"/>
    <row r="515" ht="12.75" hidden="1" x14ac:dyDescent="0.2"/>
    <row r="516" ht="12.75" hidden="1" x14ac:dyDescent="0.2"/>
    <row r="517" ht="12.75" hidden="1" x14ac:dyDescent="0.2"/>
    <row r="518" ht="12.75" hidden="1" x14ac:dyDescent="0.2"/>
    <row r="519" ht="12.75" hidden="1" x14ac:dyDescent="0.2"/>
    <row r="520" ht="12.75" hidden="1" x14ac:dyDescent="0.2"/>
    <row r="521" ht="12.75" hidden="1" x14ac:dyDescent="0.2"/>
    <row r="522" ht="12.75" hidden="1" x14ac:dyDescent="0.2"/>
    <row r="523" ht="12.75" hidden="1" x14ac:dyDescent="0.2"/>
    <row r="524" ht="12.75" hidden="1" x14ac:dyDescent="0.2"/>
    <row r="525" ht="12.75" hidden="1" x14ac:dyDescent="0.2"/>
    <row r="526" ht="12.75" hidden="1" x14ac:dyDescent="0.2"/>
    <row r="527" ht="12.75" hidden="1" x14ac:dyDescent="0.2"/>
    <row r="528" ht="12.75" hidden="1" x14ac:dyDescent="0.2"/>
    <row r="529" ht="12.75" hidden="1" x14ac:dyDescent="0.2"/>
    <row r="530" ht="12.75" hidden="1" x14ac:dyDescent="0.2"/>
    <row r="531" ht="12.75" hidden="1" x14ac:dyDescent="0.2"/>
    <row r="532" ht="12.75" hidden="1" x14ac:dyDescent="0.2"/>
    <row r="533" ht="12.75" hidden="1" x14ac:dyDescent="0.2"/>
    <row r="534" ht="12.75" hidden="1" x14ac:dyDescent="0.2"/>
    <row r="535" ht="12.75" hidden="1" x14ac:dyDescent="0.2"/>
    <row r="536" ht="12.75" hidden="1" x14ac:dyDescent="0.2"/>
    <row r="537" ht="12.75" hidden="1" x14ac:dyDescent="0.2"/>
    <row r="538" ht="12.75" hidden="1" x14ac:dyDescent="0.2"/>
    <row r="539" ht="12.75" hidden="1" x14ac:dyDescent="0.2"/>
    <row r="540" ht="12.75" hidden="1" x14ac:dyDescent="0.2"/>
    <row r="541" ht="12.75" hidden="1" x14ac:dyDescent="0.2"/>
    <row r="542" ht="12.75" hidden="1" x14ac:dyDescent="0.2"/>
    <row r="543" ht="12.75" hidden="1" x14ac:dyDescent="0.2"/>
    <row r="544" ht="12.75" hidden="1" x14ac:dyDescent="0.2"/>
    <row r="545" ht="12.75" hidden="1" x14ac:dyDescent="0.2"/>
    <row r="546" ht="12.75" hidden="1" x14ac:dyDescent="0.2"/>
    <row r="547" ht="12.75" hidden="1" x14ac:dyDescent="0.2"/>
    <row r="548" ht="12.75" hidden="1" x14ac:dyDescent="0.2"/>
    <row r="549" ht="12.75" hidden="1" x14ac:dyDescent="0.2"/>
    <row r="550" ht="12.75" hidden="1" x14ac:dyDescent="0.2"/>
    <row r="551" ht="12.75" hidden="1" x14ac:dyDescent="0.2"/>
    <row r="552" ht="12.75" hidden="1" x14ac:dyDescent="0.2"/>
    <row r="553" ht="12.75" hidden="1" x14ac:dyDescent="0.2"/>
    <row r="554" ht="12.75" hidden="1" x14ac:dyDescent="0.2"/>
    <row r="555" ht="12.75" hidden="1" x14ac:dyDescent="0.2"/>
    <row r="556" ht="12.75" hidden="1" x14ac:dyDescent="0.2"/>
    <row r="557" ht="12.75" hidden="1" x14ac:dyDescent="0.2"/>
    <row r="558" ht="12.75" hidden="1" x14ac:dyDescent="0.2"/>
    <row r="559" ht="12.75" hidden="1" x14ac:dyDescent="0.2"/>
    <row r="560" ht="12.75" hidden="1" x14ac:dyDescent="0.2"/>
    <row r="561" ht="12.75" hidden="1" x14ac:dyDescent="0.2"/>
    <row r="562" ht="12.75" hidden="1" x14ac:dyDescent="0.2"/>
    <row r="563" ht="12.75" hidden="1" x14ac:dyDescent="0.2"/>
    <row r="564" ht="12.75" hidden="1" x14ac:dyDescent="0.2"/>
    <row r="565" ht="12.75" hidden="1" x14ac:dyDescent="0.2"/>
    <row r="566" ht="12.75" hidden="1" x14ac:dyDescent="0.2"/>
    <row r="567" ht="12.75" hidden="1" x14ac:dyDescent="0.2"/>
    <row r="568" ht="12.75" hidden="1" x14ac:dyDescent="0.2"/>
    <row r="569" ht="12.75" hidden="1" x14ac:dyDescent="0.2"/>
    <row r="570" ht="12.75" hidden="1" x14ac:dyDescent="0.2"/>
    <row r="571" ht="12.75" hidden="1" x14ac:dyDescent="0.2"/>
    <row r="572" ht="12.75" hidden="1" x14ac:dyDescent="0.2"/>
    <row r="573" ht="12.75" hidden="1" x14ac:dyDescent="0.2"/>
    <row r="574" ht="12.75" hidden="1" x14ac:dyDescent="0.2"/>
    <row r="575" ht="12.75" hidden="1" x14ac:dyDescent="0.2"/>
    <row r="576" ht="12.75" hidden="1" x14ac:dyDescent="0.2"/>
    <row r="577" ht="12.75" hidden="1" x14ac:dyDescent="0.2"/>
    <row r="578" ht="12.75" hidden="1" x14ac:dyDescent="0.2"/>
    <row r="579" ht="12.75" hidden="1" x14ac:dyDescent="0.2"/>
    <row r="580" ht="12.75" hidden="1" x14ac:dyDescent="0.2"/>
    <row r="581" ht="12.75" hidden="1" x14ac:dyDescent="0.2"/>
    <row r="582" ht="12.75" hidden="1" x14ac:dyDescent="0.2"/>
    <row r="583" ht="12.75" hidden="1" x14ac:dyDescent="0.2"/>
    <row r="584" ht="12.75" hidden="1" x14ac:dyDescent="0.2"/>
    <row r="585" ht="12.75" hidden="1" x14ac:dyDescent="0.2"/>
    <row r="586" ht="12.75" hidden="1" x14ac:dyDescent="0.2"/>
    <row r="587" ht="12.75" hidden="1" x14ac:dyDescent="0.2"/>
    <row r="588" ht="12.75" hidden="1" x14ac:dyDescent="0.2"/>
    <row r="589" ht="12.75" hidden="1" x14ac:dyDescent="0.2"/>
    <row r="590" ht="12.75" hidden="1" x14ac:dyDescent="0.2"/>
    <row r="591" ht="12.75" hidden="1" x14ac:dyDescent="0.2"/>
    <row r="592" ht="12.75" hidden="1" x14ac:dyDescent="0.2"/>
    <row r="593" ht="12.75" hidden="1" x14ac:dyDescent="0.2"/>
    <row r="594" ht="12.75" hidden="1" x14ac:dyDescent="0.2"/>
    <row r="595" ht="12.75" hidden="1" x14ac:dyDescent="0.2"/>
    <row r="596" ht="12.75" hidden="1" x14ac:dyDescent="0.2"/>
    <row r="597" ht="12.75" hidden="1" x14ac:dyDescent="0.2"/>
    <row r="598" ht="12.75" hidden="1" x14ac:dyDescent="0.2"/>
    <row r="599" ht="12.75" hidden="1" x14ac:dyDescent="0.2"/>
    <row r="600" ht="12.75" hidden="1" x14ac:dyDescent="0.2"/>
    <row r="601" ht="12.75" hidden="1" x14ac:dyDescent="0.2"/>
    <row r="602" ht="12.75" hidden="1" x14ac:dyDescent="0.2"/>
    <row r="603" ht="12.75" hidden="1" x14ac:dyDescent="0.2"/>
    <row r="604" ht="12.75" hidden="1" x14ac:dyDescent="0.2"/>
    <row r="605" ht="12.75" hidden="1" x14ac:dyDescent="0.2"/>
    <row r="606" ht="12.75" hidden="1" x14ac:dyDescent="0.2"/>
    <row r="607" ht="12.75" hidden="1" x14ac:dyDescent="0.2"/>
    <row r="608" ht="12.75" hidden="1" x14ac:dyDescent="0.2"/>
    <row r="609" ht="12.75" hidden="1" x14ac:dyDescent="0.2"/>
    <row r="610" ht="12.75" hidden="1" x14ac:dyDescent="0.2"/>
    <row r="611" ht="12.75" hidden="1" x14ac:dyDescent="0.2"/>
    <row r="612" ht="12.75" hidden="1" x14ac:dyDescent="0.2"/>
    <row r="613" ht="12.75" hidden="1" x14ac:dyDescent="0.2"/>
    <row r="614" ht="12.75" hidden="1" x14ac:dyDescent="0.2"/>
    <row r="615" ht="12.75" hidden="1" x14ac:dyDescent="0.2"/>
    <row r="616" ht="12.75" hidden="1" x14ac:dyDescent="0.2"/>
    <row r="617" ht="12.75" hidden="1" x14ac:dyDescent="0.2"/>
    <row r="618" ht="12.75" hidden="1" x14ac:dyDescent="0.2"/>
    <row r="619" ht="12.75" hidden="1" x14ac:dyDescent="0.2"/>
    <row r="620" ht="12.75" hidden="1" x14ac:dyDescent="0.2"/>
    <row r="621" ht="12.75" hidden="1" x14ac:dyDescent="0.2"/>
    <row r="622" ht="12.75" hidden="1" x14ac:dyDescent="0.2"/>
    <row r="623" ht="12.75" hidden="1" x14ac:dyDescent="0.2"/>
    <row r="624" ht="12.75" hidden="1" x14ac:dyDescent="0.2"/>
    <row r="625" ht="12.75" hidden="1" x14ac:dyDescent="0.2"/>
    <row r="626" ht="12.75" hidden="1" x14ac:dyDescent="0.2"/>
    <row r="627" ht="12.75" hidden="1" x14ac:dyDescent="0.2"/>
    <row r="628" ht="12.75" hidden="1" x14ac:dyDescent="0.2"/>
    <row r="629" ht="12.75" hidden="1" x14ac:dyDescent="0.2"/>
    <row r="630" ht="12.75" hidden="1" x14ac:dyDescent="0.2"/>
    <row r="631" ht="12.75" hidden="1" x14ac:dyDescent="0.2"/>
    <row r="632" ht="12.75" hidden="1" x14ac:dyDescent="0.2"/>
    <row r="633" ht="12.75" hidden="1" x14ac:dyDescent="0.2"/>
    <row r="634" ht="12.75" hidden="1" x14ac:dyDescent="0.2"/>
    <row r="635" ht="12.75" hidden="1" x14ac:dyDescent="0.2"/>
    <row r="636" ht="12.75" hidden="1" x14ac:dyDescent="0.2"/>
    <row r="637" ht="12.75" hidden="1" x14ac:dyDescent="0.2"/>
    <row r="638" ht="12.75" hidden="1" x14ac:dyDescent="0.2"/>
    <row r="639" ht="12.75" hidden="1" x14ac:dyDescent="0.2"/>
    <row r="640" ht="12.75" hidden="1" x14ac:dyDescent="0.2"/>
    <row r="641" ht="12.75" hidden="1" x14ac:dyDescent="0.2"/>
    <row r="642" ht="12.75" hidden="1" x14ac:dyDescent="0.2"/>
    <row r="643" ht="12.75" hidden="1" x14ac:dyDescent="0.2"/>
    <row r="644" ht="12.75" hidden="1" x14ac:dyDescent="0.2"/>
    <row r="645" ht="12.75" hidden="1" x14ac:dyDescent="0.2"/>
    <row r="646" ht="12.75" hidden="1" x14ac:dyDescent="0.2"/>
    <row r="647" ht="12.75" hidden="1" x14ac:dyDescent="0.2"/>
    <row r="648" ht="12.75" hidden="1" x14ac:dyDescent="0.2"/>
    <row r="649" ht="12.75" hidden="1" x14ac:dyDescent="0.2"/>
    <row r="650" ht="12.75" hidden="1" x14ac:dyDescent="0.2"/>
    <row r="651" ht="12.75" hidden="1" x14ac:dyDescent="0.2"/>
    <row r="652" ht="12.75" hidden="1" x14ac:dyDescent="0.2"/>
    <row r="653" ht="12.75" hidden="1" x14ac:dyDescent="0.2"/>
    <row r="654" ht="12.75" hidden="1" x14ac:dyDescent="0.2"/>
    <row r="655" ht="12.75" hidden="1" x14ac:dyDescent="0.2"/>
    <row r="656" ht="12.75" hidden="1" x14ac:dyDescent="0.2"/>
    <row r="657" ht="12.75" hidden="1" x14ac:dyDescent="0.2"/>
    <row r="658" ht="12.75" hidden="1" x14ac:dyDescent="0.2"/>
    <row r="659" ht="12.75" hidden="1" x14ac:dyDescent="0.2"/>
    <row r="660" ht="12.75" hidden="1" x14ac:dyDescent="0.2"/>
    <row r="661" ht="12.75" hidden="1" x14ac:dyDescent="0.2"/>
    <row r="662" ht="12.75" hidden="1" x14ac:dyDescent="0.2"/>
    <row r="663" ht="12.75" hidden="1" x14ac:dyDescent="0.2"/>
    <row r="664" ht="12.75" hidden="1" x14ac:dyDescent="0.2"/>
    <row r="665" ht="12.75" hidden="1" x14ac:dyDescent="0.2"/>
    <row r="666" ht="12.75" hidden="1" x14ac:dyDescent="0.2"/>
    <row r="667" ht="12.75" hidden="1" x14ac:dyDescent="0.2"/>
    <row r="668" ht="12.75" hidden="1" x14ac:dyDescent="0.2"/>
    <row r="669" ht="12.75" hidden="1" x14ac:dyDescent="0.2"/>
    <row r="670" ht="12.75" hidden="1" x14ac:dyDescent="0.2"/>
    <row r="671" ht="12.75" hidden="1" x14ac:dyDescent="0.2"/>
    <row r="672" ht="12.75" hidden="1" x14ac:dyDescent="0.2"/>
    <row r="673" ht="12.75" hidden="1" x14ac:dyDescent="0.2"/>
    <row r="674" ht="12.75" hidden="1" x14ac:dyDescent="0.2"/>
    <row r="675" ht="12.75" hidden="1" x14ac:dyDescent="0.2"/>
    <row r="676" ht="12.75" hidden="1" x14ac:dyDescent="0.2"/>
    <row r="677" ht="12.75" hidden="1" x14ac:dyDescent="0.2"/>
    <row r="678" ht="12.75" hidden="1" x14ac:dyDescent="0.2"/>
    <row r="679" ht="12.75" hidden="1" x14ac:dyDescent="0.2"/>
    <row r="680" ht="12.75" hidden="1" x14ac:dyDescent="0.2"/>
    <row r="681" ht="12.75" hidden="1" x14ac:dyDescent="0.2"/>
    <row r="682" ht="12.75" hidden="1" x14ac:dyDescent="0.2"/>
    <row r="683" ht="12.75" hidden="1" x14ac:dyDescent="0.2"/>
    <row r="684" ht="12.75" hidden="1" x14ac:dyDescent="0.2"/>
    <row r="685" ht="12.75" hidden="1" x14ac:dyDescent="0.2"/>
    <row r="686" ht="12.75" hidden="1" x14ac:dyDescent="0.2"/>
    <row r="687" ht="12.75" hidden="1" x14ac:dyDescent="0.2"/>
    <row r="688" ht="12.75" hidden="1" x14ac:dyDescent="0.2"/>
    <row r="689" ht="12.75" hidden="1" x14ac:dyDescent="0.2"/>
    <row r="690" ht="12.75" hidden="1" x14ac:dyDescent="0.2"/>
    <row r="691" ht="12.75" hidden="1" x14ac:dyDescent="0.2"/>
    <row r="692" ht="12.75" hidden="1" x14ac:dyDescent="0.2"/>
    <row r="693" ht="12.75" hidden="1" x14ac:dyDescent="0.2"/>
    <row r="694" ht="12.75" hidden="1" x14ac:dyDescent="0.2"/>
    <row r="695" ht="12.75" hidden="1" x14ac:dyDescent="0.2"/>
    <row r="696" ht="12.75" hidden="1" x14ac:dyDescent="0.2"/>
    <row r="697" ht="12.75" hidden="1" x14ac:dyDescent="0.2"/>
    <row r="698" ht="12.75" hidden="1" x14ac:dyDescent="0.2"/>
    <row r="699" ht="12.75" hidden="1" x14ac:dyDescent="0.2"/>
    <row r="700" ht="12.75" hidden="1" x14ac:dyDescent="0.2"/>
    <row r="701" ht="12.75" hidden="1" x14ac:dyDescent="0.2"/>
    <row r="702" ht="12.75" hidden="1" x14ac:dyDescent="0.2"/>
    <row r="703" ht="12.75" hidden="1" x14ac:dyDescent="0.2"/>
    <row r="704" ht="12.75" hidden="1" x14ac:dyDescent="0.2"/>
    <row r="705" ht="12.75" hidden="1" x14ac:dyDescent="0.2"/>
    <row r="706" ht="12.75" hidden="1" x14ac:dyDescent="0.2"/>
    <row r="707" ht="12.75" hidden="1" x14ac:dyDescent="0.2"/>
    <row r="708" ht="12.75" hidden="1" x14ac:dyDescent="0.2"/>
    <row r="709" ht="12.75" hidden="1" x14ac:dyDescent="0.2"/>
    <row r="710" ht="12.75" hidden="1" x14ac:dyDescent="0.2"/>
    <row r="711" ht="12.75" hidden="1" x14ac:dyDescent="0.2"/>
    <row r="712" ht="12.75" hidden="1" x14ac:dyDescent="0.2"/>
    <row r="713" ht="12.75" hidden="1" x14ac:dyDescent="0.2"/>
    <row r="714" ht="12.75" hidden="1" x14ac:dyDescent="0.2"/>
    <row r="715" ht="12.75" hidden="1" x14ac:dyDescent="0.2"/>
    <row r="716" ht="12.75" hidden="1" x14ac:dyDescent="0.2"/>
    <row r="717" ht="12.75" hidden="1" x14ac:dyDescent="0.2"/>
    <row r="718" ht="12.75" hidden="1" x14ac:dyDescent="0.2"/>
    <row r="719" ht="12.75" hidden="1" x14ac:dyDescent="0.2"/>
    <row r="720" ht="12.75" hidden="1" x14ac:dyDescent="0.2"/>
    <row r="721" ht="12.75" hidden="1" x14ac:dyDescent="0.2"/>
    <row r="722" ht="12.75" hidden="1" x14ac:dyDescent="0.2"/>
    <row r="723" ht="12.75" hidden="1" x14ac:dyDescent="0.2"/>
    <row r="724" ht="12.75" hidden="1" x14ac:dyDescent="0.2"/>
    <row r="725" ht="12.75" hidden="1" x14ac:dyDescent="0.2"/>
    <row r="726" ht="12.75" hidden="1" x14ac:dyDescent="0.2"/>
    <row r="727" ht="12.75" hidden="1" x14ac:dyDescent="0.2"/>
    <row r="728" ht="12.75" hidden="1" x14ac:dyDescent="0.2"/>
    <row r="729" ht="12.75" hidden="1" x14ac:dyDescent="0.2"/>
    <row r="730" ht="12.75" hidden="1" x14ac:dyDescent="0.2"/>
    <row r="731" ht="12.75" hidden="1" x14ac:dyDescent="0.2"/>
    <row r="732" ht="12.75" hidden="1" x14ac:dyDescent="0.2"/>
    <row r="733" ht="12.75" hidden="1" x14ac:dyDescent="0.2"/>
    <row r="734" ht="12.75" hidden="1" x14ac:dyDescent="0.2"/>
    <row r="735" ht="12.75" hidden="1" x14ac:dyDescent="0.2"/>
    <row r="736" ht="12.75" hidden="1" x14ac:dyDescent="0.2"/>
    <row r="737" ht="12.75" hidden="1" x14ac:dyDescent="0.2"/>
    <row r="738" ht="12.75" hidden="1" x14ac:dyDescent="0.2"/>
    <row r="739" ht="12.75" hidden="1" x14ac:dyDescent="0.2"/>
    <row r="740" ht="12.75" hidden="1" x14ac:dyDescent="0.2"/>
    <row r="741" ht="12.75" hidden="1" x14ac:dyDescent="0.2"/>
    <row r="742" ht="12.75" hidden="1" x14ac:dyDescent="0.2"/>
    <row r="743" ht="12.75" hidden="1" x14ac:dyDescent="0.2"/>
    <row r="744" ht="12.75" hidden="1" x14ac:dyDescent="0.2"/>
    <row r="745" ht="12.75" hidden="1" x14ac:dyDescent="0.2"/>
    <row r="746" ht="12.75" hidden="1" x14ac:dyDescent="0.2"/>
    <row r="747" ht="12.75" hidden="1" x14ac:dyDescent="0.2"/>
    <row r="748" ht="12.75" hidden="1" x14ac:dyDescent="0.2"/>
    <row r="749" ht="12.75" hidden="1" x14ac:dyDescent="0.2"/>
    <row r="750" ht="12.75" hidden="1" x14ac:dyDescent="0.2"/>
    <row r="751" ht="12.75" hidden="1" x14ac:dyDescent="0.2"/>
    <row r="752" ht="12.75" hidden="1" x14ac:dyDescent="0.2"/>
    <row r="753" ht="12.75" hidden="1" x14ac:dyDescent="0.2"/>
    <row r="754" ht="12.75" hidden="1" x14ac:dyDescent="0.2"/>
    <row r="755" ht="12.75" hidden="1" x14ac:dyDescent="0.2"/>
    <row r="756" ht="12.75" hidden="1" x14ac:dyDescent="0.2"/>
    <row r="757" ht="12.75" hidden="1" x14ac:dyDescent="0.2"/>
    <row r="758" ht="12.75" hidden="1" x14ac:dyDescent="0.2"/>
    <row r="759" ht="12.75" hidden="1" x14ac:dyDescent="0.2"/>
    <row r="760" ht="12.75" hidden="1" x14ac:dyDescent="0.2"/>
    <row r="761" ht="12.75" hidden="1" x14ac:dyDescent="0.2"/>
    <row r="762" ht="12.75" hidden="1" x14ac:dyDescent="0.2"/>
    <row r="763" ht="12.75" hidden="1" x14ac:dyDescent="0.2"/>
    <row r="764" ht="12.75" hidden="1" x14ac:dyDescent="0.2"/>
    <row r="765" ht="12.75" hidden="1" x14ac:dyDescent="0.2"/>
    <row r="766" ht="12.75" hidden="1" x14ac:dyDescent="0.2"/>
    <row r="767" ht="12.75" hidden="1" x14ac:dyDescent="0.2"/>
    <row r="768" ht="12.75" hidden="1" x14ac:dyDescent="0.2"/>
    <row r="769" ht="12.75" hidden="1" x14ac:dyDescent="0.2"/>
    <row r="770" ht="12.75" hidden="1" x14ac:dyDescent="0.2"/>
    <row r="771" ht="12.75" hidden="1" x14ac:dyDescent="0.2"/>
    <row r="772" ht="12.75" hidden="1" x14ac:dyDescent="0.2"/>
    <row r="773" ht="12.75" hidden="1" x14ac:dyDescent="0.2"/>
    <row r="774" ht="12.75" hidden="1" x14ac:dyDescent="0.2"/>
    <row r="775" ht="12.75" hidden="1" x14ac:dyDescent="0.2"/>
    <row r="776" ht="12.75" hidden="1" x14ac:dyDescent="0.2"/>
    <row r="777" ht="12.75" hidden="1" x14ac:dyDescent="0.2"/>
    <row r="778" ht="12.75" hidden="1" x14ac:dyDescent="0.2"/>
    <row r="779" ht="12.75" hidden="1" x14ac:dyDescent="0.2"/>
    <row r="780" ht="12.75" hidden="1" x14ac:dyDescent="0.2"/>
    <row r="781" ht="12.75" hidden="1" x14ac:dyDescent="0.2"/>
    <row r="782" ht="12.75" hidden="1" x14ac:dyDescent="0.2"/>
    <row r="783" ht="12.75" hidden="1" x14ac:dyDescent="0.2"/>
    <row r="784" ht="12.75" hidden="1" x14ac:dyDescent="0.2"/>
    <row r="785" ht="12.75" hidden="1" x14ac:dyDescent="0.2"/>
    <row r="786" ht="12.75" hidden="1" x14ac:dyDescent="0.2"/>
    <row r="787" ht="12.75" hidden="1" x14ac:dyDescent="0.2"/>
    <row r="788" ht="12.75" hidden="1" x14ac:dyDescent="0.2"/>
    <row r="789" ht="12.75" hidden="1" x14ac:dyDescent="0.2"/>
    <row r="790" ht="12.75" hidden="1" x14ac:dyDescent="0.2"/>
    <row r="791" ht="12.75" hidden="1" x14ac:dyDescent="0.2"/>
    <row r="792" ht="12.75" hidden="1" x14ac:dyDescent="0.2"/>
    <row r="793" ht="12.75" hidden="1" x14ac:dyDescent="0.2"/>
    <row r="794" ht="12.75" hidden="1" x14ac:dyDescent="0.2"/>
    <row r="795" ht="12.75" hidden="1" x14ac:dyDescent="0.2"/>
    <row r="796" ht="12.75" hidden="1" x14ac:dyDescent="0.2"/>
    <row r="797" ht="12.75" hidden="1" x14ac:dyDescent="0.2"/>
    <row r="798" ht="12.75" hidden="1" x14ac:dyDescent="0.2"/>
    <row r="799" ht="12.75" hidden="1" x14ac:dyDescent="0.2"/>
    <row r="800" ht="12.75" hidden="1" x14ac:dyDescent="0.2"/>
    <row r="801" ht="12.75" hidden="1" x14ac:dyDescent="0.2"/>
    <row r="802" ht="12.75" hidden="1" x14ac:dyDescent="0.2"/>
    <row r="803" ht="12.75" hidden="1" x14ac:dyDescent="0.2"/>
    <row r="804" ht="12.75" hidden="1" x14ac:dyDescent="0.2"/>
    <row r="805" ht="12.75" hidden="1" x14ac:dyDescent="0.2"/>
    <row r="806" ht="12.75" hidden="1" x14ac:dyDescent="0.2"/>
    <row r="807" ht="12.75" hidden="1" x14ac:dyDescent="0.2"/>
    <row r="808" ht="12.75" hidden="1" x14ac:dyDescent="0.2"/>
    <row r="809" ht="12.75" hidden="1" x14ac:dyDescent="0.2"/>
    <row r="810" ht="12.75" hidden="1" x14ac:dyDescent="0.2"/>
    <row r="811" ht="12.75" hidden="1" x14ac:dyDescent="0.2"/>
    <row r="812" ht="12.75" hidden="1" x14ac:dyDescent="0.2"/>
    <row r="813" ht="12.75" hidden="1" x14ac:dyDescent="0.2"/>
    <row r="814" ht="12.75" hidden="1" x14ac:dyDescent="0.2"/>
    <row r="815" ht="12.75" hidden="1" x14ac:dyDescent="0.2"/>
    <row r="816" ht="12.75" hidden="1" x14ac:dyDescent="0.2"/>
    <row r="817" ht="12.75" hidden="1" x14ac:dyDescent="0.2"/>
    <row r="818" ht="12.75" hidden="1" x14ac:dyDescent="0.2"/>
    <row r="819" ht="12.75" hidden="1" x14ac:dyDescent="0.2"/>
    <row r="820" ht="12.75" hidden="1" x14ac:dyDescent="0.2"/>
    <row r="821" ht="12.75" hidden="1" x14ac:dyDescent="0.2"/>
    <row r="822" ht="12.75" hidden="1" x14ac:dyDescent="0.2"/>
    <row r="823" ht="12.75" hidden="1" x14ac:dyDescent="0.2"/>
    <row r="824" ht="12.75" hidden="1" x14ac:dyDescent="0.2"/>
    <row r="825" ht="12.75" hidden="1" x14ac:dyDescent="0.2"/>
    <row r="826" ht="12.75" hidden="1" x14ac:dyDescent="0.2"/>
    <row r="827" ht="12.75" hidden="1" x14ac:dyDescent="0.2"/>
    <row r="828" ht="12.75" hidden="1" x14ac:dyDescent="0.2"/>
    <row r="829" ht="12.75" hidden="1" x14ac:dyDescent="0.2"/>
    <row r="830" ht="12.75" hidden="1" x14ac:dyDescent="0.2"/>
    <row r="831" ht="12.75" hidden="1" x14ac:dyDescent="0.2"/>
    <row r="832" ht="12.75" hidden="1" x14ac:dyDescent="0.2"/>
    <row r="833" ht="12.75" hidden="1" x14ac:dyDescent="0.2"/>
    <row r="834" ht="12.75" hidden="1" x14ac:dyDescent="0.2"/>
    <row r="835" ht="12.75" hidden="1" x14ac:dyDescent="0.2"/>
    <row r="836" ht="12.75" hidden="1" x14ac:dyDescent="0.2"/>
    <row r="837" ht="12.75" hidden="1" x14ac:dyDescent="0.2"/>
    <row r="838" ht="12.75" hidden="1" x14ac:dyDescent="0.2"/>
    <row r="839" ht="12.75" hidden="1" x14ac:dyDescent="0.2"/>
    <row r="840" ht="12.75" hidden="1" x14ac:dyDescent="0.2"/>
    <row r="841" ht="12.75" hidden="1" x14ac:dyDescent="0.2"/>
    <row r="842" ht="12.75" hidden="1" x14ac:dyDescent="0.2"/>
    <row r="843" ht="12.75" hidden="1" x14ac:dyDescent="0.2"/>
    <row r="844" ht="12.75" hidden="1" x14ac:dyDescent="0.2"/>
    <row r="845" ht="12.75" hidden="1" x14ac:dyDescent="0.2"/>
    <row r="846" ht="12.75" hidden="1" x14ac:dyDescent="0.2"/>
    <row r="847" ht="12.75" hidden="1" x14ac:dyDescent="0.2"/>
    <row r="848" ht="12.75" hidden="1" x14ac:dyDescent="0.2"/>
    <row r="849" ht="12.75" hidden="1" x14ac:dyDescent="0.2"/>
    <row r="850" ht="12.75" hidden="1" x14ac:dyDescent="0.2"/>
    <row r="851" ht="12.75" hidden="1" x14ac:dyDescent="0.2"/>
    <row r="852" ht="12.75" hidden="1" x14ac:dyDescent="0.2"/>
    <row r="853" ht="12.75" hidden="1" x14ac:dyDescent="0.2"/>
    <row r="854" ht="12.75" hidden="1" x14ac:dyDescent="0.2"/>
    <row r="855" ht="12.75" hidden="1" x14ac:dyDescent="0.2"/>
    <row r="856" ht="12.75" hidden="1" x14ac:dyDescent="0.2"/>
    <row r="857" ht="12.75" hidden="1" x14ac:dyDescent="0.2"/>
    <row r="858" ht="12.75" hidden="1" x14ac:dyDescent="0.2"/>
    <row r="859" ht="12.75" hidden="1" x14ac:dyDescent="0.2"/>
    <row r="860" ht="12.75" hidden="1" x14ac:dyDescent="0.2"/>
    <row r="861" ht="12.75" hidden="1" x14ac:dyDescent="0.2"/>
    <row r="862" ht="12.75" hidden="1" x14ac:dyDescent="0.2"/>
    <row r="863" ht="12.75" hidden="1" x14ac:dyDescent="0.2"/>
    <row r="864" ht="12.75" hidden="1" x14ac:dyDescent="0.2"/>
    <row r="865" ht="12.75" hidden="1" x14ac:dyDescent="0.2"/>
    <row r="866" ht="12.75" hidden="1" x14ac:dyDescent="0.2"/>
    <row r="867" ht="12.75" hidden="1" x14ac:dyDescent="0.2"/>
    <row r="868" ht="12.75" hidden="1" x14ac:dyDescent="0.2"/>
    <row r="869" ht="12.75" hidden="1" x14ac:dyDescent="0.2"/>
    <row r="870" ht="12.75" hidden="1" x14ac:dyDescent="0.2"/>
    <row r="871" ht="12.75" hidden="1" x14ac:dyDescent="0.2"/>
    <row r="872" ht="12.75" hidden="1" x14ac:dyDescent="0.2"/>
    <row r="873" ht="12.75" hidden="1" x14ac:dyDescent="0.2"/>
    <row r="874" ht="12.75" hidden="1" x14ac:dyDescent="0.2"/>
    <row r="875" ht="12.75" hidden="1" x14ac:dyDescent="0.2"/>
    <row r="876" ht="12.75" hidden="1" x14ac:dyDescent="0.2"/>
    <row r="877" ht="12.75" hidden="1" x14ac:dyDescent="0.2"/>
    <row r="878" ht="12.75" hidden="1" x14ac:dyDescent="0.2"/>
    <row r="879" ht="12.75" hidden="1" x14ac:dyDescent="0.2"/>
    <row r="880" ht="12.75" hidden="1" x14ac:dyDescent="0.2"/>
    <row r="881" ht="12.75" hidden="1" x14ac:dyDescent="0.2"/>
    <row r="882" ht="12.75" hidden="1" x14ac:dyDescent="0.2"/>
    <row r="883" ht="12.75" hidden="1" x14ac:dyDescent="0.2"/>
    <row r="884" ht="12.75" hidden="1" x14ac:dyDescent="0.2"/>
    <row r="885" ht="12.75" hidden="1" x14ac:dyDescent="0.2"/>
    <row r="886" ht="12.75" hidden="1" x14ac:dyDescent="0.2"/>
    <row r="887" ht="12.75" hidden="1" x14ac:dyDescent="0.2"/>
    <row r="888" ht="12.75" hidden="1" x14ac:dyDescent="0.2"/>
    <row r="889" ht="12.75" hidden="1" x14ac:dyDescent="0.2"/>
    <row r="890" ht="12.75" hidden="1" x14ac:dyDescent="0.2"/>
    <row r="891" ht="12.75" hidden="1" x14ac:dyDescent="0.2"/>
    <row r="892" ht="12.75" hidden="1" x14ac:dyDescent="0.2"/>
    <row r="893" ht="12.75" hidden="1" x14ac:dyDescent="0.2"/>
    <row r="894" ht="12.75" hidden="1" x14ac:dyDescent="0.2"/>
    <row r="895" ht="12.75" hidden="1" x14ac:dyDescent="0.2"/>
    <row r="896" ht="12.75" hidden="1" x14ac:dyDescent="0.2"/>
    <row r="897" ht="12.75" hidden="1" x14ac:dyDescent="0.2"/>
    <row r="898" ht="12.75" hidden="1" x14ac:dyDescent="0.2"/>
    <row r="899" ht="12.75" hidden="1" x14ac:dyDescent="0.2"/>
    <row r="900" ht="12.75" hidden="1" x14ac:dyDescent="0.2"/>
    <row r="901" ht="12.75" hidden="1" x14ac:dyDescent="0.2"/>
    <row r="902" ht="12.75" hidden="1" x14ac:dyDescent="0.2"/>
    <row r="903" ht="12.75" hidden="1" x14ac:dyDescent="0.2"/>
    <row r="904" ht="12.75" hidden="1" x14ac:dyDescent="0.2"/>
    <row r="905" ht="12.75" hidden="1" x14ac:dyDescent="0.2"/>
    <row r="906" ht="12.75" hidden="1" x14ac:dyDescent="0.2"/>
    <row r="907" ht="12.75" hidden="1" x14ac:dyDescent="0.2"/>
    <row r="908" ht="12.75" hidden="1" x14ac:dyDescent="0.2"/>
    <row r="909" ht="12.75" hidden="1" x14ac:dyDescent="0.2"/>
    <row r="910" ht="12.75" hidden="1" x14ac:dyDescent="0.2"/>
    <row r="911" ht="12.75" hidden="1" x14ac:dyDescent="0.2"/>
    <row r="912" ht="12.75" hidden="1" x14ac:dyDescent="0.2"/>
    <row r="913" ht="12.75" hidden="1" x14ac:dyDescent="0.2"/>
    <row r="914" ht="12.75" hidden="1" x14ac:dyDescent="0.2"/>
    <row r="915" ht="12.75" hidden="1" x14ac:dyDescent="0.2"/>
    <row r="916" ht="12.75" hidden="1" x14ac:dyDescent="0.2"/>
    <row r="917" ht="12.75" hidden="1" x14ac:dyDescent="0.2"/>
    <row r="918" ht="12.75" hidden="1" x14ac:dyDescent="0.2"/>
    <row r="919" ht="12.75" hidden="1" x14ac:dyDescent="0.2"/>
    <row r="920" ht="12.75" hidden="1" x14ac:dyDescent="0.2"/>
    <row r="921" ht="12.75" hidden="1" x14ac:dyDescent="0.2"/>
    <row r="922" ht="12.75" hidden="1" x14ac:dyDescent="0.2"/>
    <row r="923" ht="12.75" hidden="1" x14ac:dyDescent="0.2"/>
    <row r="924" ht="12.75" hidden="1" x14ac:dyDescent="0.2"/>
    <row r="925" ht="12.75" hidden="1" x14ac:dyDescent="0.2"/>
    <row r="926" ht="12.75" hidden="1" x14ac:dyDescent="0.2"/>
    <row r="927" ht="12.75" hidden="1" x14ac:dyDescent="0.2"/>
    <row r="928" ht="12.75" hidden="1" x14ac:dyDescent="0.2"/>
    <row r="929" ht="12.75" hidden="1" x14ac:dyDescent="0.2"/>
    <row r="930" ht="12.75" hidden="1" x14ac:dyDescent="0.2"/>
    <row r="931" ht="12.75" hidden="1" x14ac:dyDescent="0.2"/>
    <row r="932" ht="12.75" hidden="1" x14ac:dyDescent="0.2"/>
    <row r="933" ht="12.75" hidden="1" x14ac:dyDescent="0.2"/>
    <row r="934" ht="12.75" hidden="1" x14ac:dyDescent="0.2"/>
    <row r="935" ht="12.75" hidden="1" x14ac:dyDescent="0.2"/>
    <row r="936" ht="12.75" hidden="1" x14ac:dyDescent="0.2"/>
    <row r="937" ht="12.75" hidden="1" x14ac:dyDescent="0.2"/>
    <row r="938" ht="12.75" hidden="1" x14ac:dyDescent="0.2"/>
    <row r="939" ht="12.75" hidden="1" x14ac:dyDescent="0.2"/>
    <row r="940" ht="12.75" hidden="1" x14ac:dyDescent="0.2"/>
    <row r="941" ht="12.75" hidden="1" x14ac:dyDescent="0.2"/>
    <row r="942" ht="12.75" hidden="1" x14ac:dyDescent="0.2"/>
    <row r="943" ht="12.75" hidden="1" x14ac:dyDescent="0.2"/>
    <row r="944" ht="12.75" hidden="1" x14ac:dyDescent="0.2"/>
    <row r="945" ht="12.75" hidden="1" x14ac:dyDescent="0.2"/>
    <row r="946" ht="12.75" hidden="1" x14ac:dyDescent="0.2"/>
    <row r="947" ht="12.75" hidden="1" x14ac:dyDescent="0.2"/>
    <row r="948" ht="12.75" hidden="1" x14ac:dyDescent="0.2"/>
    <row r="949" ht="12.75" hidden="1" x14ac:dyDescent="0.2"/>
    <row r="950" ht="12.75" hidden="1" x14ac:dyDescent="0.2"/>
    <row r="951" ht="12.75" hidden="1" x14ac:dyDescent="0.2"/>
    <row r="952" ht="12.75" hidden="1" x14ac:dyDescent="0.2"/>
    <row r="953" ht="12.75" hidden="1" x14ac:dyDescent="0.2"/>
    <row r="954" ht="12.75" hidden="1" x14ac:dyDescent="0.2"/>
    <row r="955" ht="12.75" hidden="1" x14ac:dyDescent="0.2"/>
    <row r="956" ht="12.75" hidden="1" x14ac:dyDescent="0.2"/>
    <row r="957" ht="12.75" hidden="1" x14ac:dyDescent="0.2"/>
    <row r="958" ht="12.75" hidden="1" x14ac:dyDescent="0.2"/>
    <row r="959" ht="12.75" hidden="1" x14ac:dyDescent="0.2"/>
    <row r="960" ht="12.75" hidden="1" x14ac:dyDescent="0.2"/>
    <row r="961" ht="12.75" hidden="1" x14ac:dyDescent="0.2"/>
    <row r="962" ht="12.75" hidden="1" x14ac:dyDescent="0.2"/>
    <row r="963" ht="12.75" hidden="1" x14ac:dyDescent="0.2"/>
    <row r="964" ht="12.75" hidden="1" x14ac:dyDescent="0.2"/>
    <row r="965" ht="12.75" hidden="1" x14ac:dyDescent="0.2"/>
    <row r="966" ht="12.75" hidden="1" x14ac:dyDescent="0.2"/>
    <row r="967" ht="12.75" hidden="1" x14ac:dyDescent="0.2"/>
    <row r="968" ht="12.75" hidden="1" x14ac:dyDescent="0.2"/>
    <row r="969" ht="12.75" hidden="1" x14ac:dyDescent="0.2"/>
    <row r="970" ht="12.75" hidden="1" x14ac:dyDescent="0.2"/>
    <row r="971" ht="12.75" hidden="1" x14ac:dyDescent="0.2"/>
    <row r="972" ht="12.75" hidden="1" x14ac:dyDescent="0.2"/>
    <row r="973" ht="12.75" hidden="1" x14ac:dyDescent="0.2"/>
    <row r="974" ht="12.75" hidden="1" x14ac:dyDescent="0.2"/>
    <row r="975" ht="12.75" hidden="1" x14ac:dyDescent="0.2"/>
    <row r="976" ht="12.75" hidden="1" x14ac:dyDescent="0.2"/>
    <row r="977" ht="12.75" hidden="1" x14ac:dyDescent="0.2"/>
    <row r="978" ht="12.75" hidden="1" x14ac:dyDescent="0.2"/>
    <row r="979" ht="12.75" hidden="1" x14ac:dyDescent="0.2"/>
    <row r="980" ht="12.75" hidden="1" x14ac:dyDescent="0.2"/>
    <row r="981" ht="12.75" hidden="1" x14ac:dyDescent="0.2"/>
    <row r="982" ht="12.75" hidden="1" x14ac:dyDescent="0.2"/>
    <row r="983" ht="12.75" hidden="1" x14ac:dyDescent="0.2"/>
    <row r="984" ht="12.75" hidden="1" x14ac:dyDescent="0.2"/>
    <row r="985" ht="12.75" hidden="1" x14ac:dyDescent="0.2"/>
    <row r="986" ht="12.75" hidden="1" x14ac:dyDescent="0.2"/>
    <row r="987" ht="12.75" hidden="1" x14ac:dyDescent="0.2"/>
    <row r="988" ht="12.75" hidden="1" x14ac:dyDescent="0.2"/>
    <row r="989" ht="12.75" hidden="1" x14ac:dyDescent="0.2"/>
    <row r="990" ht="12.75" hidden="1" x14ac:dyDescent="0.2"/>
    <row r="991" ht="12.75" hidden="1" x14ac:dyDescent="0.2"/>
    <row r="992" ht="12.75" hidden="1" x14ac:dyDescent="0.2"/>
    <row r="993" ht="12.75" hidden="1" x14ac:dyDescent="0.2"/>
    <row r="994" ht="12.75" hidden="1" x14ac:dyDescent="0.2"/>
    <row r="995" ht="12.75" hidden="1" x14ac:dyDescent="0.2"/>
    <row r="996" ht="12.75" hidden="1" x14ac:dyDescent="0.2"/>
    <row r="997" ht="12.75" hidden="1" x14ac:dyDescent="0.2"/>
    <row r="998" ht="12.75" hidden="1" x14ac:dyDescent="0.2"/>
    <row r="999" ht="12.75" hidden="1" x14ac:dyDescent="0.2"/>
    <row r="1000" ht="12.75" hidden="1" x14ac:dyDescent="0.2"/>
    <row r="1001" ht="12.75" hidden="1" x14ac:dyDescent="0.2"/>
    <row r="1002" ht="12.75" hidden="1" x14ac:dyDescent="0.2"/>
    <row r="1003" ht="12.75" hidden="1" x14ac:dyDescent="0.2"/>
    <row r="1004" ht="12.75" hidden="1" x14ac:dyDescent="0.2"/>
    <row r="1005" ht="12.75" hidden="1" x14ac:dyDescent="0.2"/>
    <row r="1006" ht="12.75" hidden="1" x14ac:dyDescent="0.2"/>
    <row r="1007" ht="12.75" hidden="1" x14ac:dyDescent="0.2"/>
    <row r="1008" ht="12.75" hidden="1" x14ac:dyDescent="0.2"/>
    <row r="1009" ht="12.75" hidden="1" x14ac:dyDescent="0.2"/>
    <row r="1010" ht="12.75" hidden="1" x14ac:dyDescent="0.2"/>
    <row r="1011" ht="12.75" hidden="1" x14ac:dyDescent="0.2"/>
    <row r="1012" ht="12.75" hidden="1" x14ac:dyDescent="0.2"/>
    <row r="1013" ht="12.75" hidden="1" x14ac:dyDescent="0.2"/>
    <row r="1014" ht="12.75" hidden="1" x14ac:dyDescent="0.2"/>
    <row r="1015" ht="12.75" hidden="1" x14ac:dyDescent="0.2"/>
    <row r="1016" ht="12.75" hidden="1" x14ac:dyDescent="0.2"/>
    <row r="1017" ht="12.75" hidden="1" x14ac:dyDescent="0.2"/>
    <row r="1018" ht="12.75" hidden="1" x14ac:dyDescent="0.2"/>
    <row r="1019" ht="12.75" hidden="1" x14ac:dyDescent="0.2"/>
    <row r="1020" ht="12.75" hidden="1" x14ac:dyDescent="0.2"/>
    <row r="1021" ht="12.75" hidden="1" x14ac:dyDescent="0.2"/>
    <row r="1022" ht="12.75" hidden="1" x14ac:dyDescent="0.2"/>
    <row r="1023" ht="12.75" hidden="1" x14ac:dyDescent="0.2"/>
    <row r="1024" ht="12.75" hidden="1" x14ac:dyDescent="0.2"/>
    <row r="1025" ht="12.75" hidden="1" x14ac:dyDescent="0.2"/>
    <row r="1026" ht="12.75" hidden="1" x14ac:dyDescent="0.2"/>
    <row r="1027" ht="12.75" hidden="1" x14ac:dyDescent="0.2"/>
    <row r="1028" ht="12.75" hidden="1" x14ac:dyDescent="0.2"/>
    <row r="1029" ht="12.75" hidden="1" x14ac:dyDescent="0.2"/>
    <row r="1030" ht="12.75" hidden="1" x14ac:dyDescent="0.2"/>
    <row r="1031" ht="12.75" hidden="1" x14ac:dyDescent="0.2"/>
    <row r="1032" ht="12.75" hidden="1" x14ac:dyDescent="0.2"/>
    <row r="1033" ht="12.75" hidden="1" x14ac:dyDescent="0.2"/>
    <row r="1034" ht="12.75" hidden="1" x14ac:dyDescent="0.2"/>
    <row r="1035" ht="12.75" hidden="1" x14ac:dyDescent="0.2"/>
    <row r="1036" ht="12.75" hidden="1" x14ac:dyDescent="0.2"/>
    <row r="1037" ht="12.75" hidden="1" x14ac:dyDescent="0.2"/>
    <row r="1038" ht="12.75" hidden="1" x14ac:dyDescent="0.2"/>
    <row r="1039" ht="12.75" hidden="1" x14ac:dyDescent="0.2"/>
    <row r="1040" ht="12.75" hidden="1" x14ac:dyDescent="0.2"/>
    <row r="1041" ht="12.75" hidden="1" x14ac:dyDescent="0.2"/>
    <row r="1042" ht="12.75" hidden="1" x14ac:dyDescent="0.2"/>
    <row r="1043" ht="12.75" hidden="1" x14ac:dyDescent="0.2"/>
    <row r="1044" ht="12.75" hidden="1" x14ac:dyDescent="0.2"/>
    <row r="1045" ht="12.75" hidden="1" x14ac:dyDescent="0.2"/>
    <row r="1046" ht="12.75" hidden="1" x14ac:dyDescent="0.2"/>
    <row r="1047" ht="12.75" hidden="1" x14ac:dyDescent="0.2"/>
    <row r="1048" ht="12.75" hidden="1" x14ac:dyDescent="0.2"/>
    <row r="1049" ht="12.75" hidden="1" x14ac:dyDescent="0.2"/>
    <row r="1050" ht="12.75" hidden="1" x14ac:dyDescent="0.2"/>
    <row r="1051" ht="12.75" hidden="1" x14ac:dyDescent="0.2"/>
    <row r="1052" ht="12.75" hidden="1" x14ac:dyDescent="0.2"/>
    <row r="1053" ht="12.75" hidden="1" x14ac:dyDescent="0.2"/>
    <row r="1054" ht="12.75" hidden="1" x14ac:dyDescent="0.2"/>
    <row r="1055" ht="12.75" hidden="1" x14ac:dyDescent="0.2"/>
    <row r="1056" ht="12.75" hidden="1" x14ac:dyDescent="0.2"/>
    <row r="1057" ht="12.75" hidden="1" x14ac:dyDescent="0.2"/>
    <row r="1058" ht="12.75" hidden="1" x14ac:dyDescent="0.2"/>
    <row r="1059" ht="12.75" hidden="1" x14ac:dyDescent="0.2"/>
    <row r="1060" ht="12.75" hidden="1" x14ac:dyDescent="0.2"/>
    <row r="1061" ht="12.75" hidden="1" x14ac:dyDescent="0.2"/>
    <row r="1062" ht="12.75" hidden="1" x14ac:dyDescent="0.2"/>
    <row r="1063" ht="12.75" hidden="1" x14ac:dyDescent="0.2"/>
    <row r="1064" ht="12.75" hidden="1" x14ac:dyDescent="0.2"/>
    <row r="1065" ht="12.75" hidden="1" x14ac:dyDescent="0.2"/>
    <row r="1066" ht="12.75" hidden="1" x14ac:dyDescent="0.2"/>
    <row r="1067" ht="12.75" hidden="1" x14ac:dyDescent="0.2"/>
    <row r="1068" ht="12.75" hidden="1" x14ac:dyDescent="0.2"/>
    <row r="1069" ht="12.75" hidden="1" x14ac:dyDescent="0.2"/>
    <row r="1070" ht="12.75" hidden="1" x14ac:dyDescent="0.2"/>
    <row r="1071" ht="12.75" hidden="1" x14ac:dyDescent="0.2"/>
    <row r="1072" ht="12.75" hidden="1" x14ac:dyDescent="0.2"/>
    <row r="1073" ht="12.75" hidden="1" x14ac:dyDescent="0.2"/>
    <row r="1074" ht="12.75" hidden="1" x14ac:dyDescent="0.2"/>
    <row r="1075" ht="12.75" hidden="1" x14ac:dyDescent="0.2"/>
    <row r="1076" ht="12.75" hidden="1" x14ac:dyDescent="0.2"/>
    <row r="1077" ht="12.75" hidden="1" x14ac:dyDescent="0.2"/>
    <row r="1078" ht="12.75" hidden="1" x14ac:dyDescent="0.2"/>
    <row r="1079" ht="12.75" hidden="1" x14ac:dyDescent="0.2"/>
    <row r="1080" ht="12.75" hidden="1" x14ac:dyDescent="0.2"/>
    <row r="1081" ht="12.75" hidden="1" x14ac:dyDescent="0.2"/>
    <row r="1082" ht="12.75" hidden="1" x14ac:dyDescent="0.2"/>
    <row r="1083" ht="12.75" hidden="1" x14ac:dyDescent="0.2"/>
    <row r="1084" ht="12.75" hidden="1" x14ac:dyDescent="0.2"/>
    <row r="1085" ht="12.75" hidden="1" x14ac:dyDescent="0.2"/>
    <row r="1086" ht="12.75" hidden="1" x14ac:dyDescent="0.2"/>
    <row r="1087" ht="12.75" hidden="1" x14ac:dyDescent="0.2"/>
    <row r="1088" ht="12.75" hidden="1" x14ac:dyDescent="0.2"/>
    <row r="1089" ht="12.75" hidden="1" x14ac:dyDescent="0.2"/>
    <row r="1090" ht="12.75" hidden="1" x14ac:dyDescent="0.2"/>
    <row r="1091" ht="12.75" hidden="1" x14ac:dyDescent="0.2"/>
    <row r="1092" ht="12.75" hidden="1" x14ac:dyDescent="0.2"/>
    <row r="1093" ht="12.75" hidden="1" x14ac:dyDescent="0.2"/>
    <row r="1094" ht="12.75" hidden="1" x14ac:dyDescent="0.2"/>
    <row r="1095" ht="12.75" hidden="1" x14ac:dyDescent="0.2"/>
    <row r="1096" ht="12.75" hidden="1" x14ac:dyDescent="0.2"/>
    <row r="1097" ht="12.75" hidden="1" x14ac:dyDescent="0.2"/>
    <row r="1098" ht="12.75" hidden="1" x14ac:dyDescent="0.2"/>
    <row r="1099" ht="12.75" hidden="1" x14ac:dyDescent="0.2"/>
    <row r="1100" ht="12.75" hidden="1" x14ac:dyDescent="0.2"/>
    <row r="1101" ht="12.75" hidden="1" x14ac:dyDescent="0.2"/>
    <row r="1102" ht="12.75" hidden="1" x14ac:dyDescent="0.2"/>
    <row r="1103" ht="12.75" hidden="1" x14ac:dyDescent="0.2"/>
    <row r="1104" ht="12.75" hidden="1" x14ac:dyDescent="0.2"/>
    <row r="1105" ht="12.75" hidden="1" x14ac:dyDescent="0.2"/>
    <row r="1106" ht="12.75" hidden="1" x14ac:dyDescent="0.2"/>
    <row r="1107" ht="12.75" hidden="1" x14ac:dyDescent="0.2"/>
    <row r="1108" ht="12.75" hidden="1" x14ac:dyDescent="0.2"/>
    <row r="1109" ht="12.75" hidden="1" x14ac:dyDescent="0.2"/>
    <row r="1110" ht="12.75" hidden="1" x14ac:dyDescent="0.2"/>
    <row r="1111" ht="12.75" hidden="1" x14ac:dyDescent="0.2"/>
    <row r="1112" ht="12.75" hidden="1" x14ac:dyDescent="0.2"/>
    <row r="1113" ht="12.75" hidden="1" x14ac:dyDescent="0.2"/>
    <row r="1114" ht="12.75" hidden="1" x14ac:dyDescent="0.2"/>
    <row r="1115" ht="12.75" hidden="1" x14ac:dyDescent="0.2"/>
    <row r="1116" ht="12.75" hidden="1" x14ac:dyDescent="0.2"/>
    <row r="1117" ht="12.75" hidden="1" x14ac:dyDescent="0.2"/>
    <row r="1118" ht="12.75" hidden="1" x14ac:dyDescent="0.2"/>
    <row r="1119" ht="12.75" hidden="1" x14ac:dyDescent="0.2"/>
    <row r="1120" ht="12.75" hidden="1" x14ac:dyDescent="0.2"/>
    <row r="1121" ht="12.75" hidden="1" x14ac:dyDescent="0.2"/>
    <row r="1122" ht="12.75" hidden="1" x14ac:dyDescent="0.2"/>
    <row r="1123" ht="12.75" hidden="1" x14ac:dyDescent="0.2"/>
    <row r="1124" ht="12.75" hidden="1" x14ac:dyDescent="0.2"/>
    <row r="1125" ht="12.75" hidden="1" x14ac:dyDescent="0.2"/>
    <row r="1126" ht="12.75" hidden="1" x14ac:dyDescent="0.2"/>
    <row r="1127" ht="12.75" hidden="1" x14ac:dyDescent="0.2"/>
    <row r="1128" ht="12.75" hidden="1" x14ac:dyDescent="0.2"/>
    <row r="1129" ht="12.75" hidden="1" x14ac:dyDescent="0.2"/>
    <row r="1130" ht="12.75" hidden="1" x14ac:dyDescent="0.2"/>
    <row r="1131" ht="12.75" hidden="1" x14ac:dyDescent="0.2"/>
    <row r="1132" ht="12.75" hidden="1" x14ac:dyDescent="0.2"/>
    <row r="1133" ht="12.75" hidden="1" x14ac:dyDescent="0.2"/>
    <row r="1134" ht="12.75" hidden="1" x14ac:dyDescent="0.2"/>
    <row r="1135" ht="12.75" hidden="1" x14ac:dyDescent="0.2"/>
    <row r="1136" ht="12.75" hidden="1" x14ac:dyDescent="0.2"/>
    <row r="1137" ht="12.75" hidden="1" x14ac:dyDescent="0.2"/>
    <row r="1138" ht="12.75" hidden="1" x14ac:dyDescent="0.2"/>
    <row r="1139" ht="12.75" hidden="1" x14ac:dyDescent="0.2"/>
    <row r="1140" ht="12.75" hidden="1" x14ac:dyDescent="0.2"/>
    <row r="1141" ht="12.75" hidden="1" x14ac:dyDescent="0.2"/>
    <row r="1142" ht="12.75" hidden="1" x14ac:dyDescent="0.2"/>
    <row r="1143" ht="12.75" hidden="1" x14ac:dyDescent="0.2"/>
    <row r="1144" ht="12.75" hidden="1" x14ac:dyDescent="0.2"/>
    <row r="1145" ht="12.75" hidden="1" x14ac:dyDescent="0.2"/>
    <row r="1146" ht="12.75" hidden="1" x14ac:dyDescent="0.2"/>
    <row r="1147" ht="12.75" hidden="1" x14ac:dyDescent="0.2"/>
    <row r="1148" ht="12.75" hidden="1" x14ac:dyDescent="0.2"/>
    <row r="1149" ht="12.75" hidden="1" x14ac:dyDescent="0.2"/>
    <row r="1150" ht="12.75" hidden="1" x14ac:dyDescent="0.2"/>
    <row r="1151" ht="12.75" hidden="1" x14ac:dyDescent="0.2"/>
    <row r="1152" ht="12.75" hidden="1" x14ac:dyDescent="0.2"/>
    <row r="1153" ht="12.75" hidden="1" x14ac:dyDescent="0.2"/>
    <row r="1154" ht="12.75" hidden="1" x14ac:dyDescent="0.2"/>
    <row r="1155" ht="12.75" hidden="1" x14ac:dyDescent="0.2"/>
    <row r="1156" ht="12.75" hidden="1" x14ac:dyDescent="0.2"/>
    <row r="1157" ht="12.75" hidden="1" x14ac:dyDescent="0.2"/>
    <row r="1158" ht="12.75" hidden="1" x14ac:dyDescent="0.2"/>
    <row r="1159" ht="12.75" hidden="1" x14ac:dyDescent="0.2"/>
    <row r="1160" ht="12.75" hidden="1" x14ac:dyDescent="0.2"/>
    <row r="1161" ht="12.75" hidden="1" x14ac:dyDescent="0.2"/>
    <row r="1162" ht="12.75" hidden="1" x14ac:dyDescent="0.2"/>
    <row r="1163" ht="12.75" hidden="1" x14ac:dyDescent="0.2"/>
    <row r="1164" ht="12.75" hidden="1" x14ac:dyDescent="0.2"/>
    <row r="1165" ht="12.75" hidden="1" x14ac:dyDescent="0.2"/>
    <row r="1166" ht="12.75" hidden="1" x14ac:dyDescent="0.2"/>
    <row r="1167" ht="12.75" hidden="1" x14ac:dyDescent="0.2"/>
    <row r="1168" ht="12.75" hidden="1" x14ac:dyDescent="0.2"/>
    <row r="1169" ht="12.75" hidden="1" x14ac:dyDescent="0.2"/>
    <row r="1170" ht="12.75" hidden="1" x14ac:dyDescent="0.2"/>
    <row r="1171" ht="12.75" hidden="1" x14ac:dyDescent="0.2"/>
    <row r="1172" ht="12.75" hidden="1" x14ac:dyDescent="0.2"/>
    <row r="1173" ht="12.75" hidden="1" x14ac:dyDescent="0.2"/>
    <row r="1174" ht="12.75" hidden="1" x14ac:dyDescent="0.2"/>
    <row r="1175" ht="12.75" hidden="1" x14ac:dyDescent="0.2"/>
    <row r="1176" ht="12.75" hidden="1" x14ac:dyDescent="0.2"/>
    <row r="1177" ht="12.75" hidden="1" x14ac:dyDescent="0.2"/>
    <row r="1178" ht="12.75" hidden="1" x14ac:dyDescent="0.2"/>
    <row r="1179" ht="12.75" hidden="1" x14ac:dyDescent="0.2"/>
    <row r="1180" ht="12.75" hidden="1" x14ac:dyDescent="0.2"/>
    <row r="1181" ht="12.75" hidden="1" x14ac:dyDescent="0.2"/>
    <row r="1182" ht="12.75" hidden="1" x14ac:dyDescent="0.2"/>
    <row r="1183" ht="12.75" hidden="1" x14ac:dyDescent="0.2"/>
    <row r="1184" ht="12.75" hidden="1" x14ac:dyDescent="0.2"/>
    <row r="1185" ht="12.75" hidden="1" x14ac:dyDescent="0.2"/>
    <row r="1186" ht="12.75" hidden="1" x14ac:dyDescent="0.2"/>
    <row r="1187" ht="12.75" hidden="1" x14ac:dyDescent="0.2"/>
    <row r="1188" ht="12.75" hidden="1" x14ac:dyDescent="0.2"/>
    <row r="1189" ht="12.75" hidden="1" x14ac:dyDescent="0.2"/>
    <row r="1190" ht="12.75" hidden="1" x14ac:dyDescent="0.2"/>
    <row r="1191" ht="12.75" hidden="1" x14ac:dyDescent="0.2"/>
    <row r="1192" ht="12.75" hidden="1" x14ac:dyDescent="0.2"/>
    <row r="1193" ht="12.75" hidden="1" x14ac:dyDescent="0.2"/>
    <row r="1194" ht="12.75" hidden="1" x14ac:dyDescent="0.2"/>
    <row r="1195" ht="12.75" hidden="1" x14ac:dyDescent="0.2"/>
    <row r="1196" ht="12.75" hidden="1" x14ac:dyDescent="0.2"/>
    <row r="1197" ht="12.75" hidden="1" x14ac:dyDescent="0.2"/>
    <row r="1198" ht="12.75" hidden="1" x14ac:dyDescent="0.2"/>
    <row r="1199" ht="12.75" hidden="1" x14ac:dyDescent="0.2"/>
    <row r="1200" ht="12.75" hidden="1" x14ac:dyDescent="0.2"/>
    <row r="1201" ht="12.75" hidden="1" x14ac:dyDescent="0.2"/>
    <row r="1202" ht="12.75" hidden="1" x14ac:dyDescent="0.2"/>
    <row r="1203" ht="12.75" hidden="1" x14ac:dyDescent="0.2"/>
    <row r="1204" ht="12.75" hidden="1" x14ac:dyDescent="0.2"/>
    <row r="1205" ht="12.75" hidden="1" x14ac:dyDescent="0.2"/>
    <row r="1206" ht="12.75" hidden="1" x14ac:dyDescent="0.2"/>
    <row r="1207" ht="12.75" hidden="1" x14ac:dyDescent="0.2"/>
    <row r="1208" ht="12.75" hidden="1" x14ac:dyDescent="0.2"/>
    <row r="1209" ht="12.75" hidden="1" x14ac:dyDescent="0.2"/>
    <row r="1210" ht="12.75" hidden="1" x14ac:dyDescent="0.2"/>
    <row r="1211" ht="12.75" hidden="1" x14ac:dyDescent="0.2"/>
    <row r="1212" ht="12.75" hidden="1" x14ac:dyDescent="0.2"/>
    <row r="1213" ht="12.75" hidden="1" x14ac:dyDescent="0.2"/>
    <row r="1214" ht="12.75" hidden="1" x14ac:dyDescent="0.2"/>
    <row r="1215" ht="12.75" hidden="1" x14ac:dyDescent="0.2"/>
    <row r="1216" ht="12.75" hidden="1" x14ac:dyDescent="0.2"/>
    <row r="1217" ht="12.75" hidden="1" x14ac:dyDescent="0.2"/>
    <row r="1218" ht="12.75" hidden="1" x14ac:dyDescent="0.2"/>
    <row r="1219" ht="12.75" hidden="1" x14ac:dyDescent="0.2"/>
    <row r="1220" ht="12.75" hidden="1" x14ac:dyDescent="0.2"/>
    <row r="1221" ht="12.75" hidden="1" x14ac:dyDescent="0.2"/>
    <row r="1222" ht="12.75" hidden="1" x14ac:dyDescent="0.2"/>
    <row r="1223" ht="12.75" hidden="1" x14ac:dyDescent="0.2"/>
    <row r="1224" ht="12.75" hidden="1" x14ac:dyDescent="0.2"/>
    <row r="1225" ht="12.75" hidden="1" x14ac:dyDescent="0.2"/>
    <row r="1226" ht="12.75" hidden="1" x14ac:dyDescent="0.2"/>
    <row r="1227" ht="12.75" hidden="1" x14ac:dyDescent="0.2"/>
    <row r="1228" ht="12.75" hidden="1" x14ac:dyDescent="0.2"/>
    <row r="1229" ht="12.75" hidden="1" x14ac:dyDescent="0.2"/>
    <row r="1230" ht="12.75" hidden="1" x14ac:dyDescent="0.2"/>
    <row r="1231" ht="12.75" hidden="1" x14ac:dyDescent="0.2"/>
    <row r="1232" ht="12.75" hidden="1" x14ac:dyDescent="0.2"/>
    <row r="1233" ht="12.75" hidden="1" x14ac:dyDescent="0.2"/>
    <row r="1234" ht="12.75" hidden="1" x14ac:dyDescent="0.2"/>
    <row r="1235" ht="12.75" hidden="1" x14ac:dyDescent="0.2"/>
    <row r="1236" ht="12.75" hidden="1" x14ac:dyDescent="0.2"/>
    <row r="1237" ht="12.75" hidden="1" x14ac:dyDescent="0.2"/>
    <row r="1238" ht="12.75" hidden="1" x14ac:dyDescent="0.2"/>
    <row r="1239" ht="12.75" hidden="1" x14ac:dyDescent="0.2"/>
    <row r="1240" ht="12.75" hidden="1" x14ac:dyDescent="0.2"/>
    <row r="1241" ht="12.75" hidden="1" x14ac:dyDescent="0.2"/>
    <row r="1242" ht="12.75" hidden="1" x14ac:dyDescent="0.2"/>
    <row r="1243" ht="12.75" hidden="1" x14ac:dyDescent="0.2"/>
    <row r="1244" ht="12.75" hidden="1" x14ac:dyDescent="0.2"/>
    <row r="1245" ht="12.75" hidden="1" x14ac:dyDescent="0.2"/>
    <row r="1246" ht="12.75" hidden="1" x14ac:dyDescent="0.2"/>
    <row r="1247" ht="12.75" hidden="1" x14ac:dyDescent="0.2"/>
    <row r="1248" ht="12.75" hidden="1" x14ac:dyDescent="0.2"/>
    <row r="1249" ht="12.75" hidden="1" x14ac:dyDescent="0.2"/>
    <row r="1250" ht="12.75" hidden="1" x14ac:dyDescent="0.2"/>
    <row r="1251" ht="12.75" hidden="1" x14ac:dyDescent="0.2"/>
    <row r="1252" ht="12.75" hidden="1" x14ac:dyDescent="0.2"/>
    <row r="1253" ht="12.75" hidden="1" x14ac:dyDescent="0.2"/>
    <row r="1254" ht="12.75" hidden="1" x14ac:dyDescent="0.2"/>
    <row r="1255" ht="12.75" hidden="1" x14ac:dyDescent="0.2"/>
    <row r="1256" ht="12.75" hidden="1" x14ac:dyDescent="0.2"/>
    <row r="1257" ht="12.75" hidden="1" x14ac:dyDescent="0.2"/>
    <row r="1258" ht="12.75" hidden="1" x14ac:dyDescent="0.2"/>
    <row r="1259" ht="12.75" hidden="1" x14ac:dyDescent="0.2"/>
    <row r="1260" ht="12.75" hidden="1" x14ac:dyDescent="0.2"/>
    <row r="1261" ht="12.75" hidden="1" x14ac:dyDescent="0.2"/>
    <row r="1262" ht="12.75" hidden="1" x14ac:dyDescent="0.2"/>
    <row r="1263" ht="12.75" hidden="1" x14ac:dyDescent="0.2"/>
    <row r="1264" ht="12.75" hidden="1" x14ac:dyDescent="0.2"/>
    <row r="1265" ht="12.75" hidden="1" x14ac:dyDescent="0.2"/>
    <row r="1266" ht="12.75" hidden="1" x14ac:dyDescent="0.2"/>
    <row r="1267" ht="12.75" hidden="1" x14ac:dyDescent="0.2"/>
    <row r="1268" ht="12.75" hidden="1" x14ac:dyDescent="0.2"/>
    <row r="1269" ht="12.75" hidden="1" x14ac:dyDescent="0.2"/>
    <row r="1270" ht="12.75" hidden="1" x14ac:dyDescent="0.2"/>
    <row r="1271" ht="12.75" hidden="1" x14ac:dyDescent="0.2"/>
    <row r="1272" ht="12.75" hidden="1" x14ac:dyDescent="0.2"/>
    <row r="1273" ht="12.75" hidden="1" x14ac:dyDescent="0.2"/>
    <row r="1274" ht="12.75" hidden="1" x14ac:dyDescent="0.2"/>
    <row r="1275" ht="12.75" hidden="1" x14ac:dyDescent="0.2"/>
    <row r="1276" ht="12.75" hidden="1" x14ac:dyDescent="0.2"/>
    <row r="1277" ht="12.75" hidden="1" x14ac:dyDescent="0.2"/>
    <row r="1278" ht="12.75" hidden="1" x14ac:dyDescent="0.2"/>
    <row r="1279" ht="12.75" hidden="1" x14ac:dyDescent="0.2"/>
    <row r="1280" ht="12.75" hidden="1" x14ac:dyDescent="0.2"/>
    <row r="1281" ht="12.75" hidden="1" x14ac:dyDescent="0.2"/>
    <row r="1282" ht="12.75" hidden="1" x14ac:dyDescent="0.2"/>
    <row r="1283" ht="12.75" hidden="1" x14ac:dyDescent="0.2"/>
    <row r="1284" ht="12.75" hidden="1" x14ac:dyDescent="0.2"/>
    <row r="1285" ht="12.75" hidden="1" x14ac:dyDescent="0.2"/>
    <row r="1286" ht="12.75" hidden="1" x14ac:dyDescent="0.2"/>
    <row r="1287" ht="12.75" hidden="1" x14ac:dyDescent="0.2"/>
    <row r="1288" ht="12.75" hidden="1" x14ac:dyDescent="0.2"/>
    <row r="1289" ht="12.75" hidden="1" x14ac:dyDescent="0.2"/>
    <row r="1290" ht="12.75" hidden="1" x14ac:dyDescent="0.2"/>
    <row r="1291" ht="12.75" hidden="1" x14ac:dyDescent="0.2"/>
    <row r="1292" ht="12.75" hidden="1" x14ac:dyDescent="0.2"/>
    <row r="1293" ht="12.75" hidden="1" x14ac:dyDescent="0.2"/>
    <row r="1294" ht="12.75" hidden="1" x14ac:dyDescent="0.2"/>
    <row r="1295" ht="12.75" hidden="1" x14ac:dyDescent="0.2"/>
    <row r="1296" ht="12.75" hidden="1" x14ac:dyDescent="0.2"/>
    <row r="1297" ht="12.75" hidden="1" x14ac:dyDescent="0.2"/>
    <row r="1298" ht="12.75" hidden="1" x14ac:dyDescent="0.2"/>
    <row r="1299" ht="12.75" hidden="1" x14ac:dyDescent="0.2"/>
    <row r="1300" ht="12.75" hidden="1" x14ac:dyDescent="0.2"/>
    <row r="1301" ht="12.75" hidden="1" x14ac:dyDescent="0.2"/>
    <row r="1302" ht="12.75" hidden="1" x14ac:dyDescent="0.2"/>
    <row r="1303" ht="12.75" hidden="1" x14ac:dyDescent="0.2"/>
    <row r="1304" ht="12.75" hidden="1" x14ac:dyDescent="0.2"/>
    <row r="1305" ht="12.75" hidden="1" x14ac:dyDescent="0.2"/>
    <row r="1306" ht="12.75" hidden="1" x14ac:dyDescent="0.2"/>
    <row r="1307" ht="12.75" hidden="1" x14ac:dyDescent="0.2"/>
    <row r="1308" ht="12.75" hidden="1" x14ac:dyDescent="0.2"/>
    <row r="1309" ht="12.75" hidden="1" x14ac:dyDescent="0.2"/>
    <row r="1310" ht="12.75" hidden="1" x14ac:dyDescent="0.2"/>
    <row r="1311" ht="12.75" hidden="1" x14ac:dyDescent="0.2"/>
    <row r="1312" ht="12.75" hidden="1" x14ac:dyDescent="0.2"/>
    <row r="1313" ht="12.75" hidden="1" x14ac:dyDescent="0.2"/>
    <row r="1314" ht="12.75" hidden="1" x14ac:dyDescent="0.2"/>
    <row r="1315" ht="12.75" hidden="1" x14ac:dyDescent="0.2"/>
    <row r="1316" ht="12.75" hidden="1" x14ac:dyDescent="0.2"/>
    <row r="1317" ht="12.75" hidden="1" x14ac:dyDescent="0.2"/>
    <row r="1318" ht="12.75" hidden="1" x14ac:dyDescent="0.2"/>
    <row r="1319" ht="12.75" hidden="1" x14ac:dyDescent="0.2"/>
    <row r="1320" ht="12.75" hidden="1" x14ac:dyDescent="0.2"/>
    <row r="1321" ht="12.75" hidden="1" x14ac:dyDescent="0.2"/>
    <row r="1322" ht="12.75" hidden="1" x14ac:dyDescent="0.2"/>
    <row r="1323" ht="12.75" hidden="1" x14ac:dyDescent="0.2"/>
    <row r="1324" ht="12.75" hidden="1" x14ac:dyDescent="0.2"/>
    <row r="1325" ht="12.75" hidden="1" x14ac:dyDescent="0.2"/>
    <row r="1326" ht="12.75" hidden="1" x14ac:dyDescent="0.2"/>
    <row r="1327" ht="12.75" hidden="1" x14ac:dyDescent="0.2"/>
    <row r="1328" ht="12.75" hidden="1" x14ac:dyDescent="0.2"/>
    <row r="1329" ht="12.75" hidden="1" x14ac:dyDescent="0.2"/>
    <row r="1330" ht="12.75" hidden="1" x14ac:dyDescent="0.2"/>
    <row r="1331" ht="12.75" hidden="1" x14ac:dyDescent="0.2"/>
    <row r="1332" ht="12.75" hidden="1" x14ac:dyDescent="0.2"/>
    <row r="1333" ht="12.75" hidden="1" x14ac:dyDescent="0.2"/>
    <row r="1334" ht="12.75" hidden="1" x14ac:dyDescent="0.2"/>
    <row r="1335" ht="12.75" hidden="1" x14ac:dyDescent="0.2"/>
    <row r="1336" ht="12.75" hidden="1" x14ac:dyDescent="0.2"/>
    <row r="1337" ht="12.75" hidden="1" x14ac:dyDescent="0.2"/>
    <row r="1338" ht="12.75" hidden="1" x14ac:dyDescent="0.2"/>
    <row r="1339" ht="12.75" hidden="1" x14ac:dyDescent="0.2"/>
    <row r="1340" ht="12.75" hidden="1" x14ac:dyDescent="0.2"/>
    <row r="1341" ht="12.75" hidden="1" x14ac:dyDescent="0.2"/>
    <row r="1342" ht="12.75" hidden="1" x14ac:dyDescent="0.2"/>
    <row r="1343" ht="12.75" hidden="1" x14ac:dyDescent="0.2"/>
    <row r="1344" ht="12.75" hidden="1" x14ac:dyDescent="0.2"/>
    <row r="1345" ht="12.75" hidden="1" x14ac:dyDescent="0.2"/>
    <row r="1346" ht="12.75" hidden="1" x14ac:dyDescent="0.2"/>
    <row r="1347" ht="12.75" hidden="1" x14ac:dyDescent="0.2"/>
    <row r="1348" ht="12.75" hidden="1" x14ac:dyDescent="0.2"/>
    <row r="1349" ht="12.75" hidden="1" x14ac:dyDescent="0.2"/>
    <row r="1350" ht="12.75" hidden="1" x14ac:dyDescent="0.2"/>
    <row r="1351" ht="12.75" hidden="1" x14ac:dyDescent="0.2"/>
    <row r="1352" ht="12.75" hidden="1" x14ac:dyDescent="0.2"/>
    <row r="1353" ht="12.75" hidden="1" x14ac:dyDescent="0.2"/>
    <row r="1354" ht="12.75" hidden="1" x14ac:dyDescent="0.2"/>
    <row r="1355" ht="12.75" hidden="1" x14ac:dyDescent="0.2"/>
    <row r="1356" ht="12.75" hidden="1" x14ac:dyDescent="0.2"/>
    <row r="1357" ht="12.75" hidden="1" x14ac:dyDescent="0.2"/>
    <row r="1358" ht="12.75" hidden="1" x14ac:dyDescent="0.2"/>
    <row r="1359" ht="12.75" hidden="1" x14ac:dyDescent="0.2"/>
    <row r="1360" ht="12.75" hidden="1" x14ac:dyDescent="0.2"/>
    <row r="1361" ht="12.75" hidden="1" x14ac:dyDescent="0.2"/>
    <row r="1362" ht="12.75" hidden="1" x14ac:dyDescent="0.2"/>
    <row r="1363" ht="12.75" hidden="1" x14ac:dyDescent="0.2"/>
    <row r="1364" ht="12.75" hidden="1" x14ac:dyDescent="0.2"/>
    <row r="1365" ht="12.75" hidden="1" x14ac:dyDescent="0.2"/>
    <row r="1366" ht="12.75" hidden="1" x14ac:dyDescent="0.2"/>
    <row r="1367" ht="12.75" hidden="1" x14ac:dyDescent="0.2"/>
    <row r="1368" ht="12.75" hidden="1" x14ac:dyDescent="0.2"/>
    <row r="1369" ht="12.75" hidden="1" x14ac:dyDescent="0.2"/>
    <row r="1370" ht="12.75" hidden="1" x14ac:dyDescent="0.2"/>
    <row r="1371" ht="12.75" hidden="1" x14ac:dyDescent="0.2"/>
    <row r="1372" ht="12.75" hidden="1" x14ac:dyDescent="0.2"/>
    <row r="1373" ht="12.75" hidden="1" x14ac:dyDescent="0.2"/>
    <row r="1374" ht="12.75" hidden="1" x14ac:dyDescent="0.2"/>
    <row r="1375" ht="12.75" hidden="1" x14ac:dyDescent="0.2"/>
    <row r="1376" ht="12.75" hidden="1" x14ac:dyDescent="0.2"/>
    <row r="1377" ht="12.75" hidden="1" x14ac:dyDescent="0.2"/>
    <row r="1378" ht="12.75" hidden="1" x14ac:dyDescent="0.2"/>
    <row r="1379" ht="12.75" hidden="1" x14ac:dyDescent="0.2"/>
    <row r="1380" ht="12.75" hidden="1" x14ac:dyDescent="0.2"/>
    <row r="1381" ht="12.75" hidden="1" x14ac:dyDescent="0.2"/>
    <row r="1382" ht="12.75" hidden="1" x14ac:dyDescent="0.2"/>
    <row r="1383" ht="12.75" hidden="1" x14ac:dyDescent="0.2"/>
    <row r="1384" ht="12.75" hidden="1" x14ac:dyDescent="0.2"/>
    <row r="1385" ht="12.75" hidden="1" x14ac:dyDescent="0.2"/>
    <row r="1386" ht="12.75" hidden="1" x14ac:dyDescent="0.2"/>
    <row r="1387" ht="12.75" hidden="1" x14ac:dyDescent="0.2"/>
    <row r="1388" ht="12.75" hidden="1" x14ac:dyDescent="0.2"/>
    <row r="1389" ht="12.75" hidden="1" x14ac:dyDescent="0.2"/>
    <row r="1390" ht="12.75" hidden="1" x14ac:dyDescent="0.2"/>
    <row r="1391" ht="12.75" hidden="1" x14ac:dyDescent="0.2"/>
    <row r="1392" ht="12.75" hidden="1" x14ac:dyDescent="0.2"/>
    <row r="1393" ht="12.75" hidden="1" x14ac:dyDescent="0.2"/>
    <row r="1394" ht="12.75" hidden="1" x14ac:dyDescent="0.2"/>
    <row r="1395" ht="12.75" hidden="1" x14ac:dyDescent="0.2"/>
    <row r="1396" ht="12.75" hidden="1" x14ac:dyDescent="0.2"/>
    <row r="1397" ht="12.75" hidden="1" x14ac:dyDescent="0.2"/>
    <row r="1398" ht="12.75" hidden="1" x14ac:dyDescent="0.2"/>
    <row r="1399" ht="12.75" hidden="1" x14ac:dyDescent="0.2"/>
    <row r="1400" ht="12.75" hidden="1" x14ac:dyDescent="0.2"/>
    <row r="1401" ht="12.75" hidden="1" x14ac:dyDescent="0.2"/>
    <row r="1402" ht="12.75" hidden="1" x14ac:dyDescent="0.2"/>
    <row r="1403" ht="12.75" hidden="1" x14ac:dyDescent="0.2"/>
    <row r="1404" ht="12.75" hidden="1" x14ac:dyDescent="0.2"/>
    <row r="1405" ht="12.75" hidden="1" x14ac:dyDescent="0.2"/>
    <row r="1406" ht="12.75" hidden="1" x14ac:dyDescent="0.2"/>
    <row r="1407" ht="12.75" hidden="1" x14ac:dyDescent="0.2"/>
    <row r="1408" ht="12.75" hidden="1" x14ac:dyDescent="0.2"/>
    <row r="1409" ht="12.75" hidden="1" x14ac:dyDescent="0.2"/>
    <row r="1410" ht="12.75" hidden="1" x14ac:dyDescent="0.2"/>
    <row r="1411" ht="12.75" hidden="1" x14ac:dyDescent="0.2"/>
    <row r="1412" ht="12.75" hidden="1" x14ac:dyDescent="0.2"/>
    <row r="1413" ht="12.75" hidden="1" x14ac:dyDescent="0.2"/>
    <row r="1414" ht="12.75" hidden="1" x14ac:dyDescent="0.2"/>
    <row r="1415" ht="12.75" hidden="1" x14ac:dyDescent="0.2"/>
    <row r="1416" ht="12.75" hidden="1" x14ac:dyDescent="0.2"/>
    <row r="1417" ht="12.75" hidden="1" x14ac:dyDescent="0.2"/>
    <row r="1418" ht="12.75" hidden="1" x14ac:dyDescent="0.2"/>
    <row r="1419" ht="12.75" hidden="1" x14ac:dyDescent="0.2"/>
    <row r="1420" ht="12.75" hidden="1" x14ac:dyDescent="0.2"/>
    <row r="1421" ht="12.75" hidden="1" x14ac:dyDescent="0.2"/>
    <row r="1422" ht="12.75" hidden="1" x14ac:dyDescent="0.2"/>
    <row r="1423" ht="12.75" hidden="1" x14ac:dyDescent="0.2"/>
    <row r="1424" ht="12.75" hidden="1" x14ac:dyDescent="0.2"/>
    <row r="1425" ht="12.75" hidden="1" x14ac:dyDescent="0.2"/>
    <row r="1426" ht="12.75" hidden="1" x14ac:dyDescent="0.2"/>
    <row r="1427" ht="12.75" hidden="1" x14ac:dyDescent="0.2"/>
    <row r="1428" ht="12.75" hidden="1" x14ac:dyDescent="0.2"/>
    <row r="1429" ht="12.75" hidden="1" x14ac:dyDescent="0.2"/>
    <row r="1430" ht="12.75" hidden="1" x14ac:dyDescent="0.2"/>
    <row r="1431" ht="12.75" hidden="1" x14ac:dyDescent="0.2"/>
    <row r="1432" ht="12.75" hidden="1" x14ac:dyDescent="0.2"/>
    <row r="1433" ht="12.75" hidden="1" x14ac:dyDescent="0.2"/>
    <row r="1434" ht="12.75" hidden="1" x14ac:dyDescent="0.2"/>
    <row r="1435" ht="12.75" hidden="1" x14ac:dyDescent="0.2"/>
    <row r="1436" ht="12.75" hidden="1" x14ac:dyDescent="0.2"/>
    <row r="1437" ht="12.75" hidden="1" x14ac:dyDescent="0.2"/>
    <row r="1438" ht="12.75" hidden="1" x14ac:dyDescent="0.2"/>
    <row r="1439" ht="12.75" hidden="1" x14ac:dyDescent="0.2"/>
    <row r="1440" ht="12.75" hidden="1" x14ac:dyDescent="0.2"/>
    <row r="1441" ht="12.75" hidden="1" x14ac:dyDescent="0.2"/>
    <row r="1442" ht="12.75" hidden="1" x14ac:dyDescent="0.2"/>
    <row r="1443" ht="12.75" hidden="1" x14ac:dyDescent="0.2"/>
    <row r="1444" ht="12.75" hidden="1" x14ac:dyDescent="0.2"/>
    <row r="1445" ht="12.75" hidden="1" x14ac:dyDescent="0.2"/>
    <row r="1446" ht="12.75" hidden="1" x14ac:dyDescent="0.2"/>
    <row r="1447" ht="12.75" hidden="1" x14ac:dyDescent="0.2"/>
    <row r="1448" ht="12.75" hidden="1" x14ac:dyDescent="0.2"/>
    <row r="1449" ht="12.75" hidden="1" x14ac:dyDescent="0.2"/>
    <row r="1450" ht="12.75" hidden="1" x14ac:dyDescent="0.2"/>
    <row r="1451" ht="12.75" hidden="1" x14ac:dyDescent="0.2"/>
    <row r="1452" ht="12.75" hidden="1" x14ac:dyDescent="0.2"/>
    <row r="1453" ht="12.75" hidden="1" x14ac:dyDescent="0.2"/>
    <row r="1454" ht="12.75" hidden="1" x14ac:dyDescent="0.2"/>
    <row r="1455" ht="12.75" hidden="1" x14ac:dyDescent="0.2"/>
    <row r="1456" ht="12.75" hidden="1" x14ac:dyDescent="0.2"/>
    <row r="1457" ht="12.75" hidden="1" x14ac:dyDescent="0.2"/>
    <row r="1458" ht="12.75" hidden="1" x14ac:dyDescent="0.2"/>
    <row r="1459" ht="12.75" hidden="1" x14ac:dyDescent="0.2"/>
    <row r="1460" ht="12.75" hidden="1" x14ac:dyDescent="0.2"/>
    <row r="1461" ht="12.75" hidden="1" x14ac:dyDescent="0.2"/>
    <row r="1462" ht="12.75" hidden="1" x14ac:dyDescent="0.2"/>
    <row r="1463" ht="12.75" hidden="1" x14ac:dyDescent="0.2"/>
    <row r="1464" ht="12.75" hidden="1" x14ac:dyDescent="0.2"/>
    <row r="1465" ht="12.75" hidden="1" x14ac:dyDescent="0.2"/>
    <row r="1466" ht="12.75" hidden="1" x14ac:dyDescent="0.2"/>
    <row r="1467" ht="12.75" hidden="1" x14ac:dyDescent="0.2"/>
    <row r="1468" ht="12.75" hidden="1" x14ac:dyDescent="0.2"/>
    <row r="1469" ht="12.75" hidden="1" x14ac:dyDescent="0.2"/>
    <row r="1470" ht="12.75" hidden="1" x14ac:dyDescent="0.2"/>
    <row r="1471" ht="12.75" hidden="1" x14ac:dyDescent="0.2"/>
    <row r="1472" ht="12.75" hidden="1" x14ac:dyDescent="0.2"/>
    <row r="1473" ht="12.75" hidden="1" x14ac:dyDescent="0.2"/>
    <row r="1474" ht="12.75" hidden="1" x14ac:dyDescent="0.2"/>
    <row r="1475" ht="12.75" hidden="1" x14ac:dyDescent="0.2"/>
    <row r="1476" ht="12.75" hidden="1" x14ac:dyDescent="0.2"/>
    <row r="1477" ht="12.75" hidden="1" x14ac:dyDescent="0.2"/>
    <row r="1478" ht="12.75" hidden="1" x14ac:dyDescent="0.2"/>
    <row r="1479" ht="12.75" hidden="1" x14ac:dyDescent="0.2"/>
    <row r="1480" ht="12.75" hidden="1" x14ac:dyDescent="0.2"/>
    <row r="1481" ht="12.75" hidden="1" x14ac:dyDescent="0.2"/>
    <row r="1482" ht="12.75" hidden="1" x14ac:dyDescent="0.2"/>
    <row r="1483" ht="12.75" hidden="1" x14ac:dyDescent="0.2"/>
    <row r="1484" ht="12.75" hidden="1" x14ac:dyDescent="0.2"/>
    <row r="1485" ht="12.75" hidden="1" x14ac:dyDescent="0.2"/>
    <row r="1486" ht="12.75" hidden="1" x14ac:dyDescent="0.2"/>
    <row r="1487" ht="12.75" hidden="1" x14ac:dyDescent="0.2"/>
    <row r="1488" ht="12.75" hidden="1" x14ac:dyDescent="0.2"/>
    <row r="1489" ht="12.75" hidden="1" x14ac:dyDescent="0.2"/>
    <row r="1490" ht="12.75" hidden="1" x14ac:dyDescent="0.2"/>
    <row r="1491" ht="12.75" hidden="1" x14ac:dyDescent="0.2"/>
    <row r="1492" ht="12.75" hidden="1" x14ac:dyDescent="0.2"/>
    <row r="1493" ht="12.75" hidden="1" x14ac:dyDescent="0.2"/>
    <row r="1494" ht="12.75" hidden="1" x14ac:dyDescent="0.2"/>
    <row r="1495" ht="12.75" hidden="1" x14ac:dyDescent="0.2"/>
    <row r="1496" ht="12.75" hidden="1" x14ac:dyDescent="0.2"/>
    <row r="1497" ht="12.75" hidden="1" x14ac:dyDescent="0.2"/>
    <row r="1498" ht="12.75" hidden="1" x14ac:dyDescent="0.2"/>
    <row r="1499" ht="12.75" hidden="1" x14ac:dyDescent="0.2"/>
    <row r="1500" ht="12.75" hidden="1" x14ac:dyDescent="0.2"/>
    <row r="1501" ht="12.75" hidden="1" x14ac:dyDescent="0.2"/>
    <row r="1502" ht="12.75" hidden="1" x14ac:dyDescent="0.2"/>
    <row r="1503" ht="12.75" hidden="1" x14ac:dyDescent="0.2"/>
    <row r="1504" ht="12.75" hidden="1" x14ac:dyDescent="0.2"/>
    <row r="1505" ht="12.75" hidden="1" x14ac:dyDescent="0.2"/>
    <row r="1506" ht="12.75" hidden="1" x14ac:dyDescent="0.2"/>
    <row r="1507" ht="12.75" hidden="1" x14ac:dyDescent="0.2"/>
    <row r="1508" ht="12.75" hidden="1" x14ac:dyDescent="0.2"/>
    <row r="1509" ht="12.75" hidden="1" x14ac:dyDescent="0.2"/>
    <row r="1510" ht="12.75" hidden="1" x14ac:dyDescent="0.2"/>
    <row r="1511" ht="12.75" hidden="1" x14ac:dyDescent="0.2"/>
    <row r="1512" ht="12.75" hidden="1" x14ac:dyDescent="0.2"/>
    <row r="1513" ht="12.75" hidden="1" x14ac:dyDescent="0.2"/>
    <row r="1514" ht="12.75" hidden="1" x14ac:dyDescent="0.2"/>
    <row r="1515" ht="12.75" hidden="1" x14ac:dyDescent="0.2"/>
    <row r="1516" ht="12.75" hidden="1" x14ac:dyDescent="0.2"/>
    <row r="1517" ht="12.75" hidden="1" x14ac:dyDescent="0.2"/>
    <row r="1518" ht="12.75" hidden="1" x14ac:dyDescent="0.2"/>
    <row r="1519" ht="12.75" hidden="1" x14ac:dyDescent="0.2"/>
    <row r="1520" ht="12.75" hidden="1" x14ac:dyDescent="0.2"/>
    <row r="1521" ht="12.75" hidden="1" x14ac:dyDescent="0.2"/>
    <row r="1522" ht="12.75" hidden="1" x14ac:dyDescent="0.2"/>
    <row r="1523" ht="12.75" hidden="1" x14ac:dyDescent="0.2"/>
    <row r="1524" ht="12.75" hidden="1" x14ac:dyDescent="0.2"/>
    <row r="1525" ht="12.75" hidden="1" x14ac:dyDescent="0.2"/>
    <row r="1526" ht="12.75" hidden="1" x14ac:dyDescent="0.2"/>
    <row r="1527" ht="12.75" hidden="1" x14ac:dyDescent="0.2"/>
    <row r="1528" ht="12.75" hidden="1" x14ac:dyDescent="0.2"/>
    <row r="1529" ht="12.75" hidden="1" x14ac:dyDescent="0.2"/>
    <row r="1530" ht="12.75" hidden="1" x14ac:dyDescent="0.2"/>
    <row r="1531" ht="12.75" hidden="1" x14ac:dyDescent="0.2"/>
    <row r="1532" ht="12.75" hidden="1" x14ac:dyDescent="0.2"/>
    <row r="1533" ht="12.75" hidden="1" x14ac:dyDescent="0.2"/>
    <row r="1534" ht="12.75" hidden="1" x14ac:dyDescent="0.2"/>
    <row r="1535" ht="12.75" hidden="1" x14ac:dyDescent="0.2"/>
    <row r="1536" ht="12.75" hidden="1" x14ac:dyDescent="0.2"/>
    <row r="1537" ht="12.75" hidden="1" x14ac:dyDescent="0.2"/>
    <row r="1538" ht="12.75" hidden="1" x14ac:dyDescent="0.2"/>
    <row r="1539" ht="12.75" hidden="1" x14ac:dyDescent="0.2"/>
    <row r="1540" ht="12.75" hidden="1" x14ac:dyDescent="0.2"/>
    <row r="1541" ht="12.75" hidden="1" x14ac:dyDescent="0.2"/>
    <row r="1542" ht="12.75" hidden="1" x14ac:dyDescent="0.2"/>
    <row r="1543" ht="12.75" hidden="1" x14ac:dyDescent="0.2"/>
    <row r="1544" ht="12.75" hidden="1" x14ac:dyDescent="0.2"/>
    <row r="1545" ht="12.75" hidden="1" x14ac:dyDescent="0.2"/>
    <row r="1546" ht="12.75" hidden="1" x14ac:dyDescent="0.2"/>
    <row r="1547" ht="12.75" hidden="1" x14ac:dyDescent="0.2"/>
    <row r="1548" ht="12.75" hidden="1" x14ac:dyDescent="0.2"/>
    <row r="1549" ht="12.75" hidden="1" x14ac:dyDescent="0.2"/>
    <row r="1550" ht="12.75" hidden="1" x14ac:dyDescent="0.2"/>
    <row r="1551" ht="12.75" hidden="1" x14ac:dyDescent="0.2"/>
    <row r="1552" ht="12.75" hidden="1" x14ac:dyDescent="0.2"/>
    <row r="1553" ht="12.75" hidden="1" x14ac:dyDescent="0.2"/>
    <row r="1554" ht="12.75" hidden="1" x14ac:dyDescent="0.2"/>
    <row r="1555" ht="12.75" hidden="1" x14ac:dyDescent="0.2"/>
    <row r="1556" ht="12.75" hidden="1" x14ac:dyDescent="0.2"/>
    <row r="1557" ht="12.75" hidden="1" x14ac:dyDescent="0.2"/>
    <row r="1558" ht="12.75" hidden="1" x14ac:dyDescent="0.2"/>
    <row r="1559" ht="12.75" hidden="1" x14ac:dyDescent="0.2"/>
    <row r="1560" ht="12.75" hidden="1" x14ac:dyDescent="0.2"/>
    <row r="1561" ht="12.75" hidden="1" x14ac:dyDescent="0.2"/>
    <row r="1562" ht="12.75" hidden="1" x14ac:dyDescent="0.2"/>
    <row r="1563" ht="12.75" hidden="1" x14ac:dyDescent="0.2"/>
    <row r="1564" ht="12.75" hidden="1" x14ac:dyDescent="0.2"/>
    <row r="1565" ht="12.75" hidden="1" x14ac:dyDescent="0.2"/>
    <row r="1566" ht="12.75" hidden="1" x14ac:dyDescent="0.2"/>
    <row r="1567" ht="12.75" hidden="1" x14ac:dyDescent="0.2"/>
    <row r="1568" ht="12.75" hidden="1" x14ac:dyDescent="0.2"/>
    <row r="1569" ht="12.75" hidden="1" x14ac:dyDescent="0.2"/>
    <row r="1570" ht="12.75" hidden="1" x14ac:dyDescent="0.2"/>
    <row r="1571" ht="12.75" hidden="1" x14ac:dyDescent="0.2"/>
    <row r="1572" ht="12.75" hidden="1" x14ac:dyDescent="0.2"/>
    <row r="1573" ht="12.75" hidden="1" x14ac:dyDescent="0.2"/>
    <row r="1574" ht="12.75" hidden="1" x14ac:dyDescent="0.2"/>
    <row r="1575" ht="12.75" hidden="1" x14ac:dyDescent="0.2"/>
    <row r="1576" ht="12.75" hidden="1" x14ac:dyDescent="0.2"/>
    <row r="1577" ht="12.75" hidden="1" x14ac:dyDescent="0.2"/>
    <row r="1578" ht="12.75" hidden="1" x14ac:dyDescent="0.2"/>
    <row r="1579" ht="12.75" hidden="1" x14ac:dyDescent="0.2"/>
    <row r="1580" ht="12.75" hidden="1" x14ac:dyDescent="0.2"/>
    <row r="1581" ht="12.75" hidden="1" x14ac:dyDescent="0.2"/>
    <row r="1582" ht="12.75" hidden="1" x14ac:dyDescent="0.2"/>
    <row r="1583" ht="12.75" hidden="1" x14ac:dyDescent="0.2"/>
    <row r="1584" ht="12.75" hidden="1" x14ac:dyDescent="0.2"/>
    <row r="1585" ht="12.75" hidden="1" x14ac:dyDescent="0.2"/>
    <row r="1586" ht="12.75" hidden="1" x14ac:dyDescent="0.2"/>
    <row r="1587" ht="12.75" hidden="1" x14ac:dyDescent="0.2"/>
    <row r="1588" ht="12.75" hidden="1" x14ac:dyDescent="0.2"/>
    <row r="1589" ht="12.75" hidden="1" x14ac:dyDescent="0.2"/>
    <row r="1590" ht="12.75" hidden="1" x14ac:dyDescent="0.2"/>
    <row r="1591" ht="12.75" hidden="1" x14ac:dyDescent="0.2"/>
    <row r="1592" ht="12.75" hidden="1" x14ac:dyDescent="0.2"/>
    <row r="1593" ht="12.75" hidden="1" x14ac:dyDescent="0.2"/>
    <row r="1594" ht="12.75" hidden="1" x14ac:dyDescent="0.2"/>
    <row r="1595" ht="12.75" hidden="1" x14ac:dyDescent="0.2"/>
    <row r="1596" ht="12.75" hidden="1" x14ac:dyDescent="0.2"/>
    <row r="1597" ht="12.75" hidden="1" x14ac:dyDescent="0.2"/>
    <row r="1598" ht="12.75" hidden="1" x14ac:dyDescent="0.2"/>
    <row r="1599" ht="12.75" hidden="1" x14ac:dyDescent="0.2"/>
    <row r="1600" ht="12.75" hidden="1" x14ac:dyDescent="0.2"/>
    <row r="1601" ht="12.75" hidden="1" x14ac:dyDescent="0.2"/>
    <row r="1602" ht="12.75" hidden="1" x14ac:dyDescent="0.2"/>
    <row r="1603" ht="12.75" hidden="1" x14ac:dyDescent="0.2"/>
    <row r="1604" ht="12.75" hidden="1" x14ac:dyDescent="0.2"/>
    <row r="1605" ht="12.75" hidden="1" x14ac:dyDescent="0.2"/>
    <row r="1606" ht="12.75" hidden="1" x14ac:dyDescent="0.2"/>
    <row r="1607" ht="12.75" hidden="1" x14ac:dyDescent="0.2"/>
    <row r="1608" ht="12.75" hidden="1" x14ac:dyDescent="0.2"/>
    <row r="1609" ht="12.75" hidden="1" x14ac:dyDescent="0.2"/>
    <row r="1610" ht="12.75" hidden="1" x14ac:dyDescent="0.2"/>
    <row r="1611" ht="12.75" hidden="1" x14ac:dyDescent="0.2"/>
    <row r="1612" ht="12.75" hidden="1" x14ac:dyDescent="0.2"/>
    <row r="1613" ht="12.75" hidden="1" x14ac:dyDescent="0.2"/>
    <row r="1614" ht="12.75" hidden="1" x14ac:dyDescent="0.2"/>
    <row r="1615" ht="12.75" hidden="1" x14ac:dyDescent="0.2"/>
    <row r="1616" ht="12.75" hidden="1" x14ac:dyDescent="0.2"/>
    <row r="1617" ht="12.75" hidden="1" x14ac:dyDescent="0.2"/>
    <row r="1618" ht="12.75" hidden="1" x14ac:dyDescent="0.2"/>
    <row r="1619" ht="12.75" hidden="1" x14ac:dyDescent="0.2"/>
    <row r="1620" ht="12.75" hidden="1" x14ac:dyDescent="0.2"/>
    <row r="1621" ht="12.75" hidden="1" x14ac:dyDescent="0.2"/>
    <row r="1622" ht="12.75" hidden="1" x14ac:dyDescent="0.2"/>
    <row r="1623" ht="12.75" hidden="1" x14ac:dyDescent="0.2"/>
    <row r="1624" ht="12.75" hidden="1" x14ac:dyDescent="0.2"/>
    <row r="1625" ht="12.75" hidden="1" x14ac:dyDescent="0.2"/>
    <row r="1626" ht="12.75" hidden="1" x14ac:dyDescent="0.2"/>
    <row r="1627" ht="12.75" hidden="1" x14ac:dyDescent="0.2"/>
    <row r="1628" ht="12.75" hidden="1" x14ac:dyDescent="0.2"/>
    <row r="1629" ht="12.75" hidden="1" x14ac:dyDescent="0.2"/>
    <row r="1630" ht="12.75" hidden="1" x14ac:dyDescent="0.2"/>
    <row r="1631" ht="12.75" hidden="1" x14ac:dyDescent="0.2"/>
    <row r="1632" ht="12.75" hidden="1" x14ac:dyDescent="0.2"/>
    <row r="1633" ht="12.75" hidden="1" x14ac:dyDescent="0.2"/>
    <row r="1634" ht="12.75" hidden="1" x14ac:dyDescent="0.2"/>
    <row r="1635" ht="12.75" hidden="1" x14ac:dyDescent="0.2"/>
    <row r="1636" ht="12.75" hidden="1" x14ac:dyDescent="0.2"/>
    <row r="1637" ht="12.75" hidden="1" x14ac:dyDescent="0.2"/>
    <row r="1638" ht="12.75" hidden="1" x14ac:dyDescent="0.2"/>
    <row r="1639" ht="12.75" hidden="1" x14ac:dyDescent="0.2"/>
    <row r="1640" ht="12.75" hidden="1" x14ac:dyDescent="0.2"/>
    <row r="1641" ht="12.75" hidden="1" x14ac:dyDescent="0.2"/>
    <row r="1642" ht="12.75" hidden="1" x14ac:dyDescent="0.2"/>
    <row r="1643" ht="12.75" hidden="1" x14ac:dyDescent="0.2"/>
    <row r="1644" ht="12.75" hidden="1" x14ac:dyDescent="0.2"/>
    <row r="1645" ht="12.75" hidden="1" x14ac:dyDescent="0.2"/>
    <row r="1646" ht="12.75" hidden="1" x14ac:dyDescent="0.2"/>
    <row r="1647" ht="12.75" hidden="1" x14ac:dyDescent="0.2"/>
    <row r="1648" ht="12.75" hidden="1" x14ac:dyDescent="0.2"/>
    <row r="1649" ht="12.75" hidden="1" x14ac:dyDescent="0.2"/>
    <row r="1650" ht="12.75" hidden="1" x14ac:dyDescent="0.2"/>
    <row r="1651" ht="12.75" hidden="1" x14ac:dyDescent="0.2"/>
    <row r="1652" ht="12.75" hidden="1" x14ac:dyDescent="0.2"/>
    <row r="1653" ht="12.75" hidden="1" x14ac:dyDescent="0.2"/>
    <row r="1654" ht="12.75" hidden="1" x14ac:dyDescent="0.2"/>
    <row r="1655" ht="12.75" hidden="1" x14ac:dyDescent="0.2"/>
    <row r="1656" ht="12.75" hidden="1" x14ac:dyDescent="0.2"/>
    <row r="1657" ht="12.75" hidden="1" x14ac:dyDescent="0.2"/>
    <row r="1658" ht="12.75" hidden="1" x14ac:dyDescent="0.2"/>
    <row r="1659" ht="12.75" hidden="1" x14ac:dyDescent="0.2"/>
    <row r="1660" ht="12.75" hidden="1" x14ac:dyDescent="0.2"/>
    <row r="1661" ht="12.75" hidden="1" x14ac:dyDescent="0.2"/>
    <row r="1662" ht="12.75" hidden="1" x14ac:dyDescent="0.2"/>
    <row r="1663" ht="12.75" hidden="1" x14ac:dyDescent="0.2"/>
    <row r="1664" ht="12.75" hidden="1" x14ac:dyDescent="0.2"/>
    <row r="1665" ht="12.75" hidden="1" x14ac:dyDescent="0.2"/>
    <row r="1666" ht="12.75" hidden="1" x14ac:dyDescent="0.2"/>
    <row r="1667" ht="12.75" hidden="1" x14ac:dyDescent="0.2"/>
    <row r="1668" ht="12.75" hidden="1" x14ac:dyDescent="0.2"/>
    <row r="1669" ht="12.75" hidden="1" x14ac:dyDescent="0.2"/>
    <row r="1670" ht="12.75" hidden="1" x14ac:dyDescent="0.2"/>
    <row r="1671" ht="12.75" hidden="1" x14ac:dyDescent="0.2"/>
    <row r="1672" ht="12.75" hidden="1" x14ac:dyDescent="0.2"/>
    <row r="1673" ht="12.75" hidden="1" x14ac:dyDescent="0.2"/>
    <row r="1674" ht="12.75" hidden="1" x14ac:dyDescent="0.2"/>
    <row r="1675" ht="12.75" hidden="1" x14ac:dyDescent="0.2"/>
    <row r="1676" ht="12.75" hidden="1" x14ac:dyDescent="0.2"/>
    <row r="1677" ht="12.75" hidden="1" x14ac:dyDescent="0.2"/>
    <row r="1678" ht="12.75" hidden="1" x14ac:dyDescent="0.2"/>
    <row r="1679" ht="12.75" hidden="1" x14ac:dyDescent="0.2"/>
    <row r="1680" ht="12.75" hidden="1" x14ac:dyDescent="0.2"/>
    <row r="1681" ht="12.75" hidden="1" x14ac:dyDescent="0.2"/>
    <row r="1682" ht="12.75" hidden="1" x14ac:dyDescent="0.2"/>
    <row r="1683" ht="12.75" hidden="1" x14ac:dyDescent="0.2"/>
    <row r="1684" ht="12.75" hidden="1" x14ac:dyDescent="0.2"/>
    <row r="1685" ht="12.75" hidden="1" x14ac:dyDescent="0.2"/>
    <row r="1686" ht="12.75" hidden="1" x14ac:dyDescent="0.2"/>
    <row r="1687" ht="12.75" hidden="1" x14ac:dyDescent="0.2"/>
    <row r="1688" ht="12.75" hidden="1" x14ac:dyDescent="0.2"/>
    <row r="1689" ht="12.75" hidden="1" x14ac:dyDescent="0.2"/>
    <row r="1690" ht="12.75" hidden="1" x14ac:dyDescent="0.2"/>
    <row r="1691" ht="12.75" hidden="1" x14ac:dyDescent="0.2"/>
    <row r="1692" ht="12.75" hidden="1" x14ac:dyDescent="0.2"/>
    <row r="1693" ht="12.75" hidden="1" x14ac:dyDescent="0.2"/>
    <row r="1694" ht="12.75" hidden="1" x14ac:dyDescent="0.2"/>
    <row r="1695" ht="12.75" hidden="1" x14ac:dyDescent="0.2"/>
    <row r="1696" ht="12.75" hidden="1" x14ac:dyDescent="0.2"/>
    <row r="1697" ht="12.75" hidden="1" x14ac:dyDescent="0.2"/>
    <row r="1698" ht="12.75" hidden="1" x14ac:dyDescent="0.2"/>
    <row r="1699" ht="12.75" hidden="1" x14ac:dyDescent="0.2"/>
    <row r="1700" ht="12.75" hidden="1" x14ac:dyDescent="0.2"/>
    <row r="1701" ht="12.75" hidden="1" x14ac:dyDescent="0.2"/>
    <row r="1702" ht="12.75" hidden="1" x14ac:dyDescent="0.2"/>
    <row r="1703" ht="12.75" hidden="1" x14ac:dyDescent="0.2"/>
    <row r="1704" ht="12.75" hidden="1" x14ac:dyDescent="0.2"/>
    <row r="1705" ht="12.75" hidden="1" x14ac:dyDescent="0.2"/>
    <row r="1706" ht="12.75" hidden="1" x14ac:dyDescent="0.2"/>
    <row r="1707" ht="12.75" hidden="1" x14ac:dyDescent="0.2"/>
    <row r="1708" ht="12.75" hidden="1" x14ac:dyDescent="0.2"/>
    <row r="1709" ht="12.75" hidden="1" x14ac:dyDescent="0.2"/>
    <row r="1710" ht="12.75" hidden="1" x14ac:dyDescent="0.2"/>
    <row r="1711" ht="12.75" hidden="1" x14ac:dyDescent="0.2"/>
    <row r="1712" ht="12.75" hidden="1" x14ac:dyDescent="0.2"/>
    <row r="1713" ht="12.75" hidden="1" x14ac:dyDescent="0.2"/>
    <row r="1714" ht="12.75" hidden="1" x14ac:dyDescent="0.2"/>
    <row r="1715" ht="12.75" hidden="1" x14ac:dyDescent="0.2"/>
    <row r="1716" ht="12.75" hidden="1" x14ac:dyDescent="0.2"/>
    <row r="1717" ht="12.75" hidden="1" x14ac:dyDescent="0.2"/>
    <row r="1718" ht="12.75" hidden="1" x14ac:dyDescent="0.2"/>
    <row r="1719" ht="12.75" hidden="1" x14ac:dyDescent="0.2"/>
    <row r="1720" ht="12.75" hidden="1" x14ac:dyDescent="0.2"/>
    <row r="1721" ht="12.75" hidden="1" x14ac:dyDescent="0.2"/>
    <row r="1722" ht="12.75" hidden="1" x14ac:dyDescent="0.2"/>
    <row r="1723" ht="12.75" hidden="1" x14ac:dyDescent="0.2"/>
    <row r="1724" ht="12.75" hidden="1" x14ac:dyDescent="0.2"/>
    <row r="1725" ht="12.75" hidden="1" x14ac:dyDescent="0.2"/>
    <row r="1726" ht="12.75" hidden="1" x14ac:dyDescent="0.2"/>
    <row r="1727" ht="12.75" hidden="1" x14ac:dyDescent="0.2"/>
    <row r="1728" ht="12.75" hidden="1" x14ac:dyDescent="0.2"/>
    <row r="1729" ht="12.75" hidden="1" x14ac:dyDescent="0.2"/>
    <row r="1730" ht="12.75" hidden="1" x14ac:dyDescent="0.2"/>
    <row r="1731" ht="12.75" hidden="1" x14ac:dyDescent="0.2"/>
    <row r="1732" ht="12.75" hidden="1" x14ac:dyDescent="0.2"/>
    <row r="1733" ht="12.75" hidden="1" x14ac:dyDescent="0.2"/>
    <row r="1734" ht="12.75" hidden="1" x14ac:dyDescent="0.2"/>
    <row r="1735" ht="12.75" hidden="1" x14ac:dyDescent="0.2"/>
    <row r="1736" ht="12.75" hidden="1" x14ac:dyDescent="0.2"/>
    <row r="1737" ht="12.75" hidden="1" x14ac:dyDescent="0.2"/>
    <row r="1738" ht="12.75" hidden="1" x14ac:dyDescent="0.2"/>
    <row r="1739" ht="12.75" hidden="1" x14ac:dyDescent="0.2"/>
    <row r="1740" ht="12.75" hidden="1" x14ac:dyDescent="0.2"/>
    <row r="1741" ht="12.75" hidden="1" x14ac:dyDescent="0.2"/>
    <row r="1742" ht="12.75" hidden="1" x14ac:dyDescent="0.2"/>
    <row r="1743" ht="12.75" hidden="1" x14ac:dyDescent="0.2"/>
    <row r="1744" ht="12.75" hidden="1" x14ac:dyDescent="0.2"/>
    <row r="1745" ht="12.75" hidden="1" x14ac:dyDescent="0.2"/>
    <row r="1746" ht="12.75" hidden="1" x14ac:dyDescent="0.2"/>
    <row r="1747" ht="12.75" hidden="1" x14ac:dyDescent="0.2"/>
    <row r="1748" ht="12.75" hidden="1" x14ac:dyDescent="0.2"/>
    <row r="1749" ht="12.75" hidden="1" x14ac:dyDescent="0.2"/>
    <row r="1750" ht="12.75" hidden="1" x14ac:dyDescent="0.2"/>
    <row r="1751" ht="12.75" hidden="1" x14ac:dyDescent="0.2"/>
    <row r="1752" ht="12.75" hidden="1" x14ac:dyDescent="0.2"/>
    <row r="1753" ht="12.75" hidden="1" x14ac:dyDescent="0.2"/>
    <row r="1754" ht="12.75" hidden="1" x14ac:dyDescent="0.2"/>
    <row r="1755" ht="12.75" hidden="1" x14ac:dyDescent="0.2"/>
    <row r="1756" ht="12.75" hidden="1" x14ac:dyDescent="0.2"/>
    <row r="1757" ht="12.75" hidden="1" x14ac:dyDescent="0.2"/>
    <row r="1758" ht="12.75" hidden="1" x14ac:dyDescent="0.2"/>
    <row r="1759" ht="12.75" hidden="1" x14ac:dyDescent="0.2"/>
    <row r="1760" ht="12.75" hidden="1" x14ac:dyDescent="0.2"/>
    <row r="1761" ht="12.75" hidden="1" x14ac:dyDescent="0.2"/>
    <row r="1762" ht="12.75" hidden="1" x14ac:dyDescent="0.2"/>
    <row r="1763" ht="12.75" hidden="1" x14ac:dyDescent="0.2"/>
    <row r="1764" ht="12.75" hidden="1" x14ac:dyDescent="0.2"/>
    <row r="1765" ht="12.75" hidden="1" x14ac:dyDescent="0.2"/>
    <row r="1766" ht="12.75" hidden="1" x14ac:dyDescent="0.2"/>
    <row r="1767" ht="12.75" hidden="1" x14ac:dyDescent="0.2"/>
    <row r="1768" ht="12.75" hidden="1" x14ac:dyDescent="0.2"/>
    <row r="1769" ht="12.75" hidden="1" x14ac:dyDescent="0.2"/>
    <row r="1770" ht="12.75" hidden="1" x14ac:dyDescent="0.2"/>
    <row r="1771" ht="12.75" hidden="1" x14ac:dyDescent="0.2"/>
    <row r="1772" ht="12.75" hidden="1" x14ac:dyDescent="0.2"/>
    <row r="1773" ht="12.75" hidden="1" x14ac:dyDescent="0.2"/>
    <row r="1774" ht="12.75" hidden="1" x14ac:dyDescent="0.2"/>
    <row r="1775" ht="12.75" hidden="1" x14ac:dyDescent="0.2"/>
    <row r="1776" ht="12.75" hidden="1" x14ac:dyDescent="0.2"/>
    <row r="1777" ht="12.75" hidden="1" x14ac:dyDescent="0.2"/>
    <row r="1778" ht="12.75" hidden="1" x14ac:dyDescent="0.2"/>
    <row r="1779" ht="12.75" hidden="1" x14ac:dyDescent="0.2"/>
    <row r="1780" ht="12.75" hidden="1" x14ac:dyDescent="0.2"/>
    <row r="1781" ht="12.75" hidden="1" x14ac:dyDescent="0.2"/>
    <row r="1782" ht="12.75" hidden="1" x14ac:dyDescent="0.2"/>
    <row r="1783" ht="12.75" hidden="1" x14ac:dyDescent="0.2"/>
    <row r="1784" ht="12.75" hidden="1" x14ac:dyDescent="0.2"/>
    <row r="1785" ht="12.75" hidden="1" x14ac:dyDescent="0.2"/>
    <row r="1786" ht="12.75" hidden="1" x14ac:dyDescent="0.2"/>
    <row r="1787" ht="12.75" hidden="1" x14ac:dyDescent="0.2"/>
    <row r="1788" ht="12.75" hidden="1" x14ac:dyDescent="0.2"/>
    <row r="1789" ht="12.75" hidden="1" x14ac:dyDescent="0.2"/>
    <row r="1790" ht="12.75" hidden="1" x14ac:dyDescent="0.2"/>
    <row r="1791" ht="12.75" hidden="1" x14ac:dyDescent="0.2"/>
    <row r="1792" ht="12.75" hidden="1" x14ac:dyDescent="0.2"/>
    <row r="1793" ht="12.75" hidden="1" x14ac:dyDescent="0.2"/>
    <row r="1794" ht="12.75" hidden="1" x14ac:dyDescent="0.2"/>
    <row r="1795" ht="12.75" hidden="1" x14ac:dyDescent="0.2"/>
    <row r="1796" ht="12.75" hidden="1" x14ac:dyDescent="0.2"/>
    <row r="1797" ht="12.75" hidden="1" x14ac:dyDescent="0.2"/>
    <row r="1798" ht="12.75" hidden="1" x14ac:dyDescent="0.2"/>
    <row r="1799" ht="12.75" hidden="1" x14ac:dyDescent="0.2"/>
    <row r="1800" ht="12.75" hidden="1" x14ac:dyDescent="0.2"/>
    <row r="1801" ht="12.75" hidden="1" x14ac:dyDescent="0.2"/>
    <row r="1802" ht="12.75" hidden="1" x14ac:dyDescent="0.2"/>
    <row r="1803" ht="12.75" hidden="1" x14ac:dyDescent="0.2"/>
    <row r="1804" ht="12.75" hidden="1" x14ac:dyDescent="0.2"/>
    <row r="1805" ht="12.75" hidden="1" x14ac:dyDescent="0.2"/>
    <row r="1806" ht="12.75" hidden="1" x14ac:dyDescent="0.2"/>
    <row r="1807" ht="12.75" hidden="1" x14ac:dyDescent="0.2"/>
    <row r="1808" ht="12.75" hidden="1" x14ac:dyDescent="0.2"/>
    <row r="1809" ht="12.75" hidden="1" x14ac:dyDescent="0.2"/>
    <row r="1810" ht="12.75" hidden="1" x14ac:dyDescent="0.2"/>
    <row r="1811" ht="12.75" hidden="1" x14ac:dyDescent="0.2"/>
    <row r="1812" ht="12.75" hidden="1" x14ac:dyDescent="0.2"/>
    <row r="1813" ht="12.75" hidden="1" x14ac:dyDescent="0.2"/>
    <row r="1814" ht="12.75" hidden="1" x14ac:dyDescent="0.2"/>
    <row r="1815" ht="12.75" hidden="1" x14ac:dyDescent="0.2"/>
    <row r="1816" ht="12.75" hidden="1" x14ac:dyDescent="0.2"/>
    <row r="1817" ht="12.75" hidden="1" x14ac:dyDescent="0.2"/>
    <row r="1818" ht="12.75" hidden="1" x14ac:dyDescent="0.2"/>
    <row r="1819" ht="12.75" hidden="1" x14ac:dyDescent="0.2"/>
    <row r="1820" ht="12.75" hidden="1" x14ac:dyDescent="0.2"/>
    <row r="1821" ht="12.75" hidden="1" x14ac:dyDescent="0.2"/>
    <row r="1822" ht="12.75" hidden="1" x14ac:dyDescent="0.2"/>
    <row r="1823" ht="12.75" hidden="1" x14ac:dyDescent="0.2"/>
    <row r="1824" ht="12.75" hidden="1" x14ac:dyDescent="0.2"/>
    <row r="1825" ht="12.75" hidden="1" x14ac:dyDescent="0.2"/>
    <row r="1826" ht="12.75" hidden="1" x14ac:dyDescent="0.2"/>
    <row r="1827" ht="12.75" hidden="1" x14ac:dyDescent="0.2"/>
    <row r="1828" ht="12.75" hidden="1" x14ac:dyDescent="0.2"/>
    <row r="1829" ht="12.75" hidden="1" x14ac:dyDescent="0.2"/>
    <row r="1830" ht="12.75" hidden="1" x14ac:dyDescent="0.2"/>
    <row r="1831" ht="12.75" hidden="1" x14ac:dyDescent="0.2"/>
    <row r="1832" ht="12.75" hidden="1" x14ac:dyDescent="0.2"/>
    <row r="1833" ht="12.75" hidden="1" x14ac:dyDescent="0.2"/>
    <row r="1834" ht="12.75" hidden="1" x14ac:dyDescent="0.2"/>
    <row r="1835" ht="12.75" hidden="1" x14ac:dyDescent="0.2"/>
    <row r="1836" ht="12.75" hidden="1" x14ac:dyDescent="0.2"/>
    <row r="1837" ht="12.75" hidden="1" x14ac:dyDescent="0.2"/>
    <row r="1838" ht="12.75" hidden="1" x14ac:dyDescent="0.2"/>
    <row r="1839" ht="12.75" hidden="1" x14ac:dyDescent="0.2"/>
    <row r="1840" ht="12.75" hidden="1" x14ac:dyDescent="0.2"/>
    <row r="1841" ht="12.75" hidden="1" x14ac:dyDescent="0.2"/>
    <row r="1842" ht="12.75" hidden="1" x14ac:dyDescent="0.2"/>
    <row r="1843" ht="12.75" hidden="1" x14ac:dyDescent="0.2"/>
    <row r="1844" ht="12.75" hidden="1" x14ac:dyDescent="0.2"/>
    <row r="1845" ht="12.75" hidden="1" x14ac:dyDescent="0.2"/>
    <row r="1846" ht="12.75" hidden="1" x14ac:dyDescent="0.2"/>
    <row r="1847" ht="12.75" hidden="1" x14ac:dyDescent="0.2"/>
    <row r="1848" ht="12.75" hidden="1" x14ac:dyDescent="0.2"/>
    <row r="1849" ht="12.75" hidden="1" x14ac:dyDescent="0.2"/>
    <row r="1850" ht="12.75" hidden="1" x14ac:dyDescent="0.2"/>
    <row r="1851" ht="12.75" hidden="1" x14ac:dyDescent="0.2"/>
    <row r="1852" ht="12.75" hidden="1" x14ac:dyDescent="0.2"/>
    <row r="1853" ht="12.75" hidden="1" x14ac:dyDescent="0.2"/>
    <row r="1854" ht="12.75" hidden="1" x14ac:dyDescent="0.2"/>
    <row r="1855" ht="12.75" hidden="1" x14ac:dyDescent="0.2"/>
    <row r="1856" ht="12.75" hidden="1" x14ac:dyDescent="0.2"/>
    <row r="1857" ht="12.75" hidden="1" x14ac:dyDescent="0.2"/>
    <row r="1858" ht="12.75" hidden="1" x14ac:dyDescent="0.2"/>
    <row r="1859" ht="12.75" hidden="1" x14ac:dyDescent="0.2"/>
    <row r="1860" ht="12.75" hidden="1" x14ac:dyDescent="0.2"/>
    <row r="1861" ht="12.75" hidden="1" x14ac:dyDescent="0.2"/>
    <row r="1862" ht="12.75" hidden="1" x14ac:dyDescent="0.2"/>
    <row r="1863" ht="12.75" hidden="1" x14ac:dyDescent="0.2"/>
    <row r="1864" ht="12.75" hidden="1" x14ac:dyDescent="0.2"/>
    <row r="1865" ht="12.75" hidden="1" x14ac:dyDescent="0.2"/>
    <row r="1866" ht="12.75" hidden="1" x14ac:dyDescent="0.2"/>
    <row r="1867" ht="12.75" hidden="1" x14ac:dyDescent="0.2"/>
    <row r="1868" ht="12.75" hidden="1" x14ac:dyDescent="0.2"/>
    <row r="1869" ht="12.75" hidden="1" x14ac:dyDescent="0.2"/>
    <row r="1870" ht="12.75" hidden="1" x14ac:dyDescent="0.2"/>
    <row r="1871" ht="12.75" hidden="1" x14ac:dyDescent="0.2"/>
    <row r="1872" ht="12.75" hidden="1" x14ac:dyDescent="0.2"/>
    <row r="1873" ht="12.75" hidden="1" x14ac:dyDescent="0.2"/>
    <row r="1874" ht="12.75" hidden="1" x14ac:dyDescent="0.2"/>
    <row r="1875" ht="12.75" hidden="1" x14ac:dyDescent="0.2"/>
    <row r="1876" ht="12.75" hidden="1" x14ac:dyDescent="0.2"/>
    <row r="1877" ht="12.75" hidden="1" x14ac:dyDescent="0.2"/>
    <row r="1878" ht="12.75" hidden="1" x14ac:dyDescent="0.2"/>
    <row r="1879" ht="12.75" hidden="1" x14ac:dyDescent="0.2"/>
    <row r="1880" ht="12.75" hidden="1" x14ac:dyDescent="0.2"/>
    <row r="1881" ht="12.75" hidden="1" x14ac:dyDescent="0.2"/>
    <row r="1882" ht="12.75" hidden="1" x14ac:dyDescent="0.2"/>
    <row r="1883" ht="12.75" hidden="1" x14ac:dyDescent="0.2"/>
    <row r="1884" ht="12.75" hidden="1" x14ac:dyDescent="0.2"/>
    <row r="1885" ht="12.75" hidden="1" x14ac:dyDescent="0.2"/>
    <row r="1886" ht="12.75" hidden="1" x14ac:dyDescent="0.2"/>
    <row r="1887" ht="12.75" hidden="1" x14ac:dyDescent="0.2"/>
    <row r="1888" ht="12.75" hidden="1" x14ac:dyDescent="0.2"/>
    <row r="1889" ht="12.75" hidden="1" x14ac:dyDescent="0.2"/>
    <row r="1890" ht="12.75" hidden="1" x14ac:dyDescent="0.2"/>
    <row r="1891" ht="12.75" hidden="1" x14ac:dyDescent="0.2"/>
    <row r="1892" ht="12.75" hidden="1" x14ac:dyDescent="0.2"/>
    <row r="1893" ht="12.75" hidden="1" x14ac:dyDescent="0.2"/>
    <row r="1894" ht="12.75" hidden="1" x14ac:dyDescent="0.2"/>
    <row r="1895" ht="12.75" hidden="1" x14ac:dyDescent="0.2"/>
    <row r="1896" ht="12.75" hidden="1" x14ac:dyDescent="0.2"/>
    <row r="1897" ht="12.75" hidden="1" x14ac:dyDescent="0.2"/>
    <row r="1898" ht="12.75" hidden="1" x14ac:dyDescent="0.2"/>
    <row r="1899" ht="12.75" hidden="1" x14ac:dyDescent="0.2"/>
    <row r="1900" ht="12.75" hidden="1" x14ac:dyDescent="0.2"/>
    <row r="1901" ht="12.75" hidden="1" x14ac:dyDescent="0.2"/>
    <row r="1902" ht="12.75" hidden="1" x14ac:dyDescent="0.2"/>
    <row r="1903" ht="12.75" hidden="1" x14ac:dyDescent="0.2"/>
    <row r="1904" ht="12.75" hidden="1" x14ac:dyDescent="0.2"/>
    <row r="1905" ht="12.75" hidden="1" x14ac:dyDescent="0.2"/>
    <row r="1906" ht="12.75" hidden="1" x14ac:dyDescent="0.2"/>
    <row r="1907" ht="12.75" hidden="1" x14ac:dyDescent="0.2"/>
    <row r="1908" ht="12.75" hidden="1" x14ac:dyDescent="0.2"/>
    <row r="1909" ht="12.75" hidden="1" x14ac:dyDescent="0.2"/>
    <row r="1910" ht="12.75" hidden="1" x14ac:dyDescent="0.2"/>
    <row r="1911" ht="12.75" hidden="1" x14ac:dyDescent="0.2"/>
    <row r="1912" ht="12.75" hidden="1" x14ac:dyDescent="0.2"/>
    <row r="1913" ht="12.75" hidden="1" x14ac:dyDescent="0.2"/>
    <row r="1914" ht="12.75" hidden="1" x14ac:dyDescent="0.2"/>
    <row r="1915" ht="12.75" hidden="1" x14ac:dyDescent="0.2"/>
    <row r="1916" ht="12.75" hidden="1" x14ac:dyDescent="0.2"/>
    <row r="1917" ht="12.75" hidden="1" x14ac:dyDescent="0.2"/>
    <row r="1918" ht="12.75" hidden="1" x14ac:dyDescent="0.2"/>
    <row r="1919" ht="12.75" hidden="1" x14ac:dyDescent="0.2"/>
    <row r="1920" ht="12.75" hidden="1" x14ac:dyDescent="0.2"/>
    <row r="1921" ht="12.75" hidden="1" x14ac:dyDescent="0.2"/>
    <row r="1922" ht="12.75" hidden="1" x14ac:dyDescent="0.2"/>
    <row r="1923" ht="12.75" hidden="1" x14ac:dyDescent="0.2"/>
    <row r="1924" ht="12.75" hidden="1" x14ac:dyDescent="0.2"/>
    <row r="1925" ht="12.75" hidden="1" x14ac:dyDescent="0.2"/>
    <row r="1926" ht="12.75" hidden="1" x14ac:dyDescent="0.2"/>
    <row r="1927" ht="12.75" hidden="1" x14ac:dyDescent="0.2"/>
    <row r="1928" ht="12.75" hidden="1" x14ac:dyDescent="0.2"/>
    <row r="1929" ht="12.75" hidden="1" x14ac:dyDescent="0.2"/>
    <row r="1930" ht="12.75" hidden="1" x14ac:dyDescent="0.2"/>
    <row r="1931" ht="12.75" hidden="1" x14ac:dyDescent="0.2"/>
    <row r="1932" ht="12.75" hidden="1" x14ac:dyDescent="0.2"/>
    <row r="1933" ht="12.75" hidden="1" x14ac:dyDescent="0.2"/>
    <row r="1934" ht="12.75" hidden="1" x14ac:dyDescent="0.2"/>
    <row r="1935" ht="12.75" hidden="1" x14ac:dyDescent="0.2"/>
    <row r="1936" ht="12.75" hidden="1" x14ac:dyDescent="0.2"/>
    <row r="1937" ht="12.75" hidden="1" x14ac:dyDescent="0.2"/>
    <row r="1938" ht="12.75" hidden="1" x14ac:dyDescent="0.2"/>
    <row r="1939" ht="12.75" hidden="1" x14ac:dyDescent="0.2"/>
    <row r="1940" ht="12.75" hidden="1" x14ac:dyDescent="0.2"/>
    <row r="1941" ht="12.75" hidden="1" x14ac:dyDescent="0.2"/>
    <row r="1942" ht="12.75" hidden="1" x14ac:dyDescent="0.2"/>
    <row r="1943" ht="12.75" hidden="1" x14ac:dyDescent="0.2"/>
    <row r="1944" ht="12.75" hidden="1" x14ac:dyDescent="0.2"/>
    <row r="1945" ht="12.75" hidden="1" x14ac:dyDescent="0.2"/>
    <row r="1946" ht="12.75" hidden="1" x14ac:dyDescent="0.2"/>
    <row r="1947" ht="12.75" hidden="1" x14ac:dyDescent="0.2"/>
    <row r="1948" ht="12.75" hidden="1" x14ac:dyDescent="0.2"/>
    <row r="1949" ht="12.75" hidden="1" x14ac:dyDescent="0.2"/>
    <row r="1950" ht="12.75" hidden="1" x14ac:dyDescent="0.2"/>
    <row r="1951" ht="12.75" hidden="1" x14ac:dyDescent="0.2"/>
    <row r="1952" ht="12.75" hidden="1" x14ac:dyDescent="0.2"/>
    <row r="1953" ht="12.75" hidden="1" x14ac:dyDescent="0.2"/>
    <row r="1954" ht="12.75" hidden="1" x14ac:dyDescent="0.2"/>
    <row r="1955" ht="12.75" hidden="1" x14ac:dyDescent="0.2"/>
    <row r="1956" ht="12.75" hidden="1" x14ac:dyDescent="0.2"/>
    <row r="1957" ht="12.75" hidden="1" x14ac:dyDescent="0.2"/>
    <row r="1958" ht="12.75" hidden="1" x14ac:dyDescent="0.2"/>
    <row r="1959" ht="12.75" hidden="1" x14ac:dyDescent="0.2"/>
    <row r="1960" ht="12.75" hidden="1" x14ac:dyDescent="0.2"/>
    <row r="1961" ht="12.75" hidden="1" x14ac:dyDescent="0.2"/>
    <row r="1962" ht="12.75" hidden="1" x14ac:dyDescent="0.2"/>
    <row r="1963" ht="12.75" hidden="1" x14ac:dyDescent="0.2"/>
    <row r="1964" ht="12.75" hidden="1" x14ac:dyDescent="0.2"/>
    <row r="1965" ht="12.75" hidden="1" x14ac:dyDescent="0.2"/>
    <row r="1966" ht="12.75" hidden="1" x14ac:dyDescent="0.2"/>
    <row r="1967" ht="12.75" hidden="1" x14ac:dyDescent="0.2"/>
    <row r="1968" ht="12.75" hidden="1" x14ac:dyDescent="0.2"/>
    <row r="1969" ht="12.75" hidden="1" x14ac:dyDescent="0.2"/>
    <row r="1970" ht="12.75" hidden="1" x14ac:dyDescent="0.2"/>
    <row r="1971" ht="12.75" hidden="1" x14ac:dyDescent="0.2"/>
    <row r="1972" ht="12.75" hidden="1" x14ac:dyDescent="0.2"/>
    <row r="1973" ht="12.75" hidden="1" x14ac:dyDescent="0.2"/>
    <row r="1974" ht="12.75" hidden="1" x14ac:dyDescent="0.2"/>
    <row r="1975" ht="12.75" hidden="1" x14ac:dyDescent="0.2"/>
    <row r="1976" ht="12.75" hidden="1" x14ac:dyDescent="0.2"/>
    <row r="1977" ht="12.75" hidden="1" x14ac:dyDescent="0.2"/>
    <row r="1978" ht="12.75" hidden="1" x14ac:dyDescent="0.2"/>
    <row r="1979" ht="12.75" hidden="1" x14ac:dyDescent="0.2"/>
    <row r="1980" ht="12.75" hidden="1" x14ac:dyDescent="0.2"/>
    <row r="1981" ht="12.75" hidden="1" x14ac:dyDescent="0.2"/>
    <row r="1982" ht="12.75" hidden="1" x14ac:dyDescent="0.2"/>
    <row r="1983" ht="12.75" hidden="1" x14ac:dyDescent="0.2"/>
    <row r="1984" ht="12.75" hidden="1" x14ac:dyDescent="0.2"/>
    <row r="1985" ht="12.75" hidden="1" x14ac:dyDescent="0.2"/>
    <row r="1986" ht="12.75" hidden="1" x14ac:dyDescent="0.2"/>
    <row r="1987" ht="12.75" hidden="1" x14ac:dyDescent="0.2"/>
    <row r="1988" ht="12.75" hidden="1" x14ac:dyDescent="0.2"/>
    <row r="1989" ht="12.75" hidden="1" x14ac:dyDescent="0.2"/>
    <row r="1990" ht="12.75" hidden="1" x14ac:dyDescent="0.2"/>
    <row r="1991" ht="12.75" hidden="1" x14ac:dyDescent="0.2"/>
    <row r="1992" ht="12.75" hidden="1" x14ac:dyDescent="0.2"/>
    <row r="1993" ht="12.75" hidden="1" x14ac:dyDescent="0.2"/>
    <row r="1994" ht="12.75" hidden="1" x14ac:dyDescent="0.2"/>
    <row r="1995" ht="12.75" hidden="1" x14ac:dyDescent="0.2"/>
    <row r="1996" ht="12.75" hidden="1" x14ac:dyDescent="0.2"/>
    <row r="1997" ht="12.75" hidden="1" x14ac:dyDescent="0.2"/>
    <row r="1998" ht="12.75" hidden="1" x14ac:dyDescent="0.2"/>
    <row r="1999" ht="12.75" hidden="1" x14ac:dyDescent="0.2"/>
    <row r="2000" ht="12.75" hidden="1" x14ac:dyDescent="0.2"/>
    <row r="2001" ht="12.75" hidden="1" x14ac:dyDescent="0.2"/>
    <row r="2002" ht="12.75" hidden="1" x14ac:dyDescent="0.2"/>
    <row r="2003" ht="12.75" hidden="1" x14ac:dyDescent="0.2"/>
    <row r="2004" ht="12.75" hidden="1" x14ac:dyDescent="0.2"/>
    <row r="2005" ht="12.75" hidden="1" x14ac:dyDescent="0.2"/>
    <row r="2006" ht="12.75" hidden="1" x14ac:dyDescent="0.2"/>
    <row r="2007" ht="12.75" hidden="1" x14ac:dyDescent="0.2"/>
    <row r="2008" ht="12.75" hidden="1" x14ac:dyDescent="0.2"/>
    <row r="2009" ht="12.75" hidden="1" x14ac:dyDescent="0.2"/>
    <row r="2010" ht="12.75" hidden="1" x14ac:dyDescent="0.2"/>
    <row r="2011" ht="12.75" hidden="1" x14ac:dyDescent="0.2"/>
    <row r="2012" ht="12.75" hidden="1" x14ac:dyDescent="0.2"/>
    <row r="2013" ht="12.75" hidden="1" x14ac:dyDescent="0.2"/>
    <row r="2014" ht="12.75" hidden="1" x14ac:dyDescent="0.2"/>
    <row r="2015" ht="12.75" hidden="1" x14ac:dyDescent="0.2"/>
    <row r="2016" ht="12.75" hidden="1" x14ac:dyDescent="0.2"/>
    <row r="2017" ht="12.75" hidden="1" x14ac:dyDescent="0.2"/>
    <row r="2018" ht="12.75" hidden="1" x14ac:dyDescent="0.2"/>
    <row r="2019" ht="12.75" hidden="1" x14ac:dyDescent="0.2"/>
    <row r="2020" ht="12.75" hidden="1" x14ac:dyDescent="0.2"/>
    <row r="2021" ht="12.75" hidden="1" x14ac:dyDescent="0.2"/>
    <row r="2022" ht="12.75" hidden="1" x14ac:dyDescent="0.2"/>
    <row r="2023" ht="12.75" hidden="1" x14ac:dyDescent="0.2"/>
    <row r="2024" ht="12.75" hidden="1" x14ac:dyDescent="0.2"/>
    <row r="2025" ht="12.75" hidden="1" x14ac:dyDescent="0.2"/>
    <row r="2026" ht="12.75" hidden="1" x14ac:dyDescent="0.2"/>
    <row r="2027" ht="12.75" hidden="1" x14ac:dyDescent="0.2"/>
    <row r="2028" ht="12.75" hidden="1" x14ac:dyDescent="0.2"/>
    <row r="2029" ht="12.75" hidden="1" x14ac:dyDescent="0.2"/>
    <row r="2030" ht="12.75" hidden="1" x14ac:dyDescent="0.2"/>
    <row r="2031" ht="12.75" hidden="1" x14ac:dyDescent="0.2"/>
    <row r="2032" ht="12.75" hidden="1" x14ac:dyDescent="0.2"/>
    <row r="2033" ht="12.75" hidden="1" x14ac:dyDescent="0.2"/>
    <row r="2034" ht="12.75" hidden="1" x14ac:dyDescent="0.2"/>
    <row r="2035" ht="12.75" hidden="1" x14ac:dyDescent="0.2"/>
    <row r="2036" ht="12.75" hidden="1" x14ac:dyDescent="0.2"/>
    <row r="2037" ht="12.75" hidden="1" x14ac:dyDescent="0.2"/>
    <row r="2038" ht="12.75" hidden="1" x14ac:dyDescent="0.2"/>
    <row r="2039" ht="12.75" hidden="1" x14ac:dyDescent="0.2"/>
    <row r="2040" ht="12.75" hidden="1" x14ac:dyDescent="0.2"/>
    <row r="2041" ht="12.75" hidden="1" x14ac:dyDescent="0.2"/>
    <row r="2042" ht="12.75" hidden="1" x14ac:dyDescent="0.2"/>
    <row r="2043" ht="12.75" hidden="1" x14ac:dyDescent="0.2"/>
    <row r="2044" ht="12.75" hidden="1" x14ac:dyDescent="0.2"/>
    <row r="2045" ht="12.75" hidden="1" x14ac:dyDescent="0.2"/>
    <row r="2046" ht="12.75" hidden="1" x14ac:dyDescent="0.2"/>
    <row r="2047" ht="12.75" hidden="1" x14ac:dyDescent="0.2"/>
    <row r="2048" ht="12.75" hidden="1" x14ac:dyDescent="0.2"/>
    <row r="2049" ht="12.75" hidden="1" x14ac:dyDescent="0.2"/>
    <row r="2050" ht="12.75" hidden="1" x14ac:dyDescent="0.2"/>
    <row r="2051" ht="12.75" hidden="1" x14ac:dyDescent="0.2"/>
    <row r="2052" ht="12.75" hidden="1" x14ac:dyDescent="0.2"/>
    <row r="2053" ht="12.75" hidden="1" x14ac:dyDescent="0.2"/>
    <row r="2054" ht="12.75" hidden="1" x14ac:dyDescent="0.2"/>
    <row r="2055" ht="12.75" hidden="1" x14ac:dyDescent="0.2"/>
    <row r="2056" ht="12.75" hidden="1" x14ac:dyDescent="0.2"/>
    <row r="2057" ht="12.75" hidden="1" x14ac:dyDescent="0.2"/>
    <row r="2058" ht="12.75" hidden="1" x14ac:dyDescent="0.2"/>
    <row r="2059" ht="12.75" hidden="1" x14ac:dyDescent="0.2"/>
    <row r="2060" ht="12.75" hidden="1" x14ac:dyDescent="0.2"/>
    <row r="2061" ht="12.75" hidden="1" x14ac:dyDescent="0.2"/>
    <row r="2062" ht="12.75" hidden="1" x14ac:dyDescent="0.2"/>
    <row r="2063" ht="12.75" hidden="1" x14ac:dyDescent="0.2"/>
    <row r="2064" ht="12.75" hidden="1" x14ac:dyDescent="0.2"/>
    <row r="2065" ht="12.75" hidden="1" x14ac:dyDescent="0.2"/>
    <row r="2066" ht="12.75" hidden="1" x14ac:dyDescent="0.2"/>
    <row r="2067" ht="12.75" hidden="1" x14ac:dyDescent="0.2"/>
    <row r="2068" ht="12.75" hidden="1" x14ac:dyDescent="0.2"/>
    <row r="2069" ht="12.75" hidden="1" x14ac:dyDescent="0.2"/>
    <row r="2070" ht="12.75" hidden="1" x14ac:dyDescent="0.2"/>
    <row r="2071" ht="12.75" hidden="1" x14ac:dyDescent="0.2"/>
    <row r="2072" ht="12.75" hidden="1" x14ac:dyDescent="0.2"/>
    <row r="2073" ht="12.75" hidden="1" x14ac:dyDescent="0.2"/>
    <row r="2074" ht="12.75" hidden="1" x14ac:dyDescent="0.2"/>
    <row r="2075" ht="12.75" hidden="1" x14ac:dyDescent="0.2"/>
    <row r="2076" ht="12.75" hidden="1" x14ac:dyDescent="0.2"/>
    <row r="2077" ht="12.75" hidden="1" x14ac:dyDescent="0.2"/>
    <row r="2078" ht="12.75" hidden="1" x14ac:dyDescent="0.2"/>
    <row r="2079" ht="12.75" hidden="1" x14ac:dyDescent="0.2"/>
    <row r="2080" ht="12.75" hidden="1" x14ac:dyDescent="0.2"/>
    <row r="2081" ht="12.75" hidden="1" x14ac:dyDescent="0.2"/>
    <row r="2082" ht="12.75" hidden="1" x14ac:dyDescent="0.2"/>
    <row r="2083" ht="12.75" hidden="1" x14ac:dyDescent="0.2"/>
    <row r="2084" ht="12.75" hidden="1" x14ac:dyDescent="0.2"/>
    <row r="2085" ht="12.75" hidden="1" x14ac:dyDescent="0.2"/>
    <row r="2086" ht="12.75" hidden="1" x14ac:dyDescent="0.2"/>
    <row r="2087" ht="12.75" hidden="1" x14ac:dyDescent="0.2"/>
    <row r="2088" ht="12.75" hidden="1" x14ac:dyDescent="0.2"/>
    <row r="2089" ht="12.75" hidden="1" x14ac:dyDescent="0.2"/>
    <row r="2090" ht="12.75" hidden="1" x14ac:dyDescent="0.2"/>
    <row r="2091" ht="12.75" hidden="1" x14ac:dyDescent="0.2"/>
    <row r="2092" ht="12.75" hidden="1" x14ac:dyDescent="0.2"/>
    <row r="2093" ht="12.75" hidden="1" x14ac:dyDescent="0.2"/>
    <row r="2094" ht="12.75" hidden="1" x14ac:dyDescent="0.2"/>
    <row r="2095" ht="12.75" hidden="1" x14ac:dyDescent="0.2"/>
    <row r="2096" ht="12.75" hidden="1" x14ac:dyDescent="0.2"/>
    <row r="2097" ht="12.75" hidden="1" x14ac:dyDescent="0.2"/>
    <row r="2098" ht="12.75" hidden="1" x14ac:dyDescent="0.2"/>
    <row r="2099" ht="12.75" hidden="1" x14ac:dyDescent="0.2"/>
    <row r="2100" ht="12.75" hidden="1" x14ac:dyDescent="0.2"/>
    <row r="2101" ht="12.75" hidden="1" x14ac:dyDescent="0.2"/>
    <row r="2102" ht="12.75" hidden="1" x14ac:dyDescent="0.2"/>
    <row r="2103" ht="12.75" hidden="1" x14ac:dyDescent="0.2"/>
    <row r="2104" ht="12.75" hidden="1" x14ac:dyDescent="0.2"/>
    <row r="2105" ht="12.75" hidden="1" x14ac:dyDescent="0.2"/>
    <row r="2106" ht="12.75" hidden="1" x14ac:dyDescent="0.2"/>
    <row r="2107" ht="12.75" hidden="1" x14ac:dyDescent="0.2"/>
    <row r="2108" ht="12.75" hidden="1" x14ac:dyDescent="0.2"/>
    <row r="2109" ht="12.75" hidden="1" x14ac:dyDescent="0.2"/>
    <row r="2110" ht="12.75" hidden="1" x14ac:dyDescent="0.2"/>
    <row r="2111" ht="12.75" hidden="1" x14ac:dyDescent="0.2"/>
    <row r="2112" ht="12.75" hidden="1" x14ac:dyDescent="0.2"/>
    <row r="2113" ht="12.75" hidden="1" x14ac:dyDescent="0.2"/>
    <row r="2114" ht="12.75" hidden="1" x14ac:dyDescent="0.2"/>
    <row r="2115" ht="12.75" hidden="1" x14ac:dyDescent="0.2"/>
    <row r="2116" ht="12.75" hidden="1" x14ac:dyDescent="0.2"/>
    <row r="2117" ht="12.75" hidden="1" x14ac:dyDescent="0.2"/>
    <row r="2118" ht="12.75" hidden="1" x14ac:dyDescent="0.2"/>
    <row r="2119" ht="12.75" hidden="1" x14ac:dyDescent="0.2"/>
    <row r="2120" ht="12.75" hidden="1" x14ac:dyDescent="0.2"/>
    <row r="2121" ht="12.75" hidden="1" x14ac:dyDescent="0.2"/>
    <row r="2122" ht="12.75" hidden="1" x14ac:dyDescent="0.2"/>
    <row r="2123" ht="12.75" hidden="1" x14ac:dyDescent="0.2"/>
    <row r="2124" ht="12.75" hidden="1" x14ac:dyDescent="0.2"/>
    <row r="2125" ht="12.75" hidden="1" x14ac:dyDescent="0.2"/>
    <row r="2126" ht="12.75" hidden="1" x14ac:dyDescent="0.2"/>
    <row r="2127" ht="12.75" hidden="1" x14ac:dyDescent="0.2"/>
    <row r="2128" ht="12.75" hidden="1" x14ac:dyDescent="0.2"/>
    <row r="2129" ht="12.75" hidden="1" x14ac:dyDescent="0.2"/>
    <row r="2130" ht="12.75" hidden="1" x14ac:dyDescent="0.2"/>
    <row r="2131" ht="12.75" hidden="1" x14ac:dyDescent="0.2"/>
    <row r="2132" ht="12.75" hidden="1" x14ac:dyDescent="0.2"/>
    <row r="2133" ht="12.75" hidden="1" x14ac:dyDescent="0.2"/>
    <row r="2134" ht="12.75" hidden="1" x14ac:dyDescent="0.2"/>
    <row r="2135" ht="12.75" hidden="1" x14ac:dyDescent="0.2"/>
    <row r="2136" ht="12.75" hidden="1" x14ac:dyDescent="0.2"/>
    <row r="2137" ht="12.75" hidden="1" x14ac:dyDescent="0.2"/>
    <row r="2138" ht="12.75" hidden="1" x14ac:dyDescent="0.2"/>
    <row r="2139" ht="12.75" hidden="1" x14ac:dyDescent="0.2"/>
    <row r="2140" ht="12.75" hidden="1" x14ac:dyDescent="0.2"/>
    <row r="2141" ht="12.75" hidden="1" x14ac:dyDescent="0.2"/>
    <row r="2142" ht="12.75" hidden="1" x14ac:dyDescent="0.2"/>
    <row r="2143" ht="12.75" hidden="1" x14ac:dyDescent="0.2"/>
    <row r="2144" ht="12.75" hidden="1" x14ac:dyDescent="0.2"/>
    <row r="2145" ht="12.75" hidden="1" x14ac:dyDescent="0.2"/>
    <row r="2146" ht="12.75" hidden="1" x14ac:dyDescent="0.2"/>
    <row r="2147" ht="12.75" hidden="1" x14ac:dyDescent="0.2"/>
    <row r="2148" ht="12.75" hidden="1" x14ac:dyDescent="0.2"/>
    <row r="2149" ht="12.75" hidden="1" x14ac:dyDescent="0.2"/>
    <row r="2150" ht="12.75" hidden="1" x14ac:dyDescent="0.2"/>
    <row r="2151" ht="12.75" hidden="1" x14ac:dyDescent="0.2"/>
    <row r="2152" ht="12.75" hidden="1" x14ac:dyDescent="0.2"/>
    <row r="2153" ht="12.75" hidden="1" x14ac:dyDescent="0.2"/>
    <row r="2154" ht="12.75" hidden="1" x14ac:dyDescent="0.2"/>
    <row r="2155" ht="12.75" hidden="1" x14ac:dyDescent="0.2"/>
    <row r="2156" ht="12.75" hidden="1" x14ac:dyDescent="0.2"/>
    <row r="2157" ht="12.75" hidden="1" x14ac:dyDescent="0.2"/>
    <row r="2158" ht="12.75" hidden="1" x14ac:dyDescent="0.2"/>
    <row r="2159" ht="12.75" hidden="1" x14ac:dyDescent="0.2"/>
    <row r="2160" ht="12.75" hidden="1" x14ac:dyDescent="0.2"/>
    <row r="2161" ht="12.75" hidden="1" x14ac:dyDescent="0.2"/>
    <row r="2162" ht="12.75" hidden="1" x14ac:dyDescent="0.2"/>
    <row r="2163" ht="12.75" hidden="1" x14ac:dyDescent="0.2"/>
    <row r="2164" ht="12.75" hidden="1" x14ac:dyDescent="0.2"/>
    <row r="2165" ht="12.75" hidden="1" x14ac:dyDescent="0.2"/>
    <row r="2166" ht="12.75" hidden="1" x14ac:dyDescent="0.2"/>
    <row r="2167" ht="12.75" hidden="1" x14ac:dyDescent="0.2"/>
    <row r="2168" ht="12.75" hidden="1" x14ac:dyDescent="0.2"/>
    <row r="2169" ht="12.75" hidden="1" x14ac:dyDescent="0.2"/>
    <row r="2170" ht="12.75" hidden="1" x14ac:dyDescent="0.2"/>
    <row r="2171" ht="12.75" hidden="1" x14ac:dyDescent="0.2"/>
    <row r="2172" ht="12.75" hidden="1" x14ac:dyDescent="0.2"/>
    <row r="2173" ht="12.75" hidden="1" x14ac:dyDescent="0.2"/>
    <row r="2174" ht="12.75" hidden="1" x14ac:dyDescent="0.2"/>
    <row r="2175" ht="12.75" hidden="1" x14ac:dyDescent="0.2"/>
    <row r="2176" ht="12.75" hidden="1" x14ac:dyDescent="0.2"/>
    <row r="2177" ht="12.75" hidden="1" x14ac:dyDescent="0.2"/>
    <row r="2178" ht="12.75" hidden="1" x14ac:dyDescent="0.2"/>
    <row r="2179" ht="12.75" hidden="1" x14ac:dyDescent="0.2"/>
    <row r="2180" ht="12.75" hidden="1" x14ac:dyDescent="0.2"/>
    <row r="2181" ht="12.75" hidden="1" x14ac:dyDescent="0.2"/>
    <row r="2182" ht="12.75" hidden="1" x14ac:dyDescent="0.2"/>
    <row r="2183" ht="12.75" hidden="1" x14ac:dyDescent="0.2"/>
    <row r="2184" ht="12.75" hidden="1" x14ac:dyDescent="0.2"/>
    <row r="2185" ht="12.75" hidden="1" x14ac:dyDescent="0.2"/>
    <row r="2186" ht="12.75" hidden="1" x14ac:dyDescent="0.2"/>
    <row r="2187" ht="12.75" hidden="1" x14ac:dyDescent="0.2"/>
    <row r="2188" ht="12.75" hidden="1" x14ac:dyDescent="0.2"/>
    <row r="2189" ht="12.75" hidden="1" x14ac:dyDescent="0.2"/>
    <row r="2190" ht="12.75" hidden="1" x14ac:dyDescent="0.2"/>
    <row r="2191" ht="12.75" hidden="1" x14ac:dyDescent="0.2"/>
    <row r="2192" ht="12.75" hidden="1" x14ac:dyDescent="0.2"/>
    <row r="2193" ht="12.75" hidden="1" x14ac:dyDescent="0.2"/>
    <row r="2194" ht="12.75" hidden="1" x14ac:dyDescent="0.2"/>
    <row r="2195" ht="12.75" hidden="1" x14ac:dyDescent="0.2"/>
    <row r="2196" ht="12.75" hidden="1" x14ac:dyDescent="0.2"/>
    <row r="2197" ht="12.75" hidden="1" x14ac:dyDescent="0.2"/>
    <row r="2198" ht="12.75" hidden="1" x14ac:dyDescent="0.2"/>
    <row r="2199" ht="12.75" hidden="1" x14ac:dyDescent="0.2"/>
    <row r="2200" ht="12.75" hidden="1" x14ac:dyDescent="0.2"/>
    <row r="2201" ht="12.75" hidden="1" x14ac:dyDescent="0.2"/>
    <row r="2202" ht="12.75" hidden="1" x14ac:dyDescent="0.2"/>
    <row r="2203" ht="12.75" hidden="1" x14ac:dyDescent="0.2"/>
    <row r="2204" ht="12.75" hidden="1" x14ac:dyDescent="0.2"/>
    <row r="2205" ht="12.75" hidden="1" x14ac:dyDescent="0.2"/>
    <row r="2206" ht="12.75" hidden="1" x14ac:dyDescent="0.2"/>
    <row r="2207" ht="12.75" hidden="1" x14ac:dyDescent="0.2"/>
    <row r="2208" ht="12.75" hidden="1" x14ac:dyDescent="0.2"/>
    <row r="2209" ht="12.75" hidden="1" x14ac:dyDescent="0.2"/>
    <row r="2210" ht="12.75" hidden="1" x14ac:dyDescent="0.2"/>
    <row r="2211" ht="12.75" hidden="1" x14ac:dyDescent="0.2"/>
    <row r="2212" ht="12.75" hidden="1" x14ac:dyDescent="0.2"/>
    <row r="2213" ht="12.75" hidden="1" x14ac:dyDescent="0.2"/>
    <row r="2214" ht="12.75" hidden="1" x14ac:dyDescent="0.2"/>
    <row r="2215" ht="12.75" hidden="1" x14ac:dyDescent="0.2"/>
    <row r="2216" ht="12.75" hidden="1" x14ac:dyDescent="0.2"/>
    <row r="2217" ht="12.75" hidden="1" x14ac:dyDescent="0.2"/>
    <row r="2218" ht="12.75" hidden="1" x14ac:dyDescent="0.2"/>
    <row r="2219" ht="12.75" hidden="1" x14ac:dyDescent="0.2"/>
    <row r="2220" ht="12.75" hidden="1" x14ac:dyDescent="0.2"/>
    <row r="2221" ht="12.75" hidden="1" x14ac:dyDescent="0.2"/>
    <row r="2222" ht="12.75" hidden="1" x14ac:dyDescent="0.2"/>
    <row r="2223" ht="12.75" hidden="1" x14ac:dyDescent="0.2"/>
    <row r="2224" ht="12.75" hidden="1" x14ac:dyDescent="0.2"/>
    <row r="2225" ht="12.75" hidden="1" x14ac:dyDescent="0.2"/>
    <row r="2226" ht="12.75" hidden="1" x14ac:dyDescent="0.2"/>
    <row r="2227" ht="12.75" hidden="1" x14ac:dyDescent="0.2"/>
    <row r="2228" ht="12.75" hidden="1" x14ac:dyDescent="0.2"/>
    <row r="2229" ht="12.75" hidden="1" x14ac:dyDescent="0.2"/>
    <row r="2230" ht="12.75" hidden="1" x14ac:dyDescent="0.2"/>
    <row r="2231" ht="12.75" hidden="1" x14ac:dyDescent="0.2"/>
    <row r="2232" ht="12.75" hidden="1" x14ac:dyDescent="0.2"/>
    <row r="2233" ht="12.75" hidden="1" x14ac:dyDescent="0.2"/>
    <row r="2234" ht="12.75" hidden="1" x14ac:dyDescent="0.2"/>
    <row r="2235" ht="12.75" hidden="1" x14ac:dyDescent="0.2"/>
    <row r="2236" ht="12.75" hidden="1" x14ac:dyDescent="0.2"/>
    <row r="2237" ht="12.75" hidden="1" x14ac:dyDescent="0.2"/>
    <row r="2238" ht="12.75" hidden="1" x14ac:dyDescent="0.2"/>
    <row r="2239" ht="12.75" hidden="1" x14ac:dyDescent="0.2"/>
    <row r="2240" ht="12.75" hidden="1" x14ac:dyDescent="0.2"/>
    <row r="2241" ht="12.75" hidden="1" x14ac:dyDescent="0.2"/>
    <row r="2242" ht="12.75" hidden="1" x14ac:dyDescent="0.2"/>
    <row r="2243" ht="12.75" hidden="1" x14ac:dyDescent="0.2"/>
    <row r="2244" ht="12.75" hidden="1" x14ac:dyDescent="0.2"/>
    <row r="2245" ht="12.75" hidden="1" x14ac:dyDescent="0.2"/>
    <row r="2246" ht="12.75" hidden="1" x14ac:dyDescent="0.2"/>
    <row r="2247" ht="12.75" hidden="1" x14ac:dyDescent="0.2"/>
    <row r="2248" ht="12.75" hidden="1" x14ac:dyDescent="0.2"/>
    <row r="2249" ht="12.75" hidden="1" x14ac:dyDescent="0.2"/>
    <row r="2250" ht="12.75" hidden="1" x14ac:dyDescent="0.2"/>
    <row r="2251" ht="12.75" hidden="1" x14ac:dyDescent="0.2"/>
    <row r="2252" ht="12.75" hidden="1" x14ac:dyDescent="0.2"/>
    <row r="2253" ht="12.75" hidden="1" x14ac:dyDescent="0.2"/>
    <row r="2254" ht="12.75" hidden="1" x14ac:dyDescent="0.2"/>
    <row r="2255" ht="12.75" hidden="1" x14ac:dyDescent="0.2"/>
    <row r="2256" ht="12.75" hidden="1" x14ac:dyDescent="0.2"/>
    <row r="2257" ht="12.75" hidden="1" x14ac:dyDescent="0.2"/>
    <row r="2258" ht="12.75" hidden="1" x14ac:dyDescent="0.2"/>
    <row r="2259" ht="12.75" hidden="1" x14ac:dyDescent="0.2"/>
    <row r="2260" ht="12.75" hidden="1" x14ac:dyDescent="0.2"/>
    <row r="2261" ht="12.75" hidden="1" x14ac:dyDescent="0.2"/>
    <row r="2262" ht="12.75" hidden="1" x14ac:dyDescent="0.2"/>
    <row r="2263" ht="12.75" hidden="1" x14ac:dyDescent="0.2"/>
    <row r="2264" ht="12.75" hidden="1" x14ac:dyDescent="0.2"/>
    <row r="2265" ht="12.75" hidden="1" x14ac:dyDescent="0.2"/>
    <row r="2266" ht="12.75" hidden="1" x14ac:dyDescent="0.2"/>
    <row r="2267" ht="12.75" hidden="1" x14ac:dyDescent="0.2"/>
    <row r="2268" ht="12.75" hidden="1" x14ac:dyDescent="0.2"/>
    <row r="2269" ht="12.75" hidden="1" x14ac:dyDescent="0.2"/>
    <row r="2270" ht="12.75" hidden="1" x14ac:dyDescent="0.2"/>
    <row r="2271" ht="12.75" hidden="1" x14ac:dyDescent="0.2"/>
    <row r="2272" ht="12.75" hidden="1" x14ac:dyDescent="0.2"/>
    <row r="2273" ht="12.75" hidden="1" x14ac:dyDescent="0.2"/>
    <row r="2274" ht="12.75" hidden="1" x14ac:dyDescent="0.2"/>
    <row r="2275" ht="12.75" hidden="1" x14ac:dyDescent="0.2"/>
    <row r="2276" ht="12.75" hidden="1" x14ac:dyDescent="0.2"/>
    <row r="2277" ht="12.75" hidden="1" x14ac:dyDescent="0.2"/>
    <row r="2278" ht="12.75" hidden="1" x14ac:dyDescent="0.2"/>
    <row r="2279" ht="12.75" hidden="1" x14ac:dyDescent="0.2"/>
    <row r="2280" ht="12.75" hidden="1" x14ac:dyDescent="0.2"/>
    <row r="2281" ht="12.75" hidden="1" x14ac:dyDescent="0.2"/>
    <row r="2282" ht="12.75" hidden="1" x14ac:dyDescent="0.2"/>
    <row r="2283" ht="12.75" hidden="1" x14ac:dyDescent="0.2"/>
    <row r="2284" ht="12.75" hidden="1" x14ac:dyDescent="0.2"/>
    <row r="2285" ht="12.75" hidden="1" x14ac:dyDescent="0.2"/>
    <row r="2286" ht="12.75" hidden="1" x14ac:dyDescent="0.2"/>
    <row r="2287" ht="12.75" hidden="1" x14ac:dyDescent="0.2"/>
    <row r="2288" ht="12.75" hidden="1" x14ac:dyDescent="0.2"/>
    <row r="2289" ht="12.75" hidden="1" x14ac:dyDescent="0.2"/>
    <row r="2290" ht="12.75" hidden="1" x14ac:dyDescent="0.2"/>
    <row r="2291" ht="12.75" hidden="1" x14ac:dyDescent="0.2"/>
    <row r="2292" ht="12.75" hidden="1" x14ac:dyDescent="0.2"/>
    <row r="2293" ht="12.75" hidden="1" x14ac:dyDescent="0.2"/>
    <row r="2294" ht="12.75" hidden="1" x14ac:dyDescent="0.2"/>
    <row r="2295" ht="12.75" hidden="1" x14ac:dyDescent="0.2"/>
    <row r="2296" ht="12.75" hidden="1" x14ac:dyDescent="0.2"/>
    <row r="2297" ht="12.75" hidden="1" x14ac:dyDescent="0.2"/>
    <row r="2298" ht="12.75" hidden="1" x14ac:dyDescent="0.2"/>
    <row r="2299" ht="12.75" hidden="1" x14ac:dyDescent="0.2"/>
    <row r="2300" ht="12.75" hidden="1" x14ac:dyDescent="0.2"/>
    <row r="2301" ht="12.75" hidden="1" x14ac:dyDescent="0.2"/>
    <row r="2302" ht="12.75" hidden="1" x14ac:dyDescent="0.2"/>
    <row r="2303" ht="12.75" hidden="1" x14ac:dyDescent="0.2"/>
    <row r="2304" ht="12.75" hidden="1" x14ac:dyDescent="0.2"/>
    <row r="2305" ht="12.75" hidden="1" x14ac:dyDescent="0.2"/>
    <row r="2306" ht="12.75" hidden="1" x14ac:dyDescent="0.2"/>
    <row r="2307" ht="12.75" hidden="1" x14ac:dyDescent="0.2"/>
    <row r="2308" ht="12.75" hidden="1" x14ac:dyDescent="0.2"/>
    <row r="2309" ht="12.75" hidden="1" x14ac:dyDescent="0.2"/>
    <row r="2310" ht="12.75" hidden="1" x14ac:dyDescent="0.2"/>
    <row r="2311" ht="12.75" hidden="1" x14ac:dyDescent="0.2"/>
    <row r="2312" ht="12.75" hidden="1" x14ac:dyDescent="0.2"/>
    <row r="2313" ht="12.75" hidden="1" x14ac:dyDescent="0.2"/>
    <row r="2314" ht="12.75" hidden="1" x14ac:dyDescent="0.2"/>
    <row r="2315" ht="12.75" hidden="1" x14ac:dyDescent="0.2"/>
    <row r="2316" ht="12.75" hidden="1" x14ac:dyDescent="0.2"/>
    <row r="2317" ht="12.75" hidden="1" x14ac:dyDescent="0.2"/>
    <row r="2318" ht="12.75" hidden="1" x14ac:dyDescent="0.2"/>
    <row r="2319" ht="12.75" hidden="1" x14ac:dyDescent="0.2"/>
    <row r="2320" ht="12.75" hidden="1" x14ac:dyDescent="0.2"/>
    <row r="2321" ht="12.75" hidden="1" x14ac:dyDescent="0.2"/>
    <row r="2322" ht="12.75" hidden="1" x14ac:dyDescent="0.2"/>
    <row r="2323" ht="12.75" hidden="1" x14ac:dyDescent="0.2"/>
    <row r="2324" ht="12.75" hidden="1" x14ac:dyDescent="0.2"/>
    <row r="2325" ht="12.75" hidden="1" x14ac:dyDescent="0.2"/>
    <row r="2326" ht="12.75" hidden="1" x14ac:dyDescent="0.2"/>
    <row r="2327" ht="12.75" hidden="1" x14ac:dyDescent="0.2"/>
    <row r="2328" ht="12.75" hidden="1" x14ac:dyDescent="0.2"/>
    <row r="2329" ht="12.75" hidden="1" x14ac:dyDescent="0.2"/>
    <row r="2330" ht="12.75" hidden="1" x14ac:dyDescent="0.2"/>
    <row r="2331" ht="12.75" hidden="1" x14ac:dyDescent="0.2"/>
    <row r="2332" ht="12.75" hidden="1" x14ac:dyDescent="0.2"/>
    <row r="2333" ht="12.75" hidden="1" x14ac:dyDescent="0.2"/>
    <row r="2334" ht="12.75" hidden="1" x14ac:dyDescent="0.2"/>
    <row r="2335" ht="12.75" hidden="1" x14ac:dyDescent="0.2"/>
    <row r="2336" ht="12.75" hidden="1" x14ac:dyDescent="0.2"/>
    <row r="2337" ht="12.75" hidden="1" x14ac:dyDescent="0.2"/>
    <row r="2338" ht="12.75" hidden="1" x14ac:dyDescent="0.2"/>
    <row r="2339" ht="12.75" hidden="1" x14ac:dyDescent="0.2"/>
    <row r="2340" ht="12.75" hidden="1" x14ac:dyDescent="0.2"/>
    <row r="2341" ht="12.75" hidden="1" x14ac:dyDescent="0.2"/>
    <row r="2342" ht="12.75" hidden="1" x14ac:dyDescent="0.2"/>
    <row r="2343" ht="12.75" hidden="1" x14ac:dyDescent="0.2"/>
    <row r="2344" ht="12.75" hidden="1" x14ac:dyDescent="0.2"/>
    <row r="2345" ht="12.75" hidden="1" x14ac:dyDescent="0.2"/>
    <row r="2346" ht="12.75" hidden="1" x14ac:dyDescent="0.2"/>
    <row r="2347" ht="12.75" hidden="1" x14ac:dyDescent="0.2"/>
    <row r="2348" ht="12.75" hidden="1" x14ac:dyDescent="0.2"/>
    <row r="2349" ht="12.75" hidden="1" x14ac:dyDescent="0.2"/>
    <row r="2350" ht="12.75" hidden="1" x14ac:dyDescent="0.2"/>
    <row r="2351" ht="12.75" hidden="1" x14ac:dyDescent="0.2"/>
    <row r="2352" ht="12.75" hidden="1" x14ac:dyDescent="0.2"/>
    <row r="2353" ht="12.75" hidden="1" x14ac:dyDescent="0.2"/>
    <row r="2354" ht="12.75" hidden="1" x14ac:dyDescent="0.2"/>
    <row r="2355" ht="12.75" hidden="1" x14ac:dyDescent="0.2"/>
    <row r="2356" ht="12.75" hidden="1" x14ac:dyDescent="0.2"/>
    <row r="2357" ht="12.75" hidden="1" x14ac:dyDescent="0.2"/>
    <row r="2358" ht="12.75" hidden="1" x14ac:dyDescent="0.2"/>
    <row r="2359" ht="12.75" hidden="1" x14ac:dyDescent="0.2"/>
    <row r="2360" ht="12.75" hidden="1" x14ac:dyDescent="0.2"/>
    <row r="2361" ht="12.75" hidden="1" x14ac:dyDescent="0.2"/>
    <row r="2362" ht="12.75" hidden="1" x14ac:dyDescent="0.2"/>
    <row r="2363" ht="12.75" hidden="1" x14ac:dyDescent="0.2"/>
    <row r="2364" ht="12.75" hidden="1" x14ac:dyDescent="0.2"/>
    <row r="2365" ht="12.75" hidden="1" x14ac:dyDescent="0.2"/>
    <row r="2366" ht="12.75" hidden="1" x14ac:dyDescent="0.2"/>
    <row r="2367" ht="12.75" hidden="1" x14ac:dyDescent="0.2"/>
    <row r="2368" ht="12.75" hidden="1" x14ac:dyDescent="0.2"/>
    <row r="2369" ht="12.75" hidden="1" x14ac:dyDescent="0.2"/>
    <row r="2370" ht="12.75" hidden="1" x14ac:dyDescent="0.2"/>
    <row r="2371" ht="12.75" hidden="1" x14ac:dyDescent="0.2"/>
    <row r="2372" ht="12.75" hidden="1" x14ac:dyDescent="0.2"/>
    <row r="2373" ht="12.75" hidden="1" x14ac:dyDescent="0.2"/>
    <row r="2374" ht="12.75" hidden="1" x14ac:dyDescent="0.2"/>
    <row r="2375" ht="12.75" hidden="1" x14ac:dyDescent="0.2"/>
    <row r="2376" ht="12.75" hidden="1" x14ac:dyDescent="0.2"/>
    <row r="2377" ht="12.75" hidden="1" x14ac:dyDescent="0.2"/>
    <row r="2378" ht="12.75" hidden="1" x14ac:dyDescent="0.2"/>
    <row r="2379" ht="12.75" hidden="1" x14ac:dyDescent="0.2"/>
    <row r="2380" ht="12.75" hidden="1" x14ac:dyDescent="0.2"/>
    <row r="2381" ht="12.75" hidden="1" x14ac:dyDescent="0.2"/>
    <row r="2382" ht="12.75" hidden="1" x14ac:dyDescent="0.2"/>
    <row r="2383" ht="12.75" hidden="1" x14ac:dyDescent="0.2"/>
    <row r="2384" ht="12.75" hidden="1" x14ac:dyDescent="0.2"/>
    <row r="2385" ht="12.75" hidden="1" x14ac:dyDescent="0.2"/>
    <row r="2386" ht="12.75" hidden="1" x14ac:dyDescent="0.2"/>
    <row r="2387" ht="12.75" hidden="1" x14ac:dyDescent="0.2"/>
    <row r="2388" ht="12.75" hidden="1" x14ac:dyDescent="0.2"/>
    <row r="2389" ht="12.75" hidden="1" x14ac:dyDescent="0.2"/>
    <row r="2390" ht="12.75" hidden="1" x14ac:dyDescent="0.2"/>
    <row r="2391" ht="12.75" hidden="1" x14ac:dyDescent="0.2"/>
    <row r="2392" ht="12.75" hidden="1" x14ac:dyDescent="0.2"/>
    <row r="2393" ht="12.75" hidden="1" x14ac:dyDescent="0.2"/>
    <row r="2394" ht="12.75" hidden="1" x14ac:dyDescent="0.2"/>
    <row r="2395" ht="12.75" hidden="1" x14ac:dyDescent="0.2"/>
    <row r="2396" ht="12.75" hidden="1" x14ac:dyDescent="0.2"/>
    <row r="2397" ht="12.75" hidden="1" x14ac:dyDescent="0.2"/>
    <row r="2398" ht="12.75" hidden="1" x14ac:dyDescent="0.2"/>
    <row r="2399" ht="12.75" hidden="1" x14ac:dyDescent="0.2"/>
    <row r="2400" ht="12.75" hidden="1" x14ac:dyDescent="0.2"/>
    <row r="2401" ht="12.75" hidden="1" x14ac:dyDescent="0.2"/>
    <row r="2402" ht="12.75" hidden="1" x14ac:dyDescent="0.2"/>
    <row r="2403" ht="12.75" hidden="1" x14ac:dyDescent="0.2"/>
    <row r="2404" ht="12.75" hidden="1" x14ac:dyDescent="0.2"/>
    <row r="2405" ht="12.75" hidden="1" x14ac:dyDescent="0.2"/>
    <row r="2406" ht="12.75" hidden="1" x14ac:dyDescent="0.2"/>
    <row r="2407" ht="12.75" hidden="1" x14ac:dyDescent="0.2"/>
    <row r="2408" ht="12.75" hidden="1" x14ac:dyDescent="0.2"/>
    <row r="2409" ht="12.75" hidden="1" x14ac:dyDescent="0.2"/>
    <row r="2410" ht="12.75" hidden="1" x14ac:dyDescent="0.2"/>
    <row r="2411" ht="12.75" hidden="1" x14ac:dyDescent="0.2"/>
    <row r="2412" ht="12.75" hidden="1" x14ac:dyDescent="0.2"/>
    <row r="2413" ht="12.75" hidden="1" x14ac:dyDescent="0.2"/>
    <row r="2414" ht="12.75" hidden="1" x14ac:dyDescent="0.2"/>
    <row r="2415" ht="12.75" hidden="1" x14ac:dyDescent="0.2"/>
    <row r="2416" ht="12.75" hidden="1" x14ac:dyDescent="0.2"/>
    <row r="2417" ht="12.75" hidden="1" x14ac:dyDescent="0.2"/>
    <row r="2418" ht="12.75" hidden="1" x14ac:dyDescent="0.2"/>
    <row r="2419" ht="12.75" hidden="1" x14ac:dyDescent="0.2"/>
    <row r="2420" ht="12.75" hidden="1" x14ac:dyDescent="0.2"/>
    <row r="2421" ht="12.75" hidden="1" x14ac:dyDescent="0.2"/>
    <row r="2422" ht="12.75" hidden="1" x14ac:dyDescent="0.2"/>
    <row r="2423" ht="12.75" hidden="1" x14ac:dyDescent="0.2"/>
    <row r="2424" ht="12.75" hidden="1" x14ac:dyDescent="0.2"/>
    <row r="2425" ht="12.75" hidden="1" x14ac:dyDescent="0.2"/>
    <row r="2426" ht="12.75" hidden="1" x14ac:dyDescent="0.2"/>
    <row r="2427" ht="12.75" hidden="1" x14ac:dyDescent="0.2"/>
    <row r="2428" ht="12.75" hidden="1" x14ac:dyDescent="0.2"/>
    <row r="2429" ht="12.75" hidden="1" x14ac:dyDescent="0.2"/>
    <row r="2430" ht="12.75" hidden="1" x14ac:dyDescent="0.2"/>
    <row r="2431" ht="12.75" hidden="1" x14ac:dyDescent="0.2"/>
    <row r="2432" ht="12.75" hidden="1" x14ac:dyDescent="0.2"/>
    <row r="2433" ht="12.75" hidden="1" x14ac:dyDescent="0.2"/>
    <row r="2434" ht="12.75" hidden="1" x14ac:dyDescent="0.2"/>
    <row r="2435" ht="12.75" hidden="1" x14ac:dyDescent="0.2"/>
    <row r="2436" ht="12.75" hidden="1" x14ac:dyDescent="0.2"/>
    <row r="2437" ht="12.75" hidden="1" x14ac:dyDescent="0.2"/>
    <row r="2438" ht="12.75" hidden="1" x14ac:dyDescent="0.2"/>
    <row r="2439" ht="12.75" hidden="1" x14ac:dyDescent="0.2"/>
    <row r="2440" ht="12.75" hidden="1" x14ac:dyDescent="0.2"/>
    <row r="2441" ht="12.75" hidden="1" x14ac:dyDescent="0.2"/>
    <row r="2442" ht="12.75" hidden="1" x14ac:dyDescent="0.2"/>
    <row r="2443" ht="12.75" hidden="1" x14ac:dyDescent="0.2"/>
    <row r="2444" ht="12.75" hidden="1" x14ac:dyDescent="0.2"/>
    <row r="2445" ht="12.75" hidden="1" x14ac:dyDescent="0.2"/>
    <row r="2446" ht="12.75" hidden="1" x14ac:dyDescent="0.2"/>
    <row r="2447" ht="12.75" hidden="1" x14ac:dyDescent="0.2"/>
    <row r="2448" ht="12.75" hidden="1" x14ac:dyDescent="0.2"/>
    <row r="2449" ht="12.75" hidden="1" x14ac:dyDescent="0.2"/>
    <row r="2450" ht="12.75" hidden="1" x14ac:dyDescent="0.2"/>
    <row r="2451" ht="12.75" hidden="1" x14ac:dyDescent="0.2"/>
    <row r="2452" ht="12.75" hidden="1" x14ac:dyDescent="0.2"/>
    <row r="2453" ht="12.75" hidden="1" x14ac:dyDescent="0.2"/>
    <row r="2454" ht="12.75" hidden="1" x14ac:dyDescent="0.2"/>
    <row r="2455" ht="12.75" hidden="1" x14ac:dyDescent="0.2"/>
    <row r="2456" ht="12.75" hidden="1" x14ac:dyDescent="0.2"/>
    <row r="2457" ht="12.75" hidden="1" x14ac:dyDescent="0.2"/>
    <row r="2458" ht="12.75" hidden="1" x14ac:dyDescent="0.2"/>
    <row r="2459" ht="12.75" hidden="1" x14ac:dyDescent="0.2"/>
    <row r="2460" ht="12.75" hidden="1" x14ac:dyDescent="0.2"/>
    <row r="2461" ht="12.75" hidden="1" x14ac:dyDescent="0.2"/>
    <row r="2462" ht="12.75" hidden="1" x14ac:dyDescent="0.2"/>
    <row r="2463" ht="12.75" hidden="1" x14ac:dyDescent="0.2"/>
    <row r="2464" ht="12.75" hidden="1" x14ac:dyDescent="0.2"/>
    <row r="2465" ht="12.75" hidden="1" x14ac:dyDescent="0.2"/>
    <row r="2466" ht="12.75" hidden="1" x14ac:dyDescent="0.2"/>
    <row r="2467" ht="12.75" hidden="1" x14ac:dyDescent="0.2"/>
    <row r="2468" ht="12.75" hidden="1" x14ac:dyDescent="0.2"/>
    <row r="2469" ht="12.75" hidden="1" x14ac:dyDescent="0.2"/>
    <row r="2470" ht="12.75" hidden="1" x14ac:dyDescent="0.2"/>
    <row r="2471" ht="12.75" hidden="1" x14ac:dyDescent="0.2"/>
    <row r="2472" ht="12.75" hidden="1" x14ac:dyDescent="0.2"/>
    <row r="2473" ht="12.75" hidden="1" x14ac:dyDescent="0.2"/>
    <row r="2474" ht="12.75" hidden="1" x14ac:dyDescent="0.2"/>
    <row r="2475" ht="12.75" hidden="1" x14ac:dyDescent="0.2"/>
    <row r="2476" ht="12.75" hidden="1" x14ac:dyDescent="0.2"/>
    <row r="2477" ht="12.75" hidden="1" x14ac:dyDescent="0.2"/>
    <row r="2478" ht="12.75" hidden="1" x14ac:dyDescent="0.2"/>
    <row r="2479" ht="12.75" hidden="1" x14ac:dyDescent="0.2"/>
    <row r="2480" ht="12.75" hidden="1" x14ac:dyDescent="0.2"/>
    <row r="2481" ht="12.75" hidden="1" x14ac:dyDescent="0.2"/>
    <row r="2482" ht="12.75" hidden="1" x14ac:dyDescent="0.2"/>
    <row r="2483" ht="12.75" hidden="1" x14ac:dyDescent="0.2"/>
    <row r="2484" ht="12.75" hidden="1" x14ac:dyDescent="0.2"/>
    <row r="2485" ht="12.75" hidden="1" x14ac:dyDescent="0.2"/>
    <row r="2486" ht="12.75" hidden="1" x14ac:dyDescent="0.2"/>
    <row r="2487" ht="12.75" hidden="1" x14ac:dyDescent="0.2"/>
    <row r="2488" ht="12.75" hidden="1" x14ac:dyDescent="0.2"/>
    <row r="2489" ht="12.75" hidden="1" x14ac:dyDescent="0.2"/>
    <row r="2490" ht="12.75" hidden="1" x14ac:dyDescent="0.2"/>
    <row r="2491" ht="12.75" hidden="1" x14ac:dyDescent="0.2"/>
    <row r="2492" ht="12.75" hidden="1" x14ac:dyDescent="0.2"/>
    <row r="2493" ht="12.75" hidden="1" x14ac:dyDescent="0.2"/>
    <row r="2494" ht="12.75" hidden="1" x14ac:dyDescent="0.2"/>
    <row r="2495" ht="12.75" hidden="1" x14ac:dyDescent="0.2"/>
    <row r="2496" ht="12.75" hidden="1" x14ac:dyDescent="0.2"/>
    <row r="2497" ht="12.75" hidden="1" x14ac:dyDescent="0.2"/>
    <row r="2498" ht="12.75" hidden="1" x14ac:dyDescent="0.2"/>
    <row r="2499" ht="12.75" hidden="1" x14ac:dyDescent="0.2"/>
    <row r="2500" ht="12.75" hidden="1" x14ac:dyDescent="0.2"/>
    <row r="2501" ht="12.75" hidden="1" x14ac:dyDescent="0.2"/>
    <row r="2502" ht="12.75" hidden="1" x14ac:dyDescent="0.2"/>
    <row r="2503" ht="12.75" hidden="1" x14ac:dyDescent="0.2"/>
    <row r="2504" ht="12.75" hidden="1" x14ac:dyDescent="0.2"/>
    <row r="2505" ht="12.75" hidden="1" x14ac:dyDescent="0.2"/>
    <row r="2506" ht="12.75" hidden="1" x14ac:dyDescent="0.2"/>
    <row r="2507" ht="12.75" hidden="1" x14ac:dyDescent="0.2"/>
    <row r="2508" ht="12.75" hidden="1" x14ac:dyDescent="0.2"/>
    <row r="2509" ht="12.75" hidden="1" x14ac:dyDescent="0.2"/>
    <row r="2510" ht="12.75" hidden="1" x14ac:dyDescent="0.2"/>
    <row r="2511" ht="12.75" hidden="1" x14ac:dyDescent="0.2"/>
    <row r="2512" ht="12.75" hidden="1" x14ac:dyDescent="0.2"/>
    <row r="2513" ht="12.75" hidden="1" x14ac:dyDescent="0.2"/>
    <row r="2514" ht="12.75" hidden="1" x14ac:dyDescent="0.2"/>
    <row r="2515" ht="12.75" hidden="1" x14ac:dyDescent="0.2"/>
    <row r="2516" ht="12.75" hidden="1" x14ac:dyDescent="0.2"/>
    <row r="2517" ht="12.75" hidden="1" x14ac:dyDescent="0.2"/>
    <row r="2518" ht="12.75" hidden="1" x14ac:dyDescent="0.2"/>
    <row r="2519" ht="12.75" hidden="1" x14ac:dyDescent="0.2"/>
    <row r="2520" ht="12.75" hidden="1" x14ac:dyDescent="0.2"/>
    <row r="2521" ht="12.75" hidden="1" x14ac:dyDescent="0.2"/>
    <row r="2522" ht="12.75" hidden="1" x14ac:dyDescent="0.2"/>
    <row r="2523" ht="12.75" hidden="1" x14ac:dyDescent="0.2"/>
    <row r="2524" ht="12.75" hidden="1" x14ac:dyDescent="0.2"/>
    <row r="2525" ht="12.75" hidden="1" x14ac:dyDescent="0.2"/>
    <row r="2526" ht="12.75" hidden="1" x14ac:dyDescent="0.2"/>
    <row r="2527" ht="12.75" hidden="1" x14ac:dyDescent="0.2"/>
    <row r="2528" ht="12.75" hidden="1" x14ac:dyDescent="0.2"/>
    <row r="2529" ht="12.75" hidden="1" x14ac:dyDescent="0.2"/>
    <row r="2530" ht="12.75" hidden="1" x14ac:dyDescent="0.2"/>
    <row r="2531" ht="12.75" hidden="1" x14ac:dyDescent="0.2"/>
    <row r="2532" ht="12.75" hidden="1" x14ac:dyDescent="0.2"/>
    <row r="2533" ht="12.75" hidden="1" x14ac:dyDescent="0.2"/>
    <row r="2534" ht="12.75" hidden="1" x14ac:dyDescent="0.2"/>
    <row r="2535" ht="12.75" hidden="1" x14ac:dyDescent="0.2"/>
    <row r="2536" ht="12.75" hidden="1" x14ac:dyDescent="0.2"/>
    <row r="2537" ht="12.75" hidden="1" x14ac:dyDescent="0.2"/>
    <row r="2538" ht="12.75" hidden="1" x14ac:dyDescent="0.2"/>
    <row r="2539" ht="12.75" hidden="1" x14ac:dyDescent="0.2"/>
    <row r="2540" ht="12.75" hidden="1" x14ac:dyDescent="0.2"/>
    <row r="2541" ht="12.75" hidden="1" x14ac:dyDescent="0.2"/>
    <row r="2542" ht="12.75" hidden="1" x14ac:dyDescent="0.2"/>
    <row r="2543" ht="12.75" hidden="1" x14ac:dyDescent="0.2"/>
    <row r="2544" ht="12.75" hidden="1" x14ac:dyDescent="0.2"/>
    <row r="2545" ht="12.75" hidden="1" x14ac:dyDescent="0.2"/>
    <row r="2546" ht="12.75" hidden="1" x14ac:dyDescent="0.2"/>
    <row r="2547" ht="12.75" hidden="1" x14ac:dyDescent="0.2"/>
    <row r="2548" ht="12.75" hidden="1" x14ac:dyDescent="0.2"/>
    <row r="2549" ht="12.75" hidden="1" x14ac:dyDescent="0.2"/>
    <row r="2550" ht="12.75" hidden="1" x14ac:dyDescent="0.2"/>
    <row r="2551" ht="12.75" hidden="1" x14ac:dyDescent="0.2"/>
    <row r="2552" ht="12.75" hidden="1" x14ac:dyDescent="0.2"/>
    <row r="2553" ht="12.75" hidden="1" x14ac:dyDescent="0.2"/>
    <row r="2554" ht="12.75" hidden="1" x14ac:dyDescent="0.2"/>
    <row r="2555" ht="12.75" hidden="1" x14ac:dyDescent="0.2"/>
    <row r="2556" ht="12.75" hidden="1" x14ac:dyDescent="0.2"/>
    <row r="2557" ht="12.75" hidden="1" x14ac:dyDescent="0.2"/>
    <row r="2558" ht="12.75" hidden="1" x14ac:dyDescent="0.2"/>
    <row r="2559" ht="12.75" hidden="1" x14ac:dyDescent="0.2"/>
    <row r="2560" ht="12.75" hidden="1" x14ac:dyDescent="0.2"/>
    <row r="2561" ht="12.75" hidden="1" x14ac:dyDescent="0.2"/>
    <row r="2562" ht="12.75" hidden="1" x14ac:dyDescent="0.2"/>
    <row r="2563" ht="12.75" hidden="1" x14ac:dyDescent="0.2"/>
    <row r="2564" ht="12.75" hidden="1" x14ac:dyDescent="0.2"/>
    <row r="2565" ht="12.75" hidden="1" x14ac:dyDescent="0.2"/>
    <row r="2566" ht="12.75" hidden="1" x14ac:dyDescent="0.2"/>
    <row r="2567" ht="12.75" hidden="1" x14ac:dyDescent="0.2"/>
    <row r="2568" ht="12.75" hidden="1" x14ac:dyDescent="0.2"/>
    <row r="2569" ht="12.75" hidden="1" x14ac:dyDescent="0.2"/>
    <row r="2570" ht="12.75" hidden="1" x14ac:dyDescent="0.2"/>
    <row r="2571" ht="12.75" hidden="1" x14ac:dyDescent="0.2"/>
    <row r="2572" ht="12.75" hidden="1" x14ac:dyDescent="0.2"/>
    <row r="2573" ht="12.75" hidden="1" x14ac:dyDescent="0.2"/>
    <row r="2574" ht="12.75" hidden="1" x14ac:dyDescent="0.2"/>
    <row r="2575" ht="12.75" hidden="1" x14ac:dyDescent="0.2"/>
    <row r="2576" ht="12.75" hidden="1" x14ac:dyDescent="0.2"/>
    <row r="2577" ht="12.75" hidden="1" x14ac:dyDescent="0.2"/>
    <row r="2578" ht="12.75" hidden="1" x14ac:dyDescent="0.2"/>
    <row r="2579" ht="12.75" hidden="1" x14ac:dyDescent="0.2"/>
    <row r="2580" ht="12.75" hidden="1" x14ac:dyDescent="0.2"/>
    <row r="2581" ht="12.75" hidden="1" x14ac:dyDescent="0.2"/>
    <row r="2582" ht="12.75" hidden="1" x14ac:dyDescent="0.2"/>
    <row r="2583" ht="12.75" hidden="1" x14ac:dyDescent="0.2"/>
    <row r="2584" ht="12.75" hidden="1" x14ac:dyDescent="0.2"/>
    <row r="2585" ht="12.75" hidden="1" x14ac:dyDescent="0.2"/>
    <row r="2586" ht="12.75" hidden="1" x14ac:dyDescent="0.2"/>
    <row r="2587" ht="12.75" hidden="1" x14ac:dyDescent="0.2"/>
    <row r="2588" ht="12.75" hidden="1" x14ac:dyDescent="0.2"/>
    <row r="2589" ht="12.75" hidden="1" x14ac:dyDescent="0.2"/>
    <row r="2590" ht="12.75" hidden="1" x14ac:dyDescent="0.2"/>
    <row r="2591" ht="12.75" hidden="1" x14ac:dyDescent="0.2"/>
    <row r="2592" ht="12.75" hidden="1" x14ac:dyDescent="0.2"/>
    <row r="2593" ht="12.75" hidden="1" x14ac:dyDescent="0.2"/>
    <row r="2594" ht="12.75" hidden="1" x14ac:dyDescent="0.2"/>
    <row r="2595" ht="12.75" hidden="1" x14ac:dyDescent="0.2"/>
    <row r="2596" ht="12.75" hidden="1" x14ac:dyDescent="0.2"/>
    <row r="2597" ht="12.75" hidden="1" x14ac:dyDescent="0.2"/>
    <row r="2598" ht="12.75" hidden="1" x14ac:dyDescent="0.2"/>
    <row r="2599" ht="12.75" hidden="1" x14ac:dyDescent="0.2"/>
    <row r="2600" ht="12.75" hidden="1" x14ac:dyDescent="0.2"/>
    <row r="2601" ht="12.75" hidden="1" x14ac:dyDescent="0.2"/>
    <row r="2602" ht="12.75" hidden="1" x14ac:dyDescent="0.2"/>
    <row r="2603" ht="12.75" hidden="1" x14ac:dyDescent="0.2"/>
    <row r="2604" ht="12.75" hidden="1" x14ac:dyDescent="0.2"/>
    <row r="2605" ht="12.75" hidden="1" x14ac:dyDescent="0.2"/>
    <row r="2606" ht="12.75" hidden="1" x14ac:dyDescent="0.2"/>
    <row r="2607" ht="12.75" hidden="1" x14ac:dyDescent="0.2"/>
    <row r="2608" ht="12.75" hidden="1" x14ac:dyDescent="0.2"/>
    <row r="2609" ht="12.75" hidden="1" x14ac:dyDescent="0.2"/>
    <row r="2610" ht="12.75" hidden="1" x14ac:dyDescent="0.2"/>
    <row r="2611" ht="12.75" hidden="1" x14ac:dyDescent="0.2"/>
    <row r="2612" ht="12.75" hidden="1" x14ac:dyDescent="0.2"/>
    <row r="2613" ht="12.75" hidden="1" x14ac:dyDescent="0.2"/>
    <row r="2614" ht="12.75" hidden="1" x14ac:dyDescent="0.2"/>
    <row r="2615" ht="12.75" hidden="1" x14ac:dyDescent="0.2"/>
    <row r="2616" ht="12.75" hidden="1" x14ac:dyDescent="0.2"/>
    <row r="2617" ht="12.75" hidden="1" x14ac:dyDescent="0.2"/>
    <row r="2618" ht="12.75" hidden="1" x14ac:dyDescent="0.2"/>
    <row r="2619" ht="12.75" hidden="1" x14ac:dyDescent="0.2"/>
    <row r="2620" ht="12.75" hidden="1" x14ac:dyDescent="0.2"/>
    <row r="2621" ht="12.75" hidden="1" x14ac:dyDescent="0.2"/>
    <row r="2622" ht="12.75" hidden="1" x14ac:dyDescent="0.2"/>
    <row r="2623" ht="12.75" hidden="1" x14ac:dyDescent="0.2"/>
    <row r="2624" ht="12.75" hidden="1" x14ac:dyDescent="0.2"/>
    <row r="2625" ht="12.75" hidden="1" x14ac:dyDescent="0.2"/>
    <row r="2626" ht="12.75" hidden="1" x14ac:dyDescent="0.2"/>
    <row r="2627" ht="12.75" hidden="1" x14ac:dyDescent="0.2"/>
    <row r="2628" ht="12.75" hidden="1" x14ac:dyDescent="0.2"/>
    <row r="2629" ht="12.75" hidden="1" x14ac:dyDescent="0.2"/>
    <row r="2630" ht="12.75" hidden="1" x14ac:dyDescent="0.2"/>
    <row r="2631" ht="12.75" hidden="1" x14ac:dyDescent="0.2"/>
    <row r="2632" ht="12.75" hidden="1" x14ac:dyDescent="0.2"/>
    <row r="2633" ht="12.75" hidden="1" x14ac:dyDescent="0.2"/>
    <row r="2634" ht="12.75" hidden="1" x14ac:dyDescent="0.2"/>
    <row r="2635" ht="12.75" hidden="1" x14ac:dyDescent="0.2"/>
    <row r="2636" ht="12.75" hidden="1" x14ac:dyDescent="0.2"/>
    <row r="2637" ht="12.75" hidden="1" x14ac:dyDescent="0.2"/>
    <row r="2638" ht="12.75" hidden="1" x14ac:dyDescent="0.2"/>
    <row r="2639" ht="12.75" hidden="1" x14ac:dyDescent="0.2"/>
    <row r="2640" ht="12.75" hidden="1" x14ac:dyDescent="0.2"/>
    <row r="2641" ht="12.75" hidden="1" x14ac:dyDescent="0.2"/>
    <row r="2642" ht="12.75" hidden="1" x14ac:dyDescent="0.2"/>
    <row r="2643" ht="12.75" hidden="1" x14ac:dyDescent="0.2"/>
    <row r="2644" ht="12.75" hidden="1" x14ac:dyDescent="0.2"/>
    <row r="2645" ht="12.75" hidden="1" x14ac:dyDescent="0.2"/>
    <row r="2646" ht="12.75" hidden="1" x14ac:dyDescent="0.2"/>
    <row r="2647" ht="12.75" hidden="1" x14ac:dyDescent="0.2"/>
    <row r="2648" ht="12.75" hidden="1" x14ac:dyDescent="0.2"/>
    <row r="2649" ht="12.75" hidden="1" x14ac:dyDescent="0.2"/>
    <row r="2650" ht="12.75" hidden="1" x14ac:dyDescent="0.2"/>
    <row r="2651" ht="12.75" hidden="1" x14ac:dyDescent="0.2"/>
    <row r="2652" ht="12.75" hidden="1" x14ac:dyDescent="0.2"/>
    <row r="2653" ht="12.75" hidden="1" x14ac:dyDescent="0.2"/>
    <row r="2654" ht="12.75" hidden="1" x14ac:dyDescent="0.2"/>
    <row r="2655" ht="12.75" hidden="1" x14ac:dyDescent="0.2"/>
    <row r="2656" ht="12.75" hidden="1" x14ac:dyDescent="0.2"/>
    <row r="2657" ht="12.75" hidden="1" x14ac:dyDescent="0.2"/>
    <row r="2658" ht="12.75" hidden="1" x14ac:dyDescent="0.2"/>
    <row r="2659" ht="12.75" hidden="1" x14ac:dyDescent="0.2"/>
    <row r="2660" ht="12.75" hidden="1" x14ac:dyDescent="0.2"/>
    <row r="2661" ht="12.75" hidden="1" x14ac:dyDescent="0.2"/>
    <row r="2662" ht="12.75" hidden="1" x14ac:dyDescent="0.2"/>
    <row r="2663" ht="12.75" hidden="1" x14ac:dyDescent="0.2"/>
    <row r="2664" ht="12.75" hidden="1" x14ac:dyDescent="0.2"/>
    <row r="2665" ht="12.75" hidden="1" x14ac:dyDescent="0.2"/>
    <row r="2666" ht="12.75" hidden="1" x14ac:dyDescent="0.2"/>
    <row r="2667" ht="12.75" hidden="1" x14ac:dyDescent="0.2"/>
    <row r="2668" ht="12.75" hidden="1" x14ac:dyDescent="0.2"/>
    <row r="2669" ht="12.75" hidden="1" x14ac:dyDescent="0.2"/>
    <row r="2670" ht="12.75" hidden="1" x14ac:dyDescent="0.2"/>
    <row r="2671" ht="12.75" hidden="1" x14ac:dyDescent="0.2"/>
    <row r="2672" ht="12.75" hidden="1" x14ac:dyDescent="0.2"/>
    <row r="2673" ht="12.75" hidden="1" x14ac:dyDescent="0.2"/>
    <row r="2674" ht="12.75" hidden="1" x14ac:dyDescent="0.2"/>
    <row r="2675" ht="12.75" hidden="1" x14ac:dyDescent="0.2"/>
    <row r="2676" ht="12.75" hidden="1" x14ac:dyDescent="0.2"/>
    <row r="2677" ht="12.75" hidden="1" x14ac:dyDescent="0.2"/>
    <row r="2678" ht="12.75" hidden="1" x14ac:dyDescent="0.2"/>
    <row r="2679" ht="12.75" hidden="1" x14ac:dyDescent="0.2"/>
    <row r="2680" ht="12.75" hidden="1" x14ac:dyDescent="0.2"/>
    <row r="2681" ht="12.75" hidden="1" x14ac:dyDescent="0.2"/>
    <row r="2682" ht="12.75" hidden="1" x14ac:dyDescent="0.2"/>
    <row r="2683" ht="12.75" hidden="1" x14ac:dyDescent="0.2"/>
    <row r="2684" ht="12.75" hidden="1" x14ac:dyDescent="0.2"/>
    <row r="2685" ht="12.75" hidden="1" x14ac:dyDescent="0.2"/>
    <row r="2686" ht="12.75" hidden="1" x14ac:dyDescent="0.2"/>
    <row r="2687" ht="12.75" hidden="1" x14ac:dyDescent="0.2"/>
    <row r="2688" ht="12.75" hidden="1" x14ac:dyDescent="0.2"/>
    <row r="2689" ht="12.75" hidden="1" x14ac:dyDescent="0.2"/>
    <row r="2690" ht="12.75" hidden="1" x14ac:dyDescent="0.2"/>
    <row r="2691" ht="12.75" hidden="1" x14ac:dyDescent="0.2"/>
    <row r="2692" ht="12.75" hidden="1" x14ac:dyDescent="0.2"/>
    <row r="2693" ht="12.75" hidden="1" x14ac:dyDescent="0.2"/>
    <row r="2694" ht="12.75" hidden="1" x14ac:dyDescent="0.2"/>
    <row r="2695" ht="12.75" hidden="1" x14ac:dyDescent="0.2"/>
    <row r="2696" ht="12.75" hidden="1" x14ac:dyDescent="0.2"/>
    <row r="2697" ht="12.75" hidden="1" x14ac:dyDescent="0.2"/>
    <row r="2698" ht="12.75" hidden="1" x14ac:dyDescent="0.2"/>
    <row r="2699" ht="12.75" hidden="1" x14ac:dyDescent="0.2"/>
    <row r="2700" ht="12.75" hidden="1" x14ac:dyDescent="0.2"/>
    <row r="2701" ht="12.75" hidden="1" x14ac:dyDescent="0.2"/>
    <row r="2702" ht="12.75" hidden="1" x14ac:dyDescent="0.2"/>
    <row r="2703" ht="12.75" hidden="1" x14ac:dyDescent="0.2"/>
    <row r="2704" ht="12.75" hidden="1" x14ac:dyDescent="0.2"/>
    <row r="2705" ht="12.75" hidden="1" x14ac:dyDescent="0.2"/>
    <row r="2706" ht="12.75" hidden="1" x14ac:dyDescent="0.2"/>
    <row r="2707" ht="12.75" hidden="1" x14ac:dyDescent="0.2"/>
    <row r="2708" ht="12.75" hidden="1" x14ac:dyDescent="0.2"/>
    <row r="2709" ht="12.75" hidden="1" x14ac:dyDescent="0.2"/>
    <row r="2710" ht="12.75" hidden="1" x14ac:dyDescent="0.2"/>
    <row r="2711" ht="12.75" hidden="1" x14ac:dyDescent="0.2"/>
    <row r="2712" ht="12.75" hidden="1" x14ac:dyDescent="0.2"/>
    <row r="2713" ht="12.75" hidden="1" x14ac:dyDescent="0.2"/>
    <row r="2714" ht="12.75" hidden="1" x14ac:dyDescent="0.2"/>
    <row r="2715" ht="12.75" hidden="1" x14ac:dyDescent="0.2"/>
    <row r="2716" ht="12.75" hidden="1" x14ac:dyDescent="0.2"/>
    <row r="2717" ht="12.75" hidden="1" x14ac:dyDescent="0.2"/>
    <row r="2718" ht="12.75" hidden="1" x14ac:dyDescent="0.2"/>
    <row r="2719" ht="12.75" hidden="1" x14ac:dyDescent="0.2"/>
    <row r="2720" ht="12.75" hidden="1" x14ac:dyDescent="0.2"/>
    <row r="2721" ht="12.75" hidden="1" x14ac:dyDescent="0.2"/>
    <row r="2722" ht="12.75" hidden="1" x14ac:dyDescent="0.2"/>
    <row r="2723" ht="12.75" hidden="1" x14ac:dyDescent="0.2"/>
    <row r="2724" ht="12.75" hidden="1" x14ac:dyDescent="0.2"/>
    <row r="2725" ht="12.75" hidden="1" x14ac:dyDescent="0.2"/>
    <row r="2726" ht="12.75" hidden="1" x14ac:dyDescent="0.2"/>
    <row r="2727" ht="12.75" hidden="1" x14ac:dyDescent="0.2"/>
    <row r="2728" ht="12.75" hidden="1" x14ac:dyDescent="0.2"/>
    <row r="2729" ht="12.75" hidden="1" x14ac:dyDescent="0.2"/>
    <row r="2730" ht="12.75" hidden="1" x14ac:dyDescent="0.2"/>
    <row r="2731" ht="12.75" hidden="1" x14ac:dyDescent="0.2"/>
    <row r="2732" ht="12.75" hidden="1" x14ac:dyDescent="0.2"/>
    <row r="2733" ht="12.75" hidden="1" x14ac:dyDescent="0.2"/>
    <row r="2734" ht="12.75" hidden="1" x14ac:dyDescent="0.2"/>
    <row r="2735" ht="12.75" hidden="1" x14ac:dyDescent="0.2"/>
    <row r="2736" ht="12.75" hidden="1" x14ac:dyDescent="0.2"/>
    <row r="2737" ht="12.75" hidden="1" x14ac:dyDescent="0.2"/>
    <row r="2738" ht="12.75" hidden="1" x14ac:dyDescent="0.2"/>
    <row r="2739" ht="12.75" hidden="1" x14ac:dyDescent="0.2"/>
    <row r="2740" ht="12.75" hidden="1" x14ac:dyDescent="0.2"/>
    <row r="2741" ht="12.75" hidden="1" x14ac:dyDescent="0.2"/>
    <row r="2742" ht="12.75" hidden="1" x14ac:dyDescent="0.2"/>
    <row r="2743" ht="12.75" hidden="1" x14ac:dyDescent="0.2"/>
    <row r="2744" ht="12.75" hidden="1" x14ac:dyDescent="0.2"/>
    <row r="2745" ht="12.75" hidden="1" x14ac:dyDescent="0.2"/>
    <row r="2746" ht="12.75" hidden="1" x14ac:dyDescent="0.2"/>
    <row r="2747" ht="12.75" hidden="1" x14ac:dyDescent="0.2"/>
    <row r="2748" ht="12.75" hidden="1" x14ac:dyDescent="0.2"/>
    <row r="2749" ht="12.75" hidden="1" x14ac:dyDescent="0.2"/>
    <row r="2750" ht="12.75" hidden="1" x14ac:dyDescent="0.2"/>
    <row r="2751" ht="12.75" hidden="1" x14ac:dyDescent="0.2"/>
    <row r="2752" ht="12.75" hidden="1" x14ac:dyDescent="0.2"/>
    <row r="2753" ht="12.75" hidden="1" x14ac:dyDescent="0.2"/>
    <row r="2754" ht="12.75" hidden="1" x14ac:dyDescent="0.2"/>
    <row r="2755" ht="12.75" hidden="1" x14ac:dyDescent="0.2"/>
    <row r="2756" ht="12.75" hidden="1" x14ac:dyDescent="0.2"/>
    <row r="2757" ht="12.75" hidden="1" x14ac:dyDescent="0.2"/>
    <row r="2758" ht="12.75" hidden="1" x14ac:dyDescent="0.2"/>
    <row r="2759" ht="12.75" hidden="1" x14ac:dyDescent="0.2"/>
    <row r="2760" ht="12.75" hidden="1" x14ac:dyDescent="0.2"/>
    <row r="2761" ht="12.75" hidden="1" x14ac:dyDescent="0.2"/>
    <row r="2762" ht="12.75" hidden="1" x14ac:dyDescent="0.2"/>
    <row r="2763" ht="12.75" hidden="1" x14ac:dyDescent="0.2"/>
    <row r="2764" ht="12.75" hidden="1" x14ac:dyDescent="0.2"/>
    <row r="2765" ht="12.75" hidden="1" x14ac:dyDescent="0.2"/>
    <row r="2766" ht="12.75" hidden="1" x14ac:dyDescent="0.2"/>
    <row r="2767" ht="12.75" hidden="1" x14ac:dyDescent="0.2"/>
    <row r="2768" ht="12.75" hidden="1" x14ac:dyDescent="0.2"/>
    <row r="2769" ht="12.75" hidden="1" x14ac:dyDescent="0.2"/>
    <row r="2770" ht="12.75" hidden="1" x14ac:dyDescent="0.2"/>
    <row r="2771" ht="12.75" hidden="1" x14ac:dyDescent="0.2"/>
    <row r="2772" ht="12.75" hidden="1" x14ac:dyDescent="0.2"/>
    <row r="2773" ht="12.75" hidden="1" x14ac:dyDescent="0.2"/>
    <row r="2774" ht="12.75" hidden="1" x14ac:dyDescent="0.2"/>
    <row r="2775" ht="12.75" hidden="1" x14ac:dyDescent="0.2"/>
    <row r="2776" ht="12.75" hidden="1" x14ac:dyDescent="0.2"/>
    <row r="2777" ht="12.75" hidden="1" x14ac:dyDescent="0.2"/>
    <row r="2778" ht="12.75" hidden="1" x14ac:dyDescent="0.2"/>
    <row r="2779" ht="12.75" hidden="1" x14ac:dyDescent="0.2"/>
    <row r="2780" ht="12.75" hidden="1" x14ac:dyDescent="0.2"/>
    <row r="2781" ht="12.75" hidden="1" x14ac:dyDescent="0.2"/>
    <row r="2782" ht="12.75" hidden="1" x14ac:dyDescent="0.2"/>
    <row r="2783" ht="12.75" hidden="1" x14ac:dyDescent="0.2"/>
    <row r="2784" ht="12.75" hidden="1" x14ac:dyDescent="0.2"/>
    <row r="2785" ht="12.75" hidden="1" x14ac:dyDescent="0.2"/>
    <row r="2786" ht="12.75" hidden="1" x14ac:dyDescent="0.2"/>
    <row r="2787" ht="12.75" hidden="1" x14ac:dyDescent="0.2"/>
    <row r="2788" ht="12.75" hidden="1" x14ac:dyDescent="0.2"/>
    <row r="2789" ht="12.75" hidden="1" x14ac:dyDescent="0.2"/>
    <row r="2790" ht="12.75" hidden="1" x14ac:dyDescent="0.2"/>
    <row r="2791" ht="12.75" hidden="1" x14ac:dyDescent="0.2"/>
    <row r="2792" ht="12.75" hidden="1" x14ac:dyDescent="0.2"/>
    <row r="2793" ht="12.75" hidden="1" x14ac:dyDescent="0.2"/>
    <row r="2794" ht="12.75" hidden="1" x14ac:dyDescent="0.2"/>
    <row r="2795" ht="12.75" hidden="1" x14ac:dyDescent="0.2"/>
    <row r="2796" ht="12.75" hidden="1" x14ac:dyDescent="0.2"/>
    <row r="2797" ht="12.75" hidden="1" x14ac:dyDescent="0.2"/>
    <row r="2798" ht="12.75" hidden="1" x14ac:dyDescent="0.2"/>
    <row r="2799" ht="12.75" hidden="1" x14ac:dyDescent="0.2"/>
    <row r="2800" ht="12.75" hidden="1" x14ac:dyDescent="0.2"/>
    <row r="2801" ht="12.75" hidden="1" x14ac:dyDescent="0.2"/>
    <row r="2802" ht="12.75" hidden="1" x14ac:dyDescent="0.2"/>
    <row r="2803" ht="12.75" hidden="1" x14ac:dyDescent="0.2"/>
    <row r="2804" ht="12.75" hidden="1" x14ac:dyDescent="0.2"/>
    <row r="2805" ht="12.75" hidden="1" x14ac:dyDescent="0.2"/>
    <row r="2806" ht="12.75" hidden="1" x14ac:dyDescent="0.2"/>
    <row r="2807" ht="12.75" hidden="1" x14ac:dyDescent="0.2"/>
    <row r="2808" ht="12.75" hidden="1" x14ac:dyDescent="0.2"/>
    <row r="2809" ht="12.75" hidden="1" x14ac:dyDescent="0.2"/>
    <row r="2810" ht="12.75" hidden="1" x14ac:dyDescent="0.2"/>
    <row r="2811" ht="12.75" hidden="1" x14ac:dyDescent="0.2"/>
    <row r="2812" ht="12.75" hidden="1" x14ac:dyDescent="0.2"/>
    <row r="2813" ht="12.75" hidden="1" x14ac:dyDescent="0.2"/>
    <row r="2814" ht="12.75" hidden="1" x14ac:dyDescent="0.2"/>
    <row r="2815" ht="12.75" hidden="1" x14ac:dyDescent="0.2"/>
    <row r="2816" ht="12.75" hidden="1" x14ac:dyDescent="0.2"/>
    <row r="2817" ht="12.75" hidden="1" x14ac:dyDescent="0.2"/>
    <row r="2818" ht="12.75" hidden="1" x14ac:dyDescent="0.2"/>
    <row r="2819" ht="12.75" hidden="1" x14ac:dyDescent="0.2"/>
    <row r="2820" ht="12.75" hidden="1" x14ac:dyDescent="0.2"/>
    <row r="2821" ht="12.75" hidden="1" x14ac:dyDescent="0.2"/>
    <row r="2822" ht="12.75" hidden="1" x14ac:dyDescent="0.2"/>
    <row r="2823" ht="12.75" hidden="1" x14ac:dyDescent="0.2"/>
    <row r="2824" ht="12.75" hidden="1" x14ac:dyDescent="0.2"/>
    <row r="2825" ht="12.75" hidden="1" x14ac:dyDescent="0.2"/>
    <row r="2826" ht="12.75" hidden="1" x14ac:dyDescent="0.2"/>
    <row r="2827" ht="12.75" hidden="1" x14ac:dyDescent="0.2"/>
    <row r="2828" ht="12.75" hidden="1" x14ac:dyDescent="0.2"/>
    <row r="2829" ht="12.75" hidden="1" x14ac:dyDescent="0.2"/>
    <row r="2830" ht="12.75" hidden="1" x14ac:dyDescent="0.2"/>
    <row r="2831" ht="12.75" hidden="1" x14ac:dyDescent="0.2"/>
    <row r="2832" ht="12.75" hidden="1" x14ac:dyDescent="0.2"/>
    <row r="2833" ht="12.75" hidden="1" x14ac:dyDescent="0.2"/>
    <row r="2834" ht="12.75" hidden="1" x14ac:dyDescent="0.2"/>
    <row r="2835" ht="12.75" hidden="1" x14ac:dyDescent="0.2"/>
    <row r="2836" ht="12.75" hidden="1" x14ac:dyDescent="0.2"/>
    <row r="2837" ht="12.75" hidden="1" x14ac:dyDescent="0.2"/>
    <row r="2838" ht="12.75" hidden="1" x14ac:dyDescent="0.2"/>
    <row r="2839" ht="12.75" hidden="1" x14ac:dyDescent="0.2"/>
    <row r="2840" ht="12.75" hidden="1" x14ac:dyDescent="0.2"/>
    <row r="2841" ht="12.75" hidden="1" x14ac:dyDescent="0.2"/>
    <row r="2842" ht="12.75" hidden="1" x14ac:dyDescent="0.2"/>
    <row r="2843" ht="12.75" hidden="1" x14ac:dyDescent="0.2"/>
    <row r="2844" ht="12.75" hidden="1" x14ac:dyDescent="0.2"/>
    <row r="2845" ht="12.75" hidden="1" x14ac:dyDescent="0.2"/>
    <row r="2846" ht="12.75" hidden="1" x14ac:dyDescent="0.2"/>
    <row r="2847" ht="12.75" hidden="1" x14ac:dyDescent="0.2"/>
    <row r="2848" ht="12.75" hidden="1" x14ac:dyDescent="0.2"/>
    <row r="2849" ht="12.75" hidden="1" x14ac:dyDescent="0.2"/>
    <row r="2850" ht="12.75" hidden="1" x14ac:dyDescent="0.2"/>
    <row r="2851" ht="12.75" hidden="1" x14ac:dyDescent="0.2"/>
    <row r="2852" ht="12.75" hidden="1" x14ac:dyDescent="0.2"/>
    <row r="2853" ht="12.75" hidden="1" x14ac:dyDescent="0.2"/>
    <row r="2854" ht="12.75" hidden="1" x14ac:dyDescent="0.2"/>
    <row r="2855" ht="12.75" hidden="1" x14ac:dyDescent="0.2"/>
    <row r="2856" ht="12.75" hidden="1" x14ac:dyDescent="0.2"/>
    <row r="2857" ht="12.75" hidden="1" x14ac:dyDescent="0.2"/>
    <row r="2858" ht="12.75" hidden="1" x14ac:dyDescent="0.2"/>
    <row r="2859" ht="12.75" hidden="1" x14ac:dyDescent="0.2"/>
    <row r="2860" ht="12.75" hidden="1" x14ac:dyDescent="0.2"/>
    <row r="2861" ht="12.75" hidden="1" x14ac:dyDescent="0.2"/>
    <row r="2862" ht="12.75" hidden="1" x14ac:dyDescent="0.2"/>
    <row r="2863" ht="12.75" hidden="1" x14ac:dyDescent="0.2"/>
    <row r="2864" ht="12.75" hidden="1" x14ac:dyDescent="0.2"/>
    <row r="2865" ht="12.75" hidden="1" x14ac:dyDescent="0.2"/>
    <row r="2866" ht="12.75" hidden="1" x14ac:dyDescent="0.2"/>
    <row r="2867" ht="12.75" hidden="1" x14ac:dyDescent="0.2"/>
    <row r="2868" ht="12.75" hidden="1" x14ac:dyDescent="0.2"/>
    <row r="2869" ht="12.75" hidden="1" x14ac:dyDescent="0.2"/>
    <row r="2870" ht="12.75" hidden="1" x14ac:dyDescent="0.2"/>
    <row r="2871" ht="12.75" hidden="1" x14ac:dyDescent="0.2"/>
    <row r="2872" ht="12.75" hidden="1" x14ac:dyDescent="0.2"/>
    <row r="2873" ht="12.75" hidden="1" x14ac:dyDescent="0.2"/>
    <row r="2874" ht="12.75" hidden="1" x14ac:dyDescent="0.2"/>
    <row r="2875" ht="12.75" hidden="1" x14ac:dyDescent="0.2"/>
    <row r="2876" ht="12.75" hidden="1" x14ac:dyDescent="0.2"/>
    <row r="2877" ht="12.75" hidden="1" x14ac:dyDescent="0.2"/>
    <row r="2878" ht="12.75" hidden="1" x14ac:dyDescent="0.2"/>
    <row r="2879" ht="12.75" hidden="1" x14ac:dyDescent="0.2"/>
    <row r="2880" ht="12.75" hidden="1" x14ac:dyDescent="0.2"/>
    <row r="2881" ht="12.75" hidden="1" x14ac:dyDescent="0.2"/>
    <row r="2882" ht="12.75" hidden="1" x14ac:dyDescent="0.2"/>
    <row r="2883" ht="12.75" hidden="1" x14ac:dyDescent="0.2"/>
    <row r="2884" ht="12.75" hidden="1" x14ac:dyDescent="0.2"/>
    <row r="2885" ht="12.75" hidden="1" x14ac:dyDescent="0.2"/>
    <row r="2886" ht="12.75" hidden="1" x14ac:dyDescent="0.2"/>
    <row r="2887" ht="12.75" hidden="1" x14ac:dyDescent="0.2"/>
    <row r="2888" ht="12.75" hidden="1" x14ac:dyDescent="0.2"/>
    <row r="2889" ht="12.75" hidden="1" x14ac:dyDescent="0.2"/>
    <row r="2890" ht="12.75" hidden="1" x14ac:dyDescent="0.2"/>
    <row r="2891" ht="12.75" hidden="1" x14ac:dyDescent="0.2"/>
    <row r="2892" ht="12.75" hidden="1" x14ac:dyDescent="0.2"/>
    <row r="2893" ht="12.75" hidden="1" x14ac:dyDescent="0.2"/>
    <row r="2894" ht="12.75" hidden="1" x14ac:dyDescent="0.2"/>
    <row r="2895" ht="12.75" hidden="1" x14ac:dyDescent="0.2"/>
    <row r="2896" ht="12.75" hidden="1" x14ac:dyDescent="0.2"/>
    <row r="2897" ht="12.75" hidden="1" x14ac:dyDescent="0.2"/>
    <row r="2898" ht="12.75" hidden="1" x14ac:dyDescent="0.2"/>
    <row r="2899" ht="12.75" hidden="1" x14ac:dyDescent="0.2"/>
    <row r="2900" ht="12.75" hidden="1" x14ac:dyDescent="0.2"/>
    <row r="2901" ht="12.75" hidden="1" x14ac:dyDescent="0.2"/>
    <row r="2902" ht="12.75" hidden="1" x14ac:dyDescent="0.2"/>
    <row r="2903" ht="12.75" hidden="1" x14ac:dyDescent="0.2"/>
    <row r="2904" ht="12.75" hidden="1" x14ac:dyDescent="0.2"/>
    <row r="2905" ht="12.75" hidden="1" x14ac:dyDescent="0.2"/>
    <row r="2906" ht="12.75" hidden="1" x14ac:dyDescent="0.2"/>
    <row r="2907" ht="12.75" hidden="1" x14ac:dyDescent="0.2"/>
    <row r="2908" ht="12.75" hidden="1" x14ac:dyDescent="0.2"/>
    <row r="2909" ht="12.75" hidden="1" x14ac:dyDescent="0.2"/>
    <row r="2910" ht="12.75" hidden="1" x14ac:dyDescent="0.2"/>
    <row r="2911" ht="12.75" hidden="1" x14ac:dyDescent="0.2"/>
    <row r="2912" ht="12.75" hidden="1" x14ac:dyDescent="0.2"/>
    <row r="2913" ht="12.75" hidden="1" x14ac:dyDescent="0.2"/>
    <row r="2914" ht="12.75" hidden="1" x14ac:dyDescent="0.2"/>
    <row r="2915" ht="12.75" hidden="1" x14ac:dyDescent="0.2"/>
    <row r="2916" ht="12.75" hidden="1" x14ac:dyDescent="0.2"/>
    <row r="2917" ht="12.75" hidden="1" x14ac:dyDescent="0.2"/>
    <row r="2918" ht="12.75" hidden="1" x14ac:dyDescent="0.2"/>
    <row r="2919" ht="12.75" hidden="1" x14ac:dyDescent="0.2"/>
    <row r="2920" ht="12.75" hidden="1" x14ac:dyDescent="0.2"/>
    <row r="2921" ht="12.75" hidden="1" x14ac:dyDescent="0.2"/>
    <row r="2922" ht="12.75" hidden="1" x14ac:dyDescent="0.2"/>
    <row r="2923" ht="12.75" hidden="1" x14ac:dyDescent="0.2"/>
    <row r="2924" ht="12.75" hidden="1" x14ac:dyDescent="0.2"/>
    <row r="2925" ht="12.75" hidden="1" x14ac:dyDescent="0.2"/>
    <row r="2926" ht="12.75" hidden="1" x14ac:dyDescent="0.2"/>
    <row r="2927" ht="12.75" hidden="1" x14ac:dyDescent="0.2"/>
    <row r="2928" ht="12.75" hidden="1" x14ac:dyDescent="0.2"/>
    <row r="2929" ht="12.75" hidden="1" x14ac:dyDescent="0.2"/>
    <row r="2930" ht="12.75" hidden="1" x14ac:dyDescent="0.2"/>
    <row r="2931" ht="12.75" hidden="1" x14ac:dyDescent="0.2"/>
    <row r="2932" ht="12.75" hidden="1" x14ac:dyDescent="0.2"/>
    <row r="2933" ht="12.75" hidden="1" x14ac:dyDescent="0.2"/>
    <row r="2934" ht="12.75" hidden="1" x14ac:dyDescent="0.2"/>
    <row r="2935" ht="12.75" hidden="1" x14ac:dyDescent="0.2"/>
    <row r="2936" ht="12.75" hidden="1" x14ac:dyDescent="0.2"/>
    <row r="2937" ht="12.75" hidden="1" x14ac:dyDescent="0.2"/>
    <row r="2938" ht="12.75" hidden="1" x14ac:dyDescent="0.2"/>
    <row r="2939" ht="12.75" hidden="1" x14ac:dyDescent="0.2"/>
    <row r="2940" ht="12.75" hidden="1" x14ac:dyDescent="0.2"/>
    <row r="2941" ht="12.75" hidden="1" x14ac:dyDescent="0.2"/>
    <row r="2942" ht="12.75" hidden="1" x14ac:dyDescent="0.2"/>
    <row r="2943" ht="12.75" hidden="1" x14ac:dyDescent="0.2"/>
    <row r="2944" ht="12.75" hidden="1" x14ac:dyDescent="0.2"/>
    <row r="2945" ht="12.75" hidden="1" x14ac:dyDescent="0.2"/>
    <row r="2946" ht="12.75" hidden="1" x14ac:dyDescent="0.2"/>
    <row r="2947" ht="12.75" hidden="1" x14ac:dyDescent="0.2"/>
    <row r="2948" ht="12.75" hidden="1" x14ac:dyDescent="0.2"/>
    <row r="2949" ht="12.75" hidden="1" x14ac:dyDescent="0.2"/>
    <row r="2950" ht="12.75" hidden="1" x14ac:dyDescent="0.2"/>
    <row r="2951" ht="12.75" hidden="1" x14ac:dyDescent="0.2"/>
    <row r="2952" ht="12.75" hidden="1" x14ac:dyDescent="0.2"/>
    <row r="2953" ht="12.75" hidden="1" x14ac:dyDescent="0.2"/>
    <row r="2954" ht="12.75" hidden="1" x14ac:dyDescent="0.2"/>
    <row r="2955" ht="12.75" hidden="1" x14ac:dyDescent="0.2"/>
    <row r="2956" ht="12.75" hidden="1" x14ac:dyDescent="0.2"/>
    <row r="2957" ht="12.75" hidden="1" x14ac:dyDescent="0.2"/>
    <row r="2958" ht="12.75" hidden="1" x14ac:dyDescent="0.2"/>
    <row r="2959" ht="12.75" hidden="1" x14ac:dyDescent="0.2"/>
    <row r="2960" ht="12.75" hidden="1" x14ac:dyDescent="0.2"/>
    <row r="2961" ht="12.75" hidden="1" x14ac:dyDescent="0.2"/>
    <row r="2962" ht="12.75" hidden="1" x14ac:dyDescent="0.2"/>
    <row r="2963" ht="12.75" hidden="1" x14ac:dyDescent="0.2"/>
    <row r="2964" ht="12.75" hidden="1" x14ac:dyDescent="0.2"/>
    <row r="2965" ht="12.75" hidden="1" x14ac:dyDescent="0.2"/>
    <row r="2966" ht="12.75" hidden="1" x14ac:dyDescent="0.2"/>
    <row r="2967" ht="12.75" hidden="1" x14ac:dyDescent="0.2"/>
    <row r="2968" ht="12.75" hidden="1" x14ac:dyDescent="0.2"/>
    <row r="2969" ht="12.75" hidden="1" x14ac:dyDescent="0.2"/>
    <row r="2970" ht="12.75" hidden="1" x14ac:dyDescent="0.2"/>
    <row r="2971" ht="12.75" hidden="1" x14ac:dyDescent="0.2"/>
    <row r="2972" ht="12.75" hidden="1" x14ac:dyDescent="0.2"/>
    <row r="2973" ht="12.75" hidden="1" x14ac:dyDescent="0.2"/>
    <row r="2974" ht="12.75" hidden="1" x14ac:dyDescent="0.2"/>
    <row r="2975" ht="12.75" hidden="1" x14ac:dyDescent="0.2"/>
    <row r="2976" ht="12.75" hidden="1" x14ac:dyDescent="0.2"/>
    <row r="2977" ht="12.75" hidden="1" x14ac:dyDescent="0.2"/>
    <row r="2978" ht="12.75" hidden="1" x14ac:dyDescent="0.2"/>
    <row r="2979" ht="12.75" hidden="1" x14ac:dyDescent="0.2"/>
    <row r="2980" ht="12.75" hidden="1" x14ac:dyDescent="0.2"/>
    <row r="2981" ht="12.75" hidden="1" x14ac:dyDescent="0.2"/>
    <row r="2982" ht="12.75" hidden="1" x14ac:dyDescent="0.2"/>
    <row r="2983" ht="12.75" hidden="1" x14ac:dyDescent="0.2"/>
    <row r="2984" ht="12.75" hidden="1" x14ac:dyDescent="0.2"/>
    <row r="2985" ht="12.75" hidden="1" x14ac:dyDescent="0.2"/>
    <row r="2986" ht="12.75" hidden="1" x14ac:dyDescent="0.2"/>
    <row r="2987" ht="12.75" hidden="1" x14ac:dyDescent="0.2"/>
    <row r="2988" ht="12.75" hidden="1" x14ac:dyDescent="0.2"/>
    <row r="2989" ht="12.75" hidden="1" x14ac:dyDescent="0.2"/>
    <row r="2990" ht="12.75" hidden="1" x14ac:dyDescent="0.2"/>
    <row r="2991" ht="12.75" hidden="1" x14ac:dyDescent="0.2"/>
    <row r="2992" ht="12.75" hidden="1" x14ac:dyDescent="0.2"/>
    <row r="2993" ht="12.75" hidden="1" x14ac:dyDescent="0.2"/>
    <row r="2994" ht="12.75" hidden="1" x14ac:dyDescent="0.2"/>
    <row r="2995" ht="12.75" hidden="1" x14ac:dyDescent="0.2"/>
    <row r="2996" ht="12.75" hidden="1" x14ac:dyDescent="0.2"/>
    <row r="2997" ht="12.75" hidden="1" x14ac:dyDescent="0.2"/>
    <row r="2998" ht="12.75" hidden="1" x14ac:dyDescent="0.2"/>
    <row r="2999" ht="12.75" hidden="1" x14ac:dyDescent="0.2"/>
    <row r="3000" ht="12.75" hidden="1" x14ac:dyDescent="0.2"/>
    <row r="3001" ht="12.75" hidden="1" x14ac:dyDescent="0.2"/>
    <row r="3002" ht="12.75" hidden="1" x14ac:dyDescent="0.2"/>
    <row r="3003" ht="12.75" hidden="1" x14ac:dyDescent="0.2"/>
    <row r="3004" ht="12.75" hidden="1" x14ac:dyDescent="0.2"/>
    <row r="3005" ht="12.75" hidden="1" x14ac:dyDescent="0.2"/>
    <row r="3006" ht="12.75" hidden="1" x14ac:dyDescent="0.2"/>
    <row r="3007" ht="12.75" hidden="1" x14ac:dyDescent="0.2"/>
    <row r="3008" ht="12.75" hidden="1" x14ac:dyDescent="0.2"/>
    <row r="3009" ht="12.75" hidden="1" x14ac:dyDescent="0.2"/>
    <row r="3010" ht="12.75" hidden="1" x14ac:dyDescent="0.2"/>
    <row r="3011" ht="12.75" hidden="1" x14ac:dyDescent="0.2"/>
    <row r="3012" ht="12.75" hidden="1" x14ac:dyDescent="0.2"/>
    <row r="3013" ht="12.75" hidden="1" x14ac:dyDescent="0.2"/>
    <row r="3014" ht="12.75" hidden="1" x14ac:dyDescent="0.2"/>
    <row r="3015" ht="12.75" hidden="1" x14ac:dyDescent="0.2"/>
    <row r="3016" ht="12.75" hidden="1" x14ac:dyDescent="0.2"/>
    <row r="3017" ht="12.75" hidden="1" x14ac:dyDescent="0.2"/>
    <row r="3018" ht="12.75" hidden="1" x14ac:dyDescent="0.2"/>
    <row r="3019" ht="12.75" hidden="1" x14ac:dyDescent="0.2"/>
    <row r="3020" ht="12.75" hidden="1" x14ac:dyDescent="0.2"/>
    <row r="3021" ht="12.75" hidden="1" x14ac:dyDescent="0.2"/>
    <row r="3022" ht="12.75" hidden="1" x14ac:dyDescent="0.2"/>
    <row r="3023" ht="12.75" hidden="1" x14ac:dyDescent="0.2"/>
    <row r="3024" ht="12.75" hidden="1" x14ac:dyDescent="0.2"/>
    <row r="3025" ht="12.75" hidden="1" x14ac:dyDescent="0.2"/>
    <row r="3026" ht="12.75" hidden="1" x14ac:dyDescent="0.2"/>
    <row r="3027" ht="12.75" hidden="1" x14ac:dyDescent="0.2"/>
    <row r="3028" ht="12.75" hidden="1" x14ac:dyDescent="0.2"/>
    <row r="3029" ht="12.75" hidden="1" x14ac:dyDescent="0.2"/>
    <row r="3030" ht="12.75" hidden="1" x14ac:dyDescent="0.2"/>
    <row r="3031" ht="12.75" hidden="1" x14ac:dyDescent="0.2"/>
    <row r="3032" ht="12.75" hidden="1" x14ac:dyDescent="0.2"/>
    <row r="3033" ht="12.75" hidden="1" x14ac:dyDescent="0.2"/>
    <row r="3034" ht="12.75" hidden="1" x14ac:dyDescent="0.2"/>
    <row r="3035" ht="12.75" hidden="1" x14ac:dyDescent="0.2"/>
    <row r="3036" ht="12.75" hidden="1" x14ac:dyDescent="0.2"/>
    <row r="3037" ht="12.75" hidden="1" x14ac:dyDescent="0.2"/>
    <row r="3038" ht="12.75" hidden="1" x14ac:dyDescent="0.2"/>
    <row r="3039" ht="12.75" hidden="1" x14ac:dyDescent="0.2"/>
    <row r="3040" ht="12.75" hidden="1" x14ac:dyDescent="0.2"/>
    <row r="3041" ht="12.75" hidden="1" x14ac:dyDescent="0.2"/>
    <row r="3042" ht="12.75" hidden="1" x14ac:dyDescent="0.2"/>
    <row r="3043" ht="12.75" hidden="1" x14ac:dyDescent="0.2"/>
    <row r="3044" ht="12.75" hidden="1" x14ac:dyDescent="0.2"/>
    <row r="3045" ht="12.75" hidden="1" x14ac:dyDescent="0.2"/>
    <row r="3046" ht="12.75" hidden="1" x14ac:dyDescent="0.2"/>
    <row r="3047" ht="12.75" hidden="1" x14ac:dyDescent="0.2"/>
    <row r="3048" ht="12.75" hidden="1" x14ac:dyDescent="0.2"/>
    <row r="3049" ht="12.75" hidden="1" x14ac:dyDescent="0.2"/>
    <row r="3050" ht="12.75" hidden="1" x14ac:dyDescent="0.2"/>
    <row r="3051" ht="12.75" hidden="1" x14ac:dyDescent="0.2"/>
    <row r="3052" ht="12.75" hidden="1" x14ac:dyDescent="0.2"/>
    <row r="3053" ht="12.75" hidden="1" x14ac:dyDescent="0.2"/>
    <row r="3054" ht="12.75" hidden="1" x14ac:dyDescent="0.2"/>
    <row r="3055" ht="12.75" hidden="1" x14ac:dyDescent="0.2"/>
    <row r="3056" ht="12.75" hidden="1" x14ac:dyDescent="0.2"/>
    <row r="3057" ht="12.75" hidden="1" x14ac:dyDescent="0.2"/>
    <row r="3058" ht="12.75" hidden="1" x14ac:dyDescent="0.2"/>
    <row r="3059" ht="12.75" hidden="1" x14ac:dyDescent="0.2"/>
    <row r="3060" ht="12.75" hidden="1" x14ac:dyDescent="0.2"/>
    <row r="3061" ht="12.75" hidden="1" x14ac:dyDescent="0.2"/>
    <row r="3062" ht="12.75" hidden="1" x14ac:dyDescent="0.2"/>
    <row r="3063" ht="12.75" hidden="1" x14ac:dyDescent="0.2"/>
    <row r="3064" ht="12.75" hidden="1" x14ac:dyDescent="0.2"/>
    <row r="3065" ht="12.75" hidden="1" x14ac:dyDescent="0.2"/>
    <row r="3066" ht="12.75" hidden="1" x14ac:dyDescent="0.2"/>
    <row r="3067" ht="12.75" hidden="1" x14ac:dyDescent="0.2"/>
    <row r="3068" ht="12.75" hidden="1" x14ac:dyDescent="0.2"/>
    <row r="3069" ht="12.75" hidden="1" x14ac:dyDescent="0.2"/>
    <row r="3070" ht="12.75" hidden="1" x14ac:dyDescent="0.2"/>
    <row r="3071" ht="12.75" hidden="1" x14ac:dyDescent="0.2"/>
    <row r="3072" ht="12.75" hidden="1" x14ac:dyDescent="0.2"/>
    <row r="3073" ht="12.75" hidden="1" x14ac:dyDescent="0.2"/>
    <row r="3074" ht="12.75" hidden="1" x14ac:dyDescent="0.2"/>
    <row r="3075" ht="12.75" hidden="1" x14ac:dyDescent="0.2"/>
    <row r="3076" ht="12.75" hidden="1" x14ac:dyDescent="0.2"/>
    <row r="3077" ht="12.75" hidden="1" x14ac:dyDescent="0.2"/>
    <row r="3078" ht="12.75" hidden="1" x14ac:dyDescent="0.2"/>
    <row r="3079" ht="12.75" hidden="1" x14ac:dyDescent="0.2"/>
    <row r="3080" ht="12.75" hidden="1" x14ac:dyDescent="0.2"/>
    <row r="3081" ht="12.75" hidden="1" x14ac:dyDescent="0.2"/>
    <row r="3082" ht="12.75" hidden="1" x14ac:dyDescent="0.2"/>
    <row r="3083" ht="12.75" hidden="1" x14ac:dyDescent="0.2"/>
    <row r="3084" ht="12.75" hidden="1" x14ac:dyDescent="0.2"/>
    <row r="3085" ht="12.75" hidden="1" x14ac:dyDescent="0.2"/>
    <row r="3086" ht="12.75" hidden="1" x14ac:dyDescent="0.2"/>
    <row r="3087" ht="12.75" hidden="1" x14ac:dyDescent="0.2"/>
    <row r="3088" ht="12.75" hidden="1" x14ac:dyDescent="0.2"/>
    <row r="3089" ht="12.75" hidden="1" x14ac:dyDescent="0.2"/>
    <row r="3090" ht="12.75" hidden="1" x14ac:dyDescent="0.2"/>
    <row r="3091" ht="12.75" hidden="1" x14ac:dyDescent="0.2"/>
    <row r="3092" ht="12.75" hidden="1" x14ac:dyDescent="0.2"/>
    <row r="3093" ht="12.75" hidden="1" x14ac:dyDescent="0.2"/>
    <row r="3094" ht="12.75" hidden="1" x14ac:dyDescent="0.2"/>
    <row r="3095" ht="12.75" hidden="1" x14ac:dyDescent="0.2"/>
    <row r="3096" ht="12.75" hidden="1" x14ac:dyDescent="0.2"/>
    <row r="3097" ht="12.75" hidden="1" x14ac:dyDescent="0.2"/>
    <row r="3098" ht="12.75" hidden="1" x14ac:dyDescent="0.2"/>
    <row r="3099" ht="12.75" hidden="1" x14ac:dyDescent="0.2"/>
    <row r="3100" ht="12.75" hidden="1" x14ac:dyDescent="0.2"/>
    <row r="3101" ht="12.75" hidden="1" x14ac:dyDescent="0.2"/>
    <row r="3102" ht="12.75" hidden="1" x14ac:dyDescent="0.2"/>
    <row r="3103" ht="12.75" hidden="1" x14ac:dyDescent="0.2"/>
    <row r="3104" ht="12.75" hidden="1" x14ac:dyDescent="0.2"/>
    <row r="3105" ht="12.75" hidden="1" x14ac:dyDescent="0.2"/>
    <row r="3106" ht="12.75" hidden="1" x14ac:dyDescent="0.2"/>
    <row r="3107" ht="12.75" hidden="1" x14ac:dyDescent="0.2"/>
    <row r="3108" ht="12.75" hidden="1" x14ac:dyDescent="0.2"/>
    <row r="3109" ht="12.75" hidden="1" x14ac:dyDescent="0.2"/>
    <row r="3110" ht="12.75" hidden="1" x14ac:dyDescent="0.2"/>
    <row r="3111" ht="12.75" hidden="1" x14ac:dyDescent="0.2"/>
    <row r="3112" ht="12.75" hidden="1" x14ac:dyDescent="0.2"/>
    <row r="3113" ht="12.75" hidden="1" x14ac:dyDescent="0.2"/>
    <row r="3114" ht="12.75" hidden="1" x14ac:dyDescent="0.2"/>
    <row r="3115" ht="12.75" hidden="1" x14ac:dyDescent="0.2"/>
    <row r="3116" ht="12.75" hidden="1" x14ac:dyDescent="0.2"/>
    <row r="3117" ht="12.75" hidden="1" x14ac:dyDescent="0.2"/>
    <row r="3118" ht="12.75" hidden="1" x14ac:dyDescent="0.2"/>
    <row r="3119" ht="12.75" hidden="1" x14ac:dyDescent="0.2"/>
    <row r="3120" ht="12.75" hidden="1" x14ac:dyDescent="0.2"/>
    <row r="3121" ht="12.75" hidden="1" x14ac:dyDescent="0.2"/>
    <row r="3122" ht="12.75" hidden="1" x14ac:dyDescent="0.2"/>
    <row r="3123" ht="12.75" hidden="1" x14ac:dyDescent="0.2"/>
    <row r="3124" ht="12.75" hidden="1" x14ac:dyDescent="0.2"/>
    <row r="3125" ht="12.75" hidden="1" x14ac:dyDescent="0.2"/>
    <row r="3126" ht="12.75" hidden="1" x14ac:dyDescent="0.2"/>
    <row r="3127" ht="12.75" hidden="1" x14ac:dyDescent="0.2"/>
    <row r="3128" ht="12.75" hidden="1" x14ac:dyDescent="0.2"/>
    <row r="3129" ht="12.75" hidden="1" x14ac:dyDescent="0.2"/>
    <row r="3130" ht="12.75" hidden="1" x14ac:dyDescent="0.2"/>
    <row r="3131" ht="12.75" hidden="1" x14ac:dyDescent="0.2"/>
    <row r="3132" ht="12.75" hidden="1" x14ac:dyDescent="0.2"/>
    <row r="3133" ht="12.75" hidden="1" x14ac:dyDescent="0.2"/>
    <row r="3134" ht="12.75" hidden="1" x14ac:dyDescent="0.2"/>
    <row r="3135" ht="12.75" hidden="1" x14ac:dyDescent="0.2"/>
    <row r="3136" ht="12.75" hidden="1" x14ac:dyDescent="0.2"/>
    <row r="3137" ht="12.75" hidden="1" x14ac:dyDescent="0.2"/>
    <row r="3138" ht="12.75" hidden="1" x14ac:dyDescent="0.2"/>
    <row r="3139" ht="12.75" hidden="1" x14ac:dyDescent="0.2"/>
    <row r="3140" ht="12.75" hidden="1" x14ac:dyDescent="0.2"/>
    <row r="3141" ht="12.75" hidden="1" x14ac:dyDescent="0.2"/>
    <row r="3142" ht="12.75" hidden="1" x14ac:dyDescent="0.2"/>
    <row r="3143" ht="12.75" hidden="1" x14ac:dyDescent="0.2"/>
    <row r="3144" ht="12.75" hidden="1" x14ac:dyDescent="0.2"/>
    <row r="3145" ht="12.75" hidden="1" x14ac:dyDescent="0.2"/>
    <row r="3146" ht="12.75" hidden="1" x14ac:dyDescent="0.2"/>
    <row r="3147" ht="12.75" hidden="1" x14ac:dyDescent="0.2"/>
    <row r="3148" ht="12.75" hidden="1" x14ac:dyDescent="0.2"/>
    <row r="3149" ht="12.75" hidden="1" x14ac:dyDescent="0.2"/>
    <row r="3150" ht="12.75" hidden="1" x14ac:dyDescent="0.2"/>
    <row r="3151" ht="12.75" hidden="1" x14ac:dyDescent="0.2"/>
    <row r="3152" ht="12.75" hidden="1" x14ac:dyDescent="0.2"/>
    <row r="3153" ht="12.75" hidden="1" x14ac:dyDescent="0.2"/>
    <row r="3154" ht="12.75" hidden="1" x14ac:dyDescent="0.2"/>
    <row r="3155" ht="12.75" hidden="1" x14ac:dyDescent="0.2"/>
    <row r="3156" ht="12.75" hidden="1" x14ac:dyDescent="0.2"/>
    <row r="3157" ht="12.75" hidden="1" x14ac:dyDescent="0.2"/>
    <row r="3158" ht="12.75" hidden="1" x14ac:dyDescent="0.2"/>
    <row r="3159" ht="12.75" hidden="1" x14ac:dyDescent="0.2"/>
    <row r="3160" ht="12.75" hidden="1" x14ac:dyDescent="0.2"/>
    <row r="3161" ht="12.75" hidden="1" x14ac:dyDescent="0.2"/>
    <row r="3162" ht="12.75" hidden="1" x14ac:dyDescent="0.2"/>
    <row r="3163" ht="12.75" hidden="1" x14ac:dyDescent="0.2"/>
    <row r="3164" ht="12.75" hidden="1" x14ac:dyDescent="0.2"/>
    <row r="3165" ht="12.75" hidden="1" x14ac:dyDescent="0.2"/>
    <row r="3166" ht="12.75" hidden="1" x14ac:dyDescent="0.2"/>
    <row r="3167" ht="12.75" hidden="1" x14ac:dyDescent="0.2"/>
    <row r="3168" ht="12.75" hidden="1" x14ac:dyDescent="0.2"/>
    <row r="3169" ht="12.75" hidden="1" x14ac:dyDescent="0.2"/>
    <row r="3170" ht="12.75" hidden="1" x14ac:dyDescent="0.2"/>
    <row r="3171" ht="12.75" hidden="1" x14ac:dyDescent="0.2"/>
    <row r="3172" ht="12.75" hidden="1" x14ac:dyDescent="0.2"/>
    <row r="3173" ht="12.75" hidden="1" x14ac:dyDescent="0.2"/>
    <row r="3174" ht="12.75" hidden="1" x14ac:dyDescent="0.2"/>
    <row r="3175" ht="12.75" hidden="1" x14ac:dyDescent="0.2"/>
    <row r="3176" ht="12.75" hidden="1" x14ac:dyDescent="0.2"/>
    <row r="3177" ht="12.75" hidden="1" x14ac:dyDescent="0.2"/>
    <row r="3178" ht="12.75" hidden="1" x14ac:dyDescent="0.2"/>
    <row r="3179" ht="12.75" hidden="1" x14ac:dyDescent="0.2"/>
    <row r="3180" ht="12.75" hidden="1" x14ac:dyDescent="0.2"/>
    <row r="3181" ht="12.75" hidden="1" x14ac:dyDescent="0.2"/>
    <row r="3182" ht="12.75" hidden="1" x14ac:dyDescent="0.2"/>
    <row r="3183" ht="12.75" hidden="1" x14ac:dyDescent="0.2"/>
    <row r="3184" ht="12.75" hidden="1" x14ac:dyDescent="0.2"/>
    <row r="3185" ht="12.75" hidden="1" x14ac:dyDescent="0.2"/>
    <row r="3186" ht="12.75" hidden="1" x14ac:dyDescent="0.2"/>
    <row r="3187" ht="12.75" hidden="1" x14ac:dyDescent="0.2"/>
    <row r="3188" ht="12.75" hidden="1" x14ac:dyDescent="0.2"/>
    <row r="3189" ht="12.75" hidden="1" x14ac:dyDescent="0.2"/>
    <row r="3190" ht="12.75" hidden="1" x14ac:dyDescent="0.2"/>
    <row r="3191" ht="12.75" hidden="1" x14ac:dyDescent="0.2"/>
    <row r="3192" ht="12.75" hidden="1" x14ac:dyDescent="0.2"/>
    <row r="3193" ht="12.75" hidden="1" x14ac:dyDescent="0.2"/>
    <row r="3194" ht="12.75" hidden="1" x14ac:dyDescent="0.2"/>
    <row r="3195" ht="12.75" hidden="1" x14ac:dyDescent="0.2"/>
    <row r="3196" ht="12.75" hidden="1" x14ac:dyDescent="0.2"/>
    <row r="3197" ht="12.75" hidden="1" x14ac:dyDescent="0.2"/>
    <row r="3198" ht="12.75" hidden="1" x14ac:dyDescent="0.2"/>
    <row r="3199" ht="12.75" hidden="1" x14ac:dyDescent="0.2"/>
    <row r="3200" ht="12.75" hidden="1" x14ac:dyDescent="0.2"/>
    <row r="3201" ht="12.75" hidden="1" x14ac:dyDescent="0.2"/>
    <row r="3202" ht="12.75" hidden="1" x14ac:dyDescent="0.2"/>
    <row r="3203" ht="12.75" hidden="1" x14ac:dyDescent="0.2"/>
    <row r="3204" ht="12.75" hidden="1" x14ac:dyDescent="0.2"/>
    <row r="3205" ht="12.75" hidden="1" x14ac:dyDescent="0.2"/>
    <row r="3206" ht="12.75" hidden="1" x14ac:dyDescent="0.2"/>
    <row r="3207" ht="12.75" hidden="1" x14ac:dyDescent="0.2"/>
    <row r="3208" ht="12.75" hidden="1" x14ac:dyDescent="0.2"/>
    <row r="3209" ht="12.75" hidden="1" x14ac:dyDescent="0.2"/>
    <row r="3210" ht="12.75" hidden="1" x14ac:dyDescent="0.2"/>
    <row r="3211" ht="12.75" hidden="1" x14ac:dyDescent="0.2"/>
    <row r="3212" ht="12.75" hidden="1" x14ac:dyDescent="0.2"/>
    <row r="3213" ht="12.75" hidden="1" x14ac:dyDescent="0.2"/>
    <row r="3214" ht="12.75" hidden="1" x14ac:dyDescent="0.2"/>
    <row r="3215" ht="12.75" hidden="1" x14ac:dyDescent="0.2"/>
    <row r="3216" ht="12.75" hidden="1" x14ac:dyDescent="0.2"/>
    <row r="3217" ht="12.75" hidden="1" x14ac:dyDescent="0.2"/>
    <row r="3218" ht="12.75" hidden="1" x14ac:dyDescent="0.2"/>
    <row r="3219" ht="12.75" hidden="1" x14ac:dyDescent="0.2"/>
    <row r="3220" ht="12.75" hidden="1" x14ac:dyDescent="0.2"/>
    <row r="3221" ht="12.75" hidden="1" x14ac:dyDescent="0.2"/>
    <row r="3222" ht="12.75" hidden="1" x14ac:dyDescent="0.2"/>
    <row r="3223" ht="12.75" hidden="1" x14ac:dyDescent="0.2"/>
    <row r="3224" ht="12.75" hidden="1" x14ac:dyDescent="0.2"/>
    <row r="3225" ht="12.75" hidden="1" x14ac:dyDescent="0.2"/>
    <row r="3226" ht="12.75" hidden="1" x14ac:dyDescent="0.2"/>
    <row r="3227" ht="12.75" hidden="1" x14ac:dyDescent="0.2"/>
    <row r="3228" ht="12.75" hidden="1" x14ac:dyDescent="0.2"/>
    <row r="3229" ht="12.75" hidden="1" x14ac:dyDescent="0.2"/>
    <row r="3230" ht="12.75" hidden="1" x14ac:dyDescent="0.2"/>
    <row r="3231" ht="12.75" hidden="1" x14ac:dyDescent="0.2"/>
    <row r="3232" ht="12.75" hidden="1" x14ac:dyDescent="0.2"/>
    <row r="3233" ht="12.75" hidden="1" x14ac:dyDescent="0.2"/>
    <row r="3234" ht="12.75" hidden="1" x14ac:dyDescent="0.2"/>
    <row r="3235" ht="12.75" hidden="1" x14ac:dyDescent="0.2"/>
    <row r="3236" ht="12.75" hidden="1" x14ac:dyDescent="0.2"/>
    <row r="3237" ht="12.75" hidden="1" x14ac:dyDescent="0.2"/>
    <row r="3238" ht="12.75" hidden="1" x14ac:dyDescent="0.2"/>
    <row r="3239" ht="12.75" hidden="1" x14ac:dyDescent="0.2"/>
    <row r="3240" ht="12.75" hidden="1" x14ac:dyDescent="0.2"/>
    <row r="3241" ht="12.75" hidden="1" x14ac:dyDescent="0.2"/>
    <row r="3242" ht="12.75" hidden="1" x14ac:dyDescent="0.2"/>
    <row r="3243" ht="12.75" hidden="1" x14ac:dyDescent="0.2"/>
    <row r="3244" ht="12.75" hidden="1" x14ac:dyDescent="0.2"/>
    <row r="3245" ht="12.75" hidden="1" x14ac:dyDescent="0.2"/>
    <row r="3246" ht="12.75" hidden="1" x14ac:dyDescent="0.2"/>
    <row r="3247" ht="12.75" hidden="1" x14ac:dyDescent="0.2"/>
    <row r="3248" ht="12.75" hidden="1" x14ac:dyDescent="0.2"/>
    <row r="3249" ht="12.75" hidden="1" x14ac:dyDescent="0.2"/>
    <row r="3250" ht="12.75" hidden="1" x14ac:dyDescent="0.2"/>
    <row r="3251" ht="12.75" hidden="1" x14ac:dyDescent="0.2"/>
    <row r="3252" ht="12.75" hidden="1" x14ac:dyDescent="0.2"/>
    <row r="3253" ht="12.75" hidden="1" x14ac:dyDescent="0.2"/>
    <row r="3254" ht="12.75" hidden="1" x14ac:dyDescent="0.2"/>
    <row r="3255" ht="12.75" hidden="1" x14ac:dyDescent="0.2"/>
    <row r="3256" ht="12.75" hidden="1" x14ac:dyDescent="0.2"/>
    <row r="3257" ht="12.75" hidden="1" x14ac:dyDescent="0.2"/>
    <row r="3258" ht="12.75" hidden="1" x14ac:dyDescent="0.2"/>
    <row r="3259" ht="12.75" hidden="1" x14ac:dyDescent="0.2"/>
    <row r="3260" ht="12.75" hidden="1" x14ac:dyDescent="0.2"/>
    <row r="3261" ht="12.75" hidden="1" x14ac:dyDescent="0.2"/>
    <row r="3262" ht="12.75" hidden="1" x14ac:dyDescent="0.2"/>
    <row r="3263" ht="12.75" hidden="1" x14ac:dyDescent="0.2"/>
    <row r="3264" ht="12.75" hidden="1" x14ac:dyDescent="0.2"/>
    <row r="3265" ht="12.75" hidden="1" x14ac:dyDescent="0.2"/>
    <row r="3266" ht="12.75" hidden="1" x14ac:dyDescent="0.2"/>
    <row r="3267" ht="12.75" hidden="1" x14ac:dyDescent="0.2"/>
    <row r="3268" ht="12.75" hidden="1" x14ac:dyDescent="0.2"/>
    <row r="3269" ht="12.75" hidden="1" x14ac:dyDescent="0.2"/>
    <row r="3270" ht="12.75" hidden="1" x14ac:dyDescent="0.2"/>
    <row r="3271" ht="12.75" hidden="1" x14ac:dyDescent="0.2"/>
    <row r="3272" ht="12.75" hidden="1" x14ac:dyDescent="0.2"/>
    <row r="3273" ht="12.75" hidden="1" x14ac:dyDescent="0.2"/>
    <row r="3274" ht="12.75" hidden="1" x14ac:dyDescent="0.2"/>
    <row r="3275" ht="12.75" hidden="1" x14ac:dyDescent="0.2"/>
    <row r="3276" ht="12.75" hidden="1" x14ac:dyDescent="0.2"/>
    <row r="3277" ht="12.75" hidden="1" x14ac:dyDescent="0.2"/>
    <row r="3278" ht="12.75" hidden="1" x14ac:dyDescent="0.2"/>
    <row r="3279" ht="12.75" hidden="1" x14ac:dyDescent="0.2"/>
    <row r="3280" ht="12.75" hidden="1" x14ac:dyDescent="0.2"/>
    <row r="3281" ht="12.75" hidden="1" x14ac:dyDescent="0.2"/>
    <row r="3282" ht="12.75" hidden="1" x14ac:dyDescent="0.2"/>
    <row r="3283" ht="12.75" hidden="1" x14ac:dyDescent="0.2"/>
    <row r="3284" ht="12.75" hidden="1" x14ac:dyDescent="0.2"/>
    <row r="3285" ht="12.75" hidden="1" x14ac:dyDescent="0.2"/>
    <row r="3286" ht="12.75" hidden="1" x14ac:dyDescent="0.2"/>
    <row r="3287" ht="12.75" hidden="1" x14ac:dyDescent="0.2"/>
    <row r="3288" ht="12.75" hidden="1" x14ac:dyDescent="0.2"/>
    <row r="3289" ht="12.75" hidden="1" x14ac:dyDescent="0.2"/>
    <row r="3290" ht="12.75" hidden="1" x14ac:dyDescent="0.2"/>
    <row r="3291" ht="12.75" hidden="1" x14ac:dyDescent="0.2"/>
    <row r="3292" ht="12.75" hidden="1" x14ac:dyDescent="0.2"/>
    <row r="3293" ht="12.75" hidden="1" x14ac:dyDescent="0.2"/>
    <row r="3294" ht="12.75" hidden="1" x14ac:dyDescent="0.2"/>
    <row r="3295" ht="12.75" hidden="1" x14ac:dyDescent="0.2"/>
    <row r="3296" ht="12.75" hidden="1" x14ac:dyDescent="0.2"/>
    <row r="3297" ht="12.75" hidden="1" x14ac:dyDescent="0.2"/>
    <row r="3298" ht="12.75" hidden="1" x14ac:dyDescent="0.2"/>
    <row r="3299" ht="12.75" hidden="1" x14ac:dyDescent="0.2"/>
    <row r="3300" ht="12.75" hidden="1" x14ac:dyDescent="0.2"/>
    <row r="3301" ht="12.75" hidden="1" x14ac:dyDescent="0.2"/>
    <row r="3302" ht="12.75" hidden="1" x14ac:dyDescent="0.2"/>
    <row r="3303" ht="12.75" hidden="1" x14ac:dyDescent="0.2"/>
    <row r="3304" ht="12.75" hidden="1" x14ac:dyDescent="0.2"/>
    <row r="3305" ht="12.75" hidden="1" x14ac:dyDescent="0.2"/>
    <row r="3306" ht="12.75" hidden="1" x14ac:dyDescent="0.2"/>
    <row r="3307" ht="12.75" hidden="1" x14ac:dyDescent="0.2"/>
    <row r="3308" ht="12.75" hidden="1" x14ac:dyDescent="0.2"/>
    <row r="3309" ht="12.75" hidden="1" x14ac:dyDescent="0.2"/>
    <row r="3310" ht="12.75" hidden="1" x14ac:dyDescent="0.2"/>
    <row r="3311" ht="12.75" hidden="1" x14ac:dyDescent="0.2"/>
    <row r="3312" ht="12.75" hidden="1" x14ac:dyDescent="0.2"/>
    <row r="3313" ht="12.75" hidden="1" x14ac:dyDescent="0.2"/>
    <row r="3314" ht="12.75" hidden="1" x14ac:dyDescent="0.2"/>
    <row r="3315" ht="12.75" hidden="1" x14ac:dyDescent="0.2"/>
    <row r="3316" ht="12.75" hidden="1" x14ac:dyDescent="0.2"/>
    <row r="3317" ht="12.75" hidden="1" x14ac:dyDescent="0.2"/>
    <row r="3318" ht="12.75" hidden="1" x14ac:dyDescent="0.2"/>
    <row r="3319" ht="12.75" hidden="1" x14ac:dyDescent="0.2"/>
    <row r="3320" ht="12.75" hidden="1" x14ac:dyDescent="0.2"/>
    <row r="3321" ht="12.75" hidden="1" x14ac:dyDescent="0.2"/>
    <row r="3322" ht="12.75" hidden="1" x14ac:dyDescent="0.2"/>
    <row r="3323" ht="12.75" hidden="1" x14ac:dyDescent="0.2"/>
    <row r="3324" ht="12.75" hidden="1" x14ac:dyDescent="0.2"/>
    <row r="3325" ht="12.75" hidden="1" x14ac:dyDescent="0.2"/>
    <row r="3326" ht="12.75" hidden="1" x14ac:dyDescent="0.2"/>
    <row r="3327" ht="12.75" hidden="1" x14ac:dyDescent="0.2"/>
    <row r="3328" ht="12.75" hidden="1" x14ac:dyDescent="0.2"/>
    <row r="3329" ht="12.75" hidden="1" x14ac:dyDescent="0.2"/>
    <row r="3330" ht="12.75" hidden="1" x14ac:dyDescent="0.2"/>
    <row r="3331" ht="12.75" hidden="1" x14ac:dyDescent="0.2"/>
    <row r="3332" ht="12.75" hidden="1" x14ac:dyDescent="0.2"/>
    <row r="3333" ht="12.75" hidden="1" x14ac:dyDescent="0.2"/>
    <row r="3334" ht="12.75" hidden="1" x14ac:dyDescent="0.2"/>
    <row r="3335" ht="12.75" hidden="1" x14ac:dyDescent="0.2"/>
    <row r="3336" ht="12.75" hidden="1" x14ac:dyDescent="0.2"/>
    <row r="3337" ht="12.75" hidden="1" x14ac:dyDescent="0.2"/>
    <row r="3338" ht="12.75" hidden="1" x14ac:dyDescent="0.2"/>
    <row r="3339" ht="12.75" hidden="1" x14ac:dyDescent="0.2"/>
    <row r="3340" ht="12.75" hidden="1" x14ac:dyDescent="0.2"/>
    <row r="3341" ht="12.75" hidden="1" x14ac:dyDescent="0.2"/>
    <row r="3342" ht="12.75" hidden="1" x14ac:dyDescent="0.2"/>
    <row r="3343" ht="12.75" hidden="1" x14ac:dyDescent="0.2"/>
    <row r="3344" ht="12.75" hidden="1" x14ac:dyDescent="0.2"/>
    <row r="3345" ht="12.75" hidden="1" x14ac:dyDescent="0.2"/>
    <row r="3346" ht="12.75" hidden="1" x14ac:dyDescent="0.2"/>
    <row r="3347" ht="12.75" hidden="1" x14ac:dyDescent="0.2"/>
    <row r="3348" ht="12.75" hidden="1" x14ac:dyDescent="0.2"/>
    <row r="3349" ht="12.75" hidden="1" x14ac:dyDescent="0.2"/>
    <row r="3350" ht="12.75" hidden="1" x14ac:dyDescent="0.2"/>
    <row r="3351" ht="12.75" hidden="1" x14ac:dyDescent="0.2"/>
    <row r="3352" ht="12.75" hidden="1" x14ac:dyDescent="0.2"/>
    <row r="3353" ht="12.75" hidden="1" x14ac:dyDescent="0.2"/>
    <row r="3354" ht="12.75" hidden="1" x14ac:dyDescent="0.2"/>
    <row r="3355" ht="12.75" hidden="1" x14ac:dyDescent="0.2"/>
    <row r="3356" ht="12.75" hidden="1" x14ac:dyDescent="0.2"/>
    <row r="3357" ht="12.75" hidden="1" x14ac:dyDescent="0.2"/>
    <row r="3358" ht="12.75" hidden="1" x14ac:dyDescent="0.2"/>
    <row r="3359" ht="12.75" hidden="1" x14ac:dyDescent="0.2"/>
    <row r="3360" ht="12.75" hidden="1" x14ac:dyDescent="0.2"/>
    <row r="3361" ht="12.75" hidden="1" x14ac:dyDescent="0.2"/>
    <row r="3362" ht="12.75" hidden="1" x14ac:dyDescent="0.2"/>
    <row r="3363" ht="12.75" hidden="1" x14ac:dyDescent="0.2"/>
    <row r="3364" ht="12.75" hidden="1" x14ac:dyDescent="0.2"/>
    <row r="3365" ht="12.75" hidden="1" x14ac:dyDescent="0.2"/>
    <row r="3366" ht="12.75" hidden="1" x14ac:dyDescent="0.2"/>
    <row r="3367" ht="12.75" hidden="1" x14ac:dyDescent="0.2"/>
    <row r="3368" ht="12.75" hidden="1" x14ac:dyDescent="0.2"/>
    <row r="3369" ht="12.75" hidden="1" x14ac:dyDescent="0.2"/>
    <row r="3370" ht="12.75" hidden="1" x14ac:dyDescent="0.2"/>
    <row r="3371" ht="12.75" hidden="1" x14ac:dyDescent="0.2"/>
    <row r="3372" ht="12.75" hidden="1" x14ac:dyDescent="0.2"/>
    <row r="3373" ht="12.75" hidden="1" x14ac:dyDescent="0.2"/>
    <row r="3374" ht="12.75" hidden="1" x14ac:dyDescent="0.2"/>
    <row r="3375" ht="12.75" hidden="1" x14ac:dyDescent="0.2"/>
    <row r="3376" ht="12.75" hidden="1" x14ac:dyDescent="0.2"/>
    <row r="3377" ht="12.75" hidden="1" x14ac:dyDescent="0.2"/>
    <row r="3378" ht="12.75" hidden="1" x14ac:dyDescent="0.2"/>
    <row r="3379" ht="12.75" hidden="1" x14ac:dyDescent="0.2"/>
    <row r="3380" ht="12.75" hidden="1" x14ac:dyDescent="0.2"/>
    <row r="3381" ht="12.75" hidden="1" x14ac:dyDescent="0.2"/>
    <row r="3382" ht="12.75" hidden="1" x14ac:dyDescent="0.2"/>
    <row r="3383" ht="12.75" hidden="1" x14ac:dyDescent="0.2"/>
    <row r="3384" ht="12.75" hidden="1" x14ac:dyDescent="0.2"/>
    <row r="3385" ht="12.75" hidden="1" x14ac:dyDescent="0.2"/>
    <row r="3386" ht="12.75" hidden="1" x14ac:dyDescent="0.2"/>
    <row r="3387" ht="12.75" hidden="1" x14ac:dyDescent="0.2"/>
    <row r="3388" ht="12.75" hidden="1" x14ac:dyDescent="0.2"/>
    <row r="3389" ht="12.75" hidden="1" x14ac:dyDescent="0.2"/>
    <row r="3390" ht="12.75" hidden="1" x14ac:dyDescent="0.2"/>
    <row r="3391" ht="12.75" hidden="1" x14ac:dyDescent="0.2"/>
    <row r="3392" ht="12.75" hidden="1" x14ac:dyDescent="0.2"/>
    <row r="3393" ht="12.75" hidden="1" x14ac:dyDescent="0.2"/>
    <row r="3394" ht="12.75" hidden="1" x14ac:dyDescent="0.2"/>
    <row r="3395" ht="12.75" hidden="1" x14ac:dyDescent="0.2"/>
    <row r="3396" ht="12.75" hidden="1" x14ac:dyDescent="0.2"/>
    <row r="3397" ht="12.75" hidden="1" x14ac:dyDescent="0.2"/>
    <row r="3398" ht="12.75" hidden="1" x14ac:dyDescent="0.2"/>
    <row r="3399" ht="12.75" hidden="1" x14ac:dyDescent="0.2"/>
    <row r="3400" ht="12.75" hidden="1" x14ac:dyDescent="0.2"/>
    <row r="3401" ht="12.75" hidden="1" x14ac:dyDescent="0.2"/>
    <row r="3402" ht="12.75" hidden="1" x14ac:dyDescent="0.2"/>
    <row r="3403" ht="12.75" hidden="1" x14ac:dyDescent="0.2"/>
    <row r="3404" ht="12.75" hidden="1" x14ac:dyDescent="0.2"/>
    <row r="3405" ht="12.75" hidden="1" x14ac:dyDescent="0.2"/>
    <row r="3406" ht="12.75" hidden="1" x14ac:dyDescent="0.2"/>
    <row r="3407" ht="12.75" hidden="1" x14ac:dyDescent="0.2"/>
    <row r="3408" ht="12.75" hidden="1" x14ac:dyDescent="0.2"/>
    <row r="3409" ht="12.75" hidden="1" x14ac:dyDescent="0.2"/>
    <row r="3410" ht="12.75" hidden="1" x14ac:dyDescent="0.2"/>
    <row r="3411" ht="12.75" hidden="1" x14ac:dyDescent="0.2"/>
    <row r="3412" ht="12.75" hidden="1" x14ac:dyDescent="0.2"/>
    <row r="3413" ht="12.75" hidden="1" x14ac:dyDescent="0.2"/>
    <row r="3414" ht="12.75" hidden="1" x14ac:dyDescent="0.2"/>
    <row r="3415" ht="12.75" hidden="1" x14ac:dyDescent="0.2"/>
    <row r="3416" ht="12.75" hidden="1" x14ac:dyDescent="0.2"/>
    <row r="3417" ht="12.75" hidden="1" x14ac:dyDescent="0.2"/>
    <row r="3418" ht="12.75" hidden="1" x14ac:dyDescent="0.2"/>
    <row r="3419" ht="12.75" hidden="1" x14ac:dyDescent="0.2"/>
    <row r="3420" ht="12.75" hidden="1" x14ac:dyDescent="0.2"/>
    <row r="3421" ht="12.75" hidden="1" x14ac:dyDescent="0.2"/>
    <row r="3422" ht="12.75" hidden="1" x14ac:dyDescent="0.2"/>
    <row r="3423" ht="12.75" hidden="1" x14ac:dyDescent="0.2"/>
    <row r="3424" ht="12.75" hidden="1" x14ac:dyDescent="0.2"/>
    <row r="3425" ht="12.75" hidden="1" x14ac:dyDescent="0.2"/>
    <row r="3426" ht="12.75" hidden="1" x14ac:dyDescent="0.2"/>
    <row r="3427" ht="12.75" hidden="1" x14ac:dyDescent="0.2"/>
    <row r="3428" ht="12.75" hidden="1" x14ac:dyDescent="0.2"/>
    <row r="3429" ht="12.75" hidden="1" x14ac:dyDescent="0.2"/>
    <row r="3430" ht="12.75" hidden="1" x14ac:dyDescent="0.2"/>
    <row r="3431" ht="12.75" hidden="1" x14ac:dyDescent="0.2"/>
    <row r="3432" ht="12.75" hidden="1" x14ac:dyDescent="0.2"/>
    <row r="3433" ht="12.75" hidden="1" x14ac:dyDescent="0.2"/>
    <row r="3434" ht="12.75" hidden="1" x14ac:dyDescent="0.2"/>
    <row r="3435" ht="12.75" hidden="1" x14ac:dyDescent="0.2"/>
    <row r="3436" ht="12.75" hidden="1" x14ac:dyDescent="0.2"/>
    <row r="3437" ht="12.75" hidden="1" x14ac:dyDescent="0.2"/>
    <row r="3438" ht="12.75" hidden="1" x14ac:dyDescent="0.2"/>
    <row r="3439" ht="12.75" hidden="1" x14ac:dyDescent="0.2"/>
    <row r="3440" ht="12.75" hidden="1" x14ac:dyDescent="0.2"/>
    <row r="3441" ht="12.75" hidden="1" x14ac:dyDescent="0.2"/>
    <row r="3442" ht="12.75" hidden="1" x14ac:dyDescent="0.2"/>
    <row r="3443" ht="12.75" hidden="1" x14ac:dyDescent="0.2"/>
    <row r="3444" ht="12.75" hidden="1" x14ac:dyDescent="0.2"/>
    <row r="3445" ht="12.75" hidden="1" x14ac:dyDescent="0.2"/>
    <row r="3446" ht="12.75" hidden="1" x14ac:dyDescent="0.2"/>
    <row r="3447" ht="12.75" hidden="1" x14ac:dyDescent="0.2"/>
    <row r="3448" ht="12.75" hidden="1" x14ac:dyDescent="0.2"/>
    <row r="3449" ht="12.75" hidden="1" x14ac:dyDescent="0.2"/>
    <row r="3450" ht="12.75" hidden="1" x14ac:dyDescent="0.2"/>
    <row r="3451" ht="12.75" hidden="1" x14ac:dyDescent="0.2"/>
    <row r="3452" ht="12.75" hidden="1" x14ac:dyDescent="0.2"/>
    <row r="3453" ht="12.75" hidden="1" x14ac:dyDescent="0.2"/>
    <row r="3454" ht="12.75" hidden="1" x14ac:dyDescent="0.2"/>
    <row r="3455" ht="12.75" hidden="1" x14ac:dyDescent="0.2"/>
    <row r="3456" ht="12.75" hidden="1" x14ac:dyDescent="0.2"/>
    <row r="3457" ht="12.75" hidden="1" x14ac:dyDescent="0.2"/>
    <row r="3458" ht="12.75" hidden="1" x14ac:dyDescent="0.2"/>
    <row r="3459" ht="12.75" hidden="1" x14ac:dyDescent="0.2"/>
    <row r="3460" ht="12.75" hidden="1" x14ac:dyDescent="0.2"/>
    <row r="3461" ht="12.75" hidden="1" x14ac:dyDescent="0.2"/>
    <row r="3462" ht="12.75" hidden="1" x14ac:dyDescent="0.2"/>
    <row r="3463" ht="12.75" hidden="1" x14ac:dyDescent="0.2"/>
    <row r="3464" ht="12.75" hidden="1" x14ac:dyDescent="0.2"/>
    <row r="3465" ht="12.75" hidden="1" x14ac:dyDescent="0.2"/>
    <row r="3466" ht="12.75" hidden="1" x14ac:dyDescent="0.2"/>
    <row r="3467" ht="12.75" hidden="1" x14ac:dyDescent="0.2"/>
    <row r="3468" ht="12.75" hidden="1" x14ac:dyDescent="0.2"/>
    <row r="3469" ht="12.75" hidden="1" x14ac:dyDescent="0.2"/>
    <row r="3470" ht="12.75" hidden="1" x14ac:dyDescent="0.2"/>
    <row r="3471" ht="12.75" hidden="1" x14ac:dyDescent="0.2"/>
    <row r="3472" ht="12.75" hidden="1" x14ac:dyDescent="0.2"/>
    <row r="3473" ht="12.75" hidden="1" x14ac:dyDescent="0.2"/>
    <row r="3474" ht="12.75" hidden="1" x14ac:dyDescent="0.2"/>
    <row r="3475" ht="12.75" hidden="1" x14ac:dyDescent="0.2"/>
    <row r="3476" ht="12.75" hidden="1" x14ac:dyDescent="0.2"/>
    <row r="3477" ht="12.75" hidden="1" x14ac:dyDescent="0.2"/>
    <row r="3478" ht="12.75" hidden="1" x14ac:dyDescent="0.2"/>
    <row r="3479" ht="12.75" hidden="1" x14ac:dyDescent="0.2"/>
    <row r="3480" ht="12.75" hidden="1" x14ac:dyDescent="0.2"/>
    <row r="3481" ht="12.75" hidden="1" x14ac:dyDescent="0.2"/>
    <row r="3482" ht="12.75" hidden="1" x14ac:dyDescent="0.2"/>
    <row r="3483" ht="12.75" hidden="1" x14ac:dyDescent="0.2"/>
    <row r="3484" ht="12.75" hidden="1" x14ac:dyDescent="0.2"/>
    <row r="3485" ht="12.75" hidden="1" x14ac:dyDescent="0.2"/>
    <row r="3486" ht="12.75" hidden="1" x14ac:dyDescent="0.2"/>
    <row r="3487" ht="12.75" hidden="1" x14ac:dyDescent="0.2"/>
    <row r="3488" ht="12.75" hidden="1" x14ac:dyDescent="0.2"/>
    <row r="3489" ht="12.75" hidden="1" x14ac:dyDescent="0.2"/>
    <row r="3490" ht="12.75" hidden="1" x14ac:dyDescent="0.2"/>
    <row r="3491" ht="12.75" hidden="1" x14ac:dyDescent="0.2"/>
    <row r="3492" ht="12.75" hidden="1" x14ac:dyDescent="0.2"/>
    <row r="3493" ht="12.75" hidden="1" x14ac:dyDescent="0.2"/>
    <row r="3494" ht="12.75" hidden="1" x14ac:dyDescent="0.2"/>
    <row r="3495" ht="12.75" hidden="1" x14ac:dyDescent="0.2"/>
    <row r="3496" ht="12.75" hidden="1" x14ac:dyDescent="0.2"/>
    <row r="3497" ht="12.75" hidden="1" x14ac:dyDescent="0.2"/>
    <row r="3498" ht="12.75" hidden="1" x14ac:dyDescent="0.2"/>
    <row r="3499" ht="12.75" hidden="1" x14ac:dyDescent="0.2"/>
    <row r="3500" ht="12.75" hidden="1" x14ac:dyDescent="0.2"/>
    <row r="3501" ht="12.75" hidden="1" x14ac:dyDescent="0.2"/>
    <row r="3502" ht="12.75" hidden="1" x14ac:dyDescent="0.2"/>
    <row r="3503" ht="12.75" hidden="1" x14ac:dyDescent="0.2"/>
    <row r="3504" ht="12.75" hidden="1" x14ac:dyDescent="0.2"/>
    <row r="3505" ht="12.75" hidden="1" x14ac:dyDescent="0.2"/>
    <row r="3506" ht="12.75" hidden="1" x14ac:dyDescent="0.2"/>
    <row r="3507" ht="12.75" hidden="1" x14ac:dyDescent="0.2"/>
    <row r="3508" ht="12.75" hidden="1" x14ac:dyDescent="0.2"/>
    <row r="3509" ht="12.75" hidden="1" x14ac:dyDescent="0.2"/>
    <row r="3510" ht="12.75" hidden="1" x14ac:dyDescent="0.2"/>
    <row r="3511" ht="12.75" hidden="1" x14ac:dyDescent="0.2"/>
    <row r="3512" ht="12.75" hidden="1" x14ac:dyDescent="0.2"/>
    <row r="3513" ht="12.75" hidden="1" x14ac:dyDescent="0.2"/>
    <row r="3514" ht="12.75" hidden="1" x14ac:dyDescent="0.2"/>
    <row r="3515" ht="12.75" hidden="1" x14ac:dyDescent="0.2"/>
    <row r="3516" ht="12.75" hidden="1" x14ac:dyDescent="0.2"/>
    <row r="3517" ht="12.75" hidden="1" x14ac:dyDescent="0.2"/>
    <row r="3518" ht="12.75" hidden="1" x14ac:dyDescent="0.2"/>
    <row r="3519" ht="12.75" hidden="1" x14ac:dyDescent="0.2"/>
    <row r="3520" ht="12.75" hidden="1" x14ac:dyDescent="0.2"/>
    <row r="3521" ht="12.75" hidden="1" x14ac:dyDescent="0.2"/>
    <row r="3522" ht="12.75" hidden="1" x14ac:dyDescent="0.2"/>
    <row r="3523" ht="12.75" hidden="1" x14ac:dyDescent="0.2"/>
    <row r="3524" ht="12.75" hidden="1" x14ac:dyDescent="0.2"/>
    <row r="3525" ht="12.75" hidden="1" x14ac:dyDescent="0.2"/>
    <row r="3526" ht="12.75" hidden="1" x14ac:dyDescent="0.2"/>
    <row r="3527" ht="12.75" hidden="1" x14ac:dyDescent="0.2"/>
    <row r="3528" ht="12.75" hidden="1" x14ac:dyDescent="0.2"/>
    <row r="3529" ht="12.75" hidden="1" x14ac:dyDescent="0.2"/>
    <row r="3530" ht="12.75" hidden="1" x14ac:dyDescent="0.2"/>
    <row r="3531" ht="12.75" hidden="1" x14ac:dyDescent="0.2"/>
    <row r="3532" ht="12.75" hidden="1" x14ac:dyDescent="0.2"/>
    <row r="3533" ht="12.75" hidden="1" x14ac:dyDescent="0.2"/>
    <row r="3534" ht="12.75" hidden="1" x14ac:dyDescent="0.2"/>
    <row r="3535" ht="12.75" hidden="1" x14ac:dyDescent="0.2"/>
    <row r="3536" ht="12.75" hidden="1" x14ac:dyDescent="0.2"/>
    <row r="3537" ht="12.75" hidden="1" x14ac:dyDescent="0.2"/>
    <row r="3538" ht="12.75" hidden="1" x14ac:dyDescent="0.2"/>
    <row r="3539" ht="12.75" hidden="1" x14ac:dyDescent="0.2"/>
    <row r="3540" ht="12.75" hidden="1" x14ac:dyDescent="0.2"/>
    <row r="3541" ht="12.75" hidden="1" x14ac:dyDescent="0.2"/>
    <row r="3542" ht="12.75" hidden="1" x14ac:dyDescent="0.2"/>
    <row r="3543" ht="12.75" hidden="1" x14ac:dyDescent="0.2"/>
    <row r="3544" ht="12.75" hidden="1" x14ac:dyDescent="0.2"/>
    <row r="3545" ht="12.75" hidden="1" x14ac:dyDescent="0.2"/>
    <row r="3546" ht="12.75" hidden="1" x14ac:dyDescent="0.2"/>
    <row r="3547" ht="12.75" hidden="1" x14ac:dyDescent="0.2"/>
    <row r="3548" ht="12.75" hidden="1" x14ac:dyDescent="0.2"/>
    <row r="3549" ht="12.75" hidden="1" x14ac:dyDescent="0.2"/>
    <row r="3550" ht="12.75" hidden="1" x14ac:dyDescent="0.2"/>
    <row r="3551" ht="12.75" hidden="1" x14ac:dyDescent="0.2"/>
    <row r="3552" ht="12.75" hidden="1" x14ac:dyDescent="0.2"/>
    <row r="3553" ht="12.75" hidden="1" x14ac:dyDescent="0.2"/>
    <row r="3554" ht="12.75" hidden="1" x14ac:dyDescent="0.2"/>
    <row r="3555" ht="12.75" hidden="1" x14ac:dyDescent="0.2"/>
    <row r="3556" ht="12.75" hidden="1" x14ac:dyDescent="0.2"/>
    <row r="3557" ht="12.75" hidden="1" x14ac:dyDescent="0.2"/>
    <row r="3558" ht="12.75" hidden="1" x14ac:dyDescent="0.2"/>
    <row r="3559" ht="12.75" hidden="1" x14ac:dyDescent="0.2"/>
    <row r="3560" ht="12.75" hidden="1" x14ac:dyDescent="0.2"/>
    <row r="3561" ht="12.75" hidden="1" x14ac:dyDescent="0.2"/>
    <row r="3562" ht="12.75" hidden="1" x14ac:dyDescent="0.2"/>
    <row r="3563" ht="12.75" hidden="1" x14ac:dyDescent="0.2"/>
    <row r="3564" ht="12.75" hidden="1" x14ac:dyDescent="0.2"/>
    <row r="3565" ht="12.75" hidden="1" x14ac:dyDescent="0.2"/>
    <row r="3566" ht="12.75" hidden="1" x14ac:dyDescent="0.2"/>
    <row r="3567" ht="12.75" hidden="1" x14ac:dyDescent="0.2"/>
    <row r="3568" ht="12.75" hidden="1" x14ac:dyDescent="0.2"/>
    <row r="3569" ht="12.75" hidden="1" x14ac:dyDescent="0.2"/>
    <row r="3570" ht="12.75" hidden="1" x14ac:dyDescent="0.2"/>
    <row r="3571" ht="12.75" hidden="1" x14ac:dyDescent="0.2"/>
    <row r="3572" ht="12.75" hidden="1" x14ac:dyDescent="0.2"/>
    <row r="3573" ht="12.75" hidden="1" x14ac:dyDescent="0.2"/>
    <row r="3574" ht="12.75" hidden="1" x14ac:dyDescent="0.2"/>
    <row r="3575" ht="12.75" hidden="1" x14ac:dyDescent="0.2"/>
    <row r="3576" ht="12.75" hidden="1" x14ac:dyDescent="0.2"/>
    <row r="3577" ht="12.75" hidden="1" x14ac:dyDescent="0.2"/>
    <row r="3578" ht="12.75" hidden="1" x14ac:dyDescent="0.2"/>
    <row r="3579" ht="12.75" hidden="1" x14ac:dyDescent="0.2"/>
    <row r="3580" ht="12.75" hidden="1" x14ac:dyDescent="0.2"/>
    <row r="3581" ht="12.75" hidden="1" x14ac:dyDescent="0.2"/>
    <row r="3582" ht="12.75" hidden="1" x14ac:dyDescent="0.2"/>
    <row r="3583" ht="12.75" hidden="1" x14ac:dyDescent="0.2"/>
    <row r="3584" ht="12.75" hidden="1" x14ac:dyDescent="0.2"/>
    <row r="3585" ht="12.75" hidden="1" x14ac:dyDescent="0.2"/>
    <row r="3586" ht="12.75" hidden="1" x14ac:dyDescent="0.2"/>
    <row r="3587" ht="12.75" hidden="1" x14ac:dyDescent="0.2"/>
    <row r="3588" ht="12.75" hidden="1" x14ac:dyDescent="0.2"/>
    <row r="3589" ht="12.75" hidden="1" x14ac:dyDescent="0.2"/>
    <row r="3590" ht="12.75" hidden="1" x14ac:dyDescent="0.2"/>
    <row r="3591" ht="12.75" hidden="1" x14ac:dyDescent="0.2"/>
    <row r="3592" ht="12.75" hidden="1" x14ac:dyDescent="0.2"/>
    <row r="3593" ht="12.75" hidden="1" x14ac:dyDescent="0.2"/>
    <row r="3594" ht="12.75" hidden="1" x14ac:dyDescent="0.2"/>
    <row r="3595" ht="12.75" hidden="1" x14ac:dyDescent="0.2"/>
    <row r="3596" ht="12.75" hidden="1" x14ac:dyDescent="0.2"/>
    <row r="3597" ht="12.75" hidden="1" x14ac:dyDescent="0.2"/>
    <row r="3598" ht="12.75" hidden="1" x14ac:dyDescent="0.2"/>
    <row r="3599" ht="12.75" hidden="1" x14ac:dyDescent="0.2"/>
    <row r="3600" ht="12.75" hidden="1" x14ac:dyDescent="0.2"/>
    <row r="3601" ht="12.75" hidden="1" x14ac:dyDescent="0.2"/>
    <row r="3602" ht="12.75" hidden="1" x14ac:dyDescent="0.2"/>
    <row r="3603" ht="12.75" hidden="1" x14ac:dyDescent="0.2"/>
    <row r="3604" ht="12.75" hidden="1" x14ac:dyDescent="0.2"/>
    <row r="3605" ht="12.75" hidden="1" x14ac:dyDescent="0.2"/>
    <row r="3606" ht="12.75" hidden="1" x14ac:dyDescent="0.2"/>
    <row r="3607" ht="12.75" hidden="1" x14ac:dyDescent="0.2"/>
    <row r="3608" ht="12.75" hidden="1" x14ac:dyDescent="0.2"/>
    <row r="3609" ht="12.75" hidden="1" x14ac:dyDescent="0.2"/>
    <row r="3610" ht="12.75" hidden="1" x14ac:dyDescent="0.2"/>
    <row r="3611" ht="12.75" hidden="1" x14ac:dyDescent="0.2"/>
    <row r="3612" ht="12.75" hidden="1" x14ac:dyDescent="0.2"/>
    <row r="3613" ht="12.75" hidden="1" x14ac:dyDescent="0.2"/>
    <row r="3614" ht="12.75" hidden="1" x14ac:dyDescent="0.2"/>
    <row r="3615" ht="12.75" hidden="1" x14ac:dyDescent="0.2"/>
    <row r="3616" ht="12.75" hidden="1" x14ac:dyDescent="0.2"/>
    <row r="3617" ht="12.75" hidden="1" x14ac:dyDescent="0.2"/>
    <row r="3618" ht="12.75" hidden="1" x14ac:dyDescent="0.2"/>
    <row r="3619" ht="12.75" hidden="1" x14ac:dyDescent="0.2"/>
    <row r="3620" ht="12.75" hidden="1" x14ac:dyDescent="0.2"/>
    <row r="3621" ht="12.75" hidden="1" x14ac:dyDescent="0.2"/>
    <row r="3622" ht="12.75" hidden="1" x14ac:dyDescent="0.2"/>
    <row r="3623" ht="12.75" hidden="1" x14ac:dyDescent="0.2"/>
    <row r="3624" ht="12.75" hidden="1" x14ac:dyDescent="0.2"/>
    <row r="3625" ht="12.75" hidden="1" x14ac:dyDescent="0.2"/>
    <row r="3626" ht="12.75" hidden="1" x14ac:dyDescent="0.2"/>
    <row r="3627" ht="12.75" hidden="1" x14ac:dyDescent="0.2"/>
    <row r="3628" ht="12.75" hidden="1" x14ac:dyDescent="0.2"/>
    <row r="3629" ht="12.75" hidden="1" x14ac:dyDescent="0.2"/>
    <row r="3630" ht="12.75" hidden="1" x14ac:dyDescent="0.2"/>
    <row r="3631" ht="12.75" hidden="1" x14ac:dyDescent="0.2"/>
    <row r="3632" ht="12.75" hidden="1" x14ac:dyDescent="0.2"/>
    <row r="3633" ht="12.75" hidden="1" x14ac:dyDescent="0.2"/>
    <row r="3634" ht="12.75" hidden="1" x14ac:dyDescent="0.2"/>
    <row r="3635" ht="12.75" hidden="1" x14ac:dyDescent="0.2"/>
    <row r="3636" ht="12.75" hidden="1" x14ac:dyDescent="0.2"/>
    <row r="3637" ht="12.75" hidden="1" x14ac:dyDescent="0.2"/>
    <row r="3638" ht="12.75" hidden="1" x14ac:dyDescent="0.2"/>
    <row r="3639" ht="12.75" hidden="1" x14ac:dyDescent="0.2"/>
    <row r="3640" ht="12.75" hidden="1" x14ac:dyDescent="0.2"/>
    <row r="3641" ht="12.75" hidden="1" x14ac:dyDescent="0.2"/>
    <row r="3642" ht="12.75" hidden="1" x14ac:dyDescent="0.2"/>
    <row r="3643" ht="12.75" hidden="1" x14ac:dyDescent="0.2"/>
    <row r="3644" ht="12.75" hidden="1" x14ac:dyDescent="0.2"/>
    <row r="3645" ht="12.75" hidden="1" x14ac:dyDescent="0.2"/>
    <row r="3646" ht="12.75" hidden="1" x14ac:dyDescent="0.2"/>
    <row r="3647" ht="12.75" hidden="1" x14ac:dyDescent="0.2"/>
    <row r="3648" ht="12.75" hidden="1" x14ac:dyDescent="0.2"/>
    <row r="3649" ht="12.75" hidden="1" x14ac:dyDescent="0.2"/>
    <row r="3650" ht="12.75" hidden="1" x14ac:dyDescent="0.2"/>
    <row r="3651" ht="12.75" hidden="1" x14ac:dyDescent="0.2"/>
    <row r="3652" ht="12.75" hidden="1" x14ac:dyDescent="0.2"/>
    <row r="3653" ht="12.75" hidden="1" x14ac:dyDescent="0.2"/>
    <row r="3654" ht="12.75" hidden="1" x14ac:dyDescent="0.2"/>
    <row r="3655" ht="12.75" hidden="1" x14ac:dyDescent="0.2"/>
    <row r="3656" ht="12.75" hidden="1" x14ac:dyDescent="0.2"/>
    <row r="3657" ht="12.75" hidden="1" x14ac:dyDescent="0.2"/>
    <row r="3658" ht="12.75" hidden="1" x14ac:dyDescent="0.2"/>
    <row r="3659" ht="12.75" hidden="1" x14ac:dyDescent="0.2"/>
    <row r="3660" ht="12.75" hidden="1" x14ac:dyDescent="0.2"/>
    <row r="3661" ht="12.75" hidden="1" x14ac:dyDescent="0.2"/>
    <row r="3662" ht="12.75" hidden="1" x14ac:dyDescent="0.2"/>
    <row r="3663" ht="12.75" hidden="1" x14ac:dyDescent="0.2"/>
    <row r="3664" ht="12.75" hidden="1" x14ac:dyDescent="0.2"/>
    <row r="3665" ht="12.75" hidden="1" x14ac:dyDescent="0.2"/>
    <row r="3666" ht="12.75" hidden="1" x14ac:dyDescent="0.2"/>
    <row r="3667" ht="12.75" hidden="1" x14ac:dyDescent="0.2"/>
    <row r="3668" ht="12.75" hidden="1" x14ac:dyDescent="0.2"/>
    <row r="3669" ht="12.75" hidden="1" x14ac:dyDescent="0.2"/>
    <row r="3670" ht="12.75" hidden="1" x14ac:dyDescent="0.2"/>
    <row r="3671" ht="12.75" hidden="1" x14ac:dyDescent="0.2"/>
    <row r="3672" ht="12.75" hidden="1" x14ac:dyDescent="0.2"/>
    <row r="3673" ht="12.75" hidden="1" x14ac:dyDescent="0.2"/>
    <row r="3674" ht="12.75" hidden="1" x14ac:dyDescent="0.2"/>
    <row r="3675" ht="12.75" hidden="1" x14ac:dyDescent="0.2"/>
    <row r="3676" ht="12.75" hidden="1" x14ac:dyDescent="0.2"/>
    <row r="3677" ht="12.75" hidden="1" x14ac:dyDescent="0.2"/>
    <row r="3678" ht="12.75" hidden="1" x14ac:dyDescent="0.2"/>
    <row r="3679" ht="12.75" hidden="1" x14ac:dyDescent="0.2"/>
    <row r="3680" ht="12.75" hidden="1" x14ac:dyDescent="0.2"/>
    <row r="3681" ht="12.75" hidden="1" x14ac:dyDescent="0.2"/>
    <row r="3682" ht="12.75" hidden="1" x14ac:dyDescent="0.2"/>
    <row r="3683" ht="12.75" hidden="1" x14ac:dyDescent="0.2"/>
    <row r="3684" ht="12.75" hidden="1" x14ac:dyDescent="0.2"/>
    <row r="3685" ht="12.75" hidden="1" x14ac:dyDescent="0.2"/>
    <row r="3686" ht="12.75" hidden="1" x14ac:dyDescent="0.2"/>
    <row r="3687" ht="12.75" hidden="1" x14ac:dyDescent="0.2"/>
    <row r="3688" ht="12.75" hidden="1" x14ac:dyDescent="0.2"/>
    <row r="3689" ht="12.75" hidden="1" x14ac:dyDescent="0.2"/>
    <row r="3690" ht="12.75" hidden="1" x14ac:dyDescent="0.2"/>
    <row r="3691" ht="12.75" hidden="1" x14ac:dyDescent="0.2"/>
    <row r="3692" ht="12.75" hidden="1" x14ac:dyDescent="0.2"/>
    <row r="3693" ht="12.75" hidden="1" x14ac:dyDescent="0.2"/>
    <row r="3694" ht="12.75" hidden="1" x14ac:dyDescent="0.2"/>
    <row r="3695" ht="12.75" hidden="1" x14ac:dyDescent="0.2"/>
    <row r="3696" ht="12.75" hidden="1" x14ac:dyDescent="0.2"/>
    <row r="3697" ht="12.75" hidden="1" x14ac:dyDescent="0.2"/>
    <row r="3698" ht="12.75" hidden="1" x14ac:dyDescent="0.2"/>
    <row r="3699" ht="12.75" hidden="1" x14ac:dyDescent="0.2"/>
    <row r="3700" ht="12.75" hidden="1" x14ac:dyDescent="0.2"/>
    <row r="3701" ht="12.75" hidden="1" x14ac:dyDescent="0.2"/>
    <row r="3702" ht="12.75" hidden="1" x14ac:dyDescent="0.2"/>
    <row r="3703" ht="12.75" hidden="1" x14ac:dyDescent="0.2"/>
    <row r="3704" ht="12.75" hidden="1" x14ac:dyDescent="0.2"/>
    <row r="3705" ht="12.75" hidden="1" x14ac:dyDescent="0.2"/>
    <row r="3706" ht="12.75" hidden="1" x14ac:dyDescent="0.2"/>
    <row r="3707" ht="12.75" hidden="1" x14ac:dyDescent="0.2"/>
    <row r="3708" ht="12.75" hidden="1" x14ac:dyDescent="0.2"/>
    <row r="3709" ht="12.75" hidden="1" x14ac:dyDescent="0.2"/>
    <row r="3710" ht="12.75" hidden="1" x14ac:dyDescent="0.2"/>
    <row r="3711" ht="12.75" hidden="1" x14ac:dyDescent="0.2"/>
    <row r="3712" ht="12.75" hidden="1" x14ac:dyDescent="0.2"/>
    <row r="3713" ht="12.75" hidden="1" x14ac:dyDescent="0.2"/>
    <row r="3714" ht="12.75" hidden="1" x14ac:dyDescent="0.2"/>
    <row r="3715" ht="12.75" hidden="1" x14ac:dyDescent="0.2"/>
    <row r="3716" ht="12.75" hidden="1" x14ac:dyDescent="0.2"/>
    <row r="3717" ht="12.75" hidden="1" x14ac:dyDescent="0.2"/>
    <row r="3718" ht="12.75" hidden="1" x14ac:dyDescent="0.2"/>
    <row r="3719" ht="12.75" hidden="1" x14ac:dyDescent="0.2"/>
    <row r="3720" ht="12.75" hidden="1" x14ac:dyDescent="0.2"/>
    <row r="3721" ht="12.75" hidden="1" x14ac:dyDescent="0.2"/>
    <row r="3722" ht="12.75" hidden="1" x14ac:dyDescent="0.2"/>
    <row r="3723" ht="12.75" hidden="1" x14ac:dyDescent="0.2"/>
    <row r="3724" ht="12.75" hidden="1" x14ac:dyDescent="0.2"/>
    <row r="3725" ht="12.75" hidden="1" x14ac:dyDescent="0.2"/>
    <row r="3726" ht="12.75" hidden="1" x14ac:dyDescent="0.2"/>
    <row r="3727" ht="12.75" hidden="1" x14ac:dyDescent="0.2"/>
    <row r="3728" ht="12.75" hidden="1" x14ac:dyDescent="0.2"/>
    <row r="3729" ht="12.75" hidden="1" x14ac:dyDescent="0.2"/>
    <row r="3730" ht="12.75" hidden="1" x14ac:dyDescent="0.2"/>
    <row r="3731" ht="12.75" hidden="1" x14ac:dyDescent="0.2"/>
    <row r="3732" ht="12.75" hidden="1" x14ac:dyDescent="0.2"/>
    <row r="3733" ht="12.75" hidden="1" x14ac:dyDescent="0.2"/>
    <row r="3734" ht="12.75" hidden="1" x14ac:dyDescent="0.2"/>
    <row r="3735" ht="12.75" hidden="1" x14ac:dyDescent="0.2"/>
    <row r="3736" ht="12.75" hidden="1" x14ac:dyDescent="0.2"/>
    <row r="3737" ht="12.75" hidden="1" x14ac:dyDescent="0.2"/>
    <row r="3738" ht="12.75" hidden="1" x14ac:dyDescent="0.2"/>
    <row r="3739" ht="12.75" hidden="1" x14ac:dyDescent="0.2"/>
    <row r="3740" ht="12.75" hidden="1" x14ac:dyDescent="0.2"/>
    <row r="3741" ht="12.75" hidden="1" x14ac:dyDescent="0.2"/>
    <row r="3742" ht="12.75" hidden="1" x14ac:dyDescent="0.2"/>
    <row r="3743" ht="12.75" hidden="1" x14ac:dyDescent="0.2"/>
    <row r="3744" ht="12.75" hidden="1" x14ac:dyDescent="0.2"/>
    <row r="3745" ht="12.75" hidden="1" x14ac:dyDescent="0.2"/>
    <row r="3746" ht="12.75" hidden="1" x14ac:dyDescent="0.2"/>
    <row r="3747" ht="12.75" hidden="1" x14ac:dyDescent="0.2"/>
    <row r="3748" ht="12.75" hidden="1" x14ac:dyDescent="0.2"/>
    <row r="3749" ht="12.75" hidden="1" x14ac:dyDescent="0.2"/>
    <row r="3750" ht="12.75" hidden="1" x14ac:dyDescent="0.2"/>
    <row r="3751" ht="12.75" hidden="1" x14ac:dyDescent="0.2"/>
    <row r="3752" ht="12.75" hidden="1" x14ac:dyDescent="0.2"/>
    <row r="3753" ht="12.75" hidden="1" x14ac:dyDescent="0.2"/>
    <row r="3754" ht="12.75" hidden="1" x14ac:dyDescent="0.2"/>
    <row r="3755" ht="12.75" hidden="1" x14ac:dyDescent="0.2"/>
    <row r="3756" ht="12.75" hidden="1" x14ac:dyDescent="0.2"/>
    <row r="3757" ht="12.75" hidden="1" x14ac:dyDescent="0.2"/>
    <row r="3758" ht="12.75" hidden="1" x14ac:dyDescent="0.2"/>
    <row r="3759" ht="12.75" hidden="1" x14ac:dyDescent="0.2"/>
    <row r="3760" ht="12.75" hidden="1" x14ac:dyDescent="0.2"/>
    <row r="3761" ht="12.75" hidden="1" x14ac:dyDescent="0.2"/>
    <row r="3762" ht="12.75" hidden="1" x14ac:dyDescent="0.2"/>
    <row r="3763" ht="12.75" hidden="1" x14ac:dyDescent="0.2"/>
    <row r="3764" ht="12.75" hidden="1" x14ac:dyDescent="0.2"/>
    <row r="3765" ht="12.75" hidden="1" x14ac:dyDescent="0.2"/>
    <row r="3766" ht="12.75" hidden="1" x14ac:dyDescent="0.2"/>
    <row r="3767" ht="12.75" hidden="1" x14ac:dyDescent="0.2"/>
    <row r="3768" ht="12.75" hidden="1" x14ac:dyDescent="0.2"/>
    <row r="3769" ht="12.75" hidden="1" x14ac:dyDescent="0.2"/>
    <row r="3770" ht="12.75" hidden="1" x14ac:dyDescent="0.2"/>
    <row r="3771" ht="12.75" hidden="1" x14ac:dyDescent="0.2"/>
    <row r="3772" ht="12.75" hidden="1" x14ac:dyDescent="0.2"/>
    <row r="3773" ht="12.75" hidden="1" x14ac:dyDescent="0.2"/>
    <row r="3774" ht="12.75" hidden="1" x14ac:dyDescent="0.2"/>
    <row r="3775" ht="12.75" hidden="1" x14ac:dyDescent="0.2"/>
    <row r="3776" ht="12.75" hidden="1" x14ac:dyDescent="0.2"/>
    <row r="3777" ht="12.75" hidden="1" x14ac:dyDescent="0.2"/>
    <row r="3778" ht="12.75" hidden="1" x14ac:dyDescent="0.2"/>
    <row r="3779" ht="12.75" hidden="1" x14ac:dyDescent="0.2"/>
    <row r="3780" ht="12.75" hidden="1" x14ac:dyDescent="0.2"/>
    <row r="3781" ht="12.75" hidden="1" x14ac:dyDescent="0.2"/>
    <row r="3782" ht="12.75" hidden="1" x14ac:dyDescent="0.2"/>
    <row r="3783" ht="12.75" hidden="1" x14ac:dyDescent="0.2"/>
    <row r="3784" ht="12.75" hidden="1" x14ac:dyDescent="0.2"/>
    <row r="3785" ht="12.75" hidden="1" x14ac:dyDescent="0.2"/>
    <row r="3786" ht="12.75" hidden="1" x14ac:dyDescent="0.2"/>
    <row r="3787" ht="12.75" hidden="1" x14ac:dyDescent="0.2"/>
    <row r="3788" ht="12.75" hidden="1" x14ac:dyDescent="0.2"/>
    <row r="3789" ht="12.75" hidden="1" x14ac:dyDescent="0.2"/>
    <row r="3790" ht="12.75" hidden="1" x14ac:dyDescent="0.2"/>
    <row r="3791" ht="12.75" hidden="1" x14ac:dyDescent="0.2"/>
    <row r="3792" ht="12.75" hidden="1" x14ac:dyDescent="0.2"/>
    <row r="3793" ht="12.75" hidden="1" x14ac:dyDescent="0.2"/>
    <row r="3794" ht="12.75" hidden="1" x14ac:dyDescent="0.2"/>
    <row r="3795" ht="12.75" hidden="1" x14ac:dyDescent="0.2"/>
    <row r="3796" ht="12.75" hidden="1" x14ac:dyDescent="0.2"/>
    <row r="3797" ht="12.75" hidden="1" x14ac:dyDescent="0.2"/>
    <row r="3798" ht="12.75" hidden="1" x14ac:dyDescent="0.2"/>
    <row r="3799" ht="12.75" hidden="1" x14ac:dyDescent="0.2"/>
    <row r="3800" ht="12.75" hidden="1" x14ac:dyDescent="0.2"/>
    <row r="3801" ht="12.75" hidden="1" x14ac:dyDescent="0.2"/>
    <row r="3802" ht="12.75" hidden="1" x14ac:dyDescent="0.2"/>
    <row r="3803" ht="12.75" hidden="1" x14ac:dyDescent="0.2"/>
    <row r="3804" ht="12.75" hidden="1" x14ac:dyDescent="0.2"/>
    <row r="3805" ht="12.75" hidden="1" x14ac:dyDescent="0.2"/>
    <row r="3806" ht="12.75" hidden="1" x14ac:dyDescent="0.2"/>
    <row r="3807" ht="12.75" hidden="1" x14ac:dyDescent="0.2"/>
    <row r="3808" ht="12.75" hidden="1" x14ac:dyDescent="0.2"/>
    <row r="3809" ht="12.75" hidden="1" x14ac:dyDescent="0.2"/>
    <row r="3810" ht="12.75" hidden="1" x14ac:dyDescent="0.2"/>
    <row r="3811" ht="12.75" hidden="1" x14ac:dyDescent="0.2"/>
    <row r="3812" ht="12.75" hidden="1" x14ac:dyDescent="0.2"/>
    <row r="3813" ht="12.75" hidden="1" x14ac:dyDescent="0.2"/>
    <row r="3814" ht="12.75" hidden="1" x14ac:dyDescent="0.2"/>
    <row r="3815" ht="12.75" hidden="1" x14ac:dyDescent="0.2"/>
    <row r="3816" ht="12.75" hidden="1" x14ac:dyDescent="0.2"/>
    <row r="3817" ht="12.75" hidden="1" x14ac:dyDescent="0.2"/>
    <row r="3818" ht="12.75" hidden="1" x14ac:dyDescent="0.2"/>
    <row r="3819" ht="12.75" hidden="1" x14ac:dyDescent="0.2"/>
    <row r="3820" ht="12.75" hidden="1" x14ac:dyDescent="0.2"/>
    <row r="3821" ht="12.75" hidden="1" x14ac:dyDescent="0.2"/>
    <row r="3822" ht="12.75" hidden="1" x14ac:dyDescent="0.2"/>
    <row r="3823" ht="12.75" hidden="1" x14ac:dyDescent="0.2"/>
    <row r="3824" ht="12.75" hidden="1" x14ac:dyDescent="0.2"/>
    <row r="3825" ht="12.75" hidden="1" x14ac:dyDescent="0.2"/>
    <row r="3826" ht="12.75" hidden="1" x14ac:dyDescent="0.2"/>
    <row r="3827" ht="12.75" hidden="1" x14ac:dyDescent="0.2"/>
    <row r="3828" ht="12.75" hidden="1" x14ac:dyDescent="0.2"/>
    <row r="3829" ht="12.75" hidden="1" x14ac:dyDescent="0.2"/>
    <row r="3830" ht="12.75" hidden="1" x14ac:dyDescent="0.2"/>
    <row r="3831" ht="12.75" hidden="1" x14ac:dyDescent="0.2"/>
    <row r="3832" ht="12.75" hidden="1" x14ac:dyDescent="0.2"/>
    <row r="3833" ht="12.75" hidden="1" x14ac:dyDescent="0.2"/>
    <row r="3834" ht="12.75" hidden="1" x14ac:dyDescent="0.2"/>
    <row r="3835" ht="12.75" hidden="1" x14ac:dyDescent="0.2"/>
    <row r="3836" ht="12.75" hidden="1" x14ac:dyDescent="0.2"/>
    <row r="3837" ht="12.75" hidden="1" x14ac:dyDescent="0.2"/>
    <row r="3838" ht="12.75" hidden="1" x14ac:dyDescent="0.2"/>
    <row r="3839" ht="12.75" hidden="1" x14ac:dyDescent="0.2"/>
    <row r="3840" ht="12.75" hidden="1" x14ac:dyDescent="0.2"/>
    <row r="3841" ht="12.75" hidden="1" x14ac:dyDescent="0.2"/>
    <row r="3842" ht="12.75" hidden="1" x14ac:dyDescent="0.2"/>
    <row r="3843" ht="12.75" hidden="1" x14ac:dyDescent="0.2"/>
    <row r="3844" ht="12.75" hidden="1" x14ac:dyDescent="0.2"/>
    <row r="3845" ht="12.75" hidden="1" x14ac:dyDescent="0.2"/>
    <row r="3846" ht="12.75" hidden="1" x14ac:dyDescent="0.2"/>
    <row r="3847" ht="12.75" hidden="1" x14ac:dyDescent="0.2"/>
    <row r="3848" ht="12.75" hidden="1" x14ac:dyDescent="0.2"/>
    <row r="3849" ht="12.75" hidden="1" x14ac:dyDescent="0.2"/>
    <row r="3850" ht="12.75" hidden="1" x14ac:dyDescent="0.2"/>
    <row r="3851" ht="12.75" hidden="1" x14ac:dyDescent="0.2"/>
    <row r="3852" ht="12.75" hidden="1" x14ac:dyDescent="0.2"/>
    <row r="3853" ht="12.75" hidden="1" x14ac:dyDescent="0.2"/>
    <row r="3854" ht="12.75" hidden="1" x14ac:dyDescent="0.2"/>
    <row r="3855" ht="12.75" hidden="1" x14ac:dyDescent="0.2"/>
    <row r="3856" ht="12.75" hidden="1" x14ac:dyDescent="0.2"/>
    <row r="3857" ht="12.75" hidden="1" x14ac:dyDescent="0.2"/>
    <row r="3858" ht="12.75" hidden="1" x14ac:dyDescent="0.2"/>
    <row r="3859" ht="12.75" hidden="1" x14ac:dyDescent="0.2"/>
    <row r="3860" ht="12.75" hidden="1" x14ac:dyDescent="0.2"/>
    <row r="3861" ht="12.75" hidden="1" x14ac:dyDescent="0.2"/>
    <row r="3862" ht="12.75" hidden="1" x14ac:dyDescent="0.2"/>
    <row r="3863" ht="12.75" hidden="1" x14ac:dyDescent="0.2"/>
    <row r="3864" ht="12.75" hidden="1" x14ac:dyDescent="0.2"/>
    <row r="3865" ht="12.75" hidden="1" x14ac:dyDescent="0.2"/>
    <row r="3866" ht="12.75" hidden="1" x14ac:dyDescent="0.2"/>
    <row r="3867" ht="12.75" hidden="1" x14ac:dyDescent="0.2"/>
    <row r="3868" ht="12.75" hidden="1" x14ac:dyDescent="0.2"/>
    <row r="3869" ht="12.75" hidden="1" x14ac:dyDescent="0.2"/>
    <row r="3870" ht="12.75" hidden="1" x14ac:dyDescent="0.2"/>
    <row r="3871" ht="12.75" hidden="1" x14ac:dyDescent="0.2"/>
    <row r="3872" ht="12.75" hidden="1" x14ac:dyDescent="0.2"/>
    <row r="3873" ht="12.75" hidden="1" x14ac:dyDescent="0.2"/>
    <row r="3874" ht="12.75" hidden="1" x14ac:dyDescent="0.2"/>
    <row r="3875" ht="12.75" hidden="1" x14ac:dyDescent="0.2"/>
    <row r="3876" ht="12.75" hidden="1" x14ac:dyDescent="0.2"/>
    <row r="3877" ht="12.75" hidden="1" x14ac:dyDescent="0.2"/>
    <row r="3878" ht="12.75" hidden="1" x14ac:dyDescent="0.2"/>
    <row r="3879" ht="12.75" hidden="1" x14ac:dyDescent="0.2"/>
    <row r="3880" ht="12.75" hidden="1" x14ac:dyDescent="0.2"/>
    <row r="3881" ht="12.75" hidden="1" x14ac:dyDescent="0.2"/>
    <row r="3882" ht="12.75" hidden="1" x14ac:dyDescent="0.2"/>
    <row r="3883" ht="12.75" hidden="1" x14ac:dyDescent="0.2"/>
    <row r="3884" ht="12.75" hidden="1" x14ac:dyDescent="0.2"/>
    <row r="3885" ht="12.75" hidden="1" x14ac:dyDescent="0.2"/>
    <row r="3886" ht="12.75" hidden="1" x14ac:dyDescent="0.2"/>
    <row r="3887" ht="12.75" hidden="1" x14ac:dyDescent="0.2"/>
    <row r="3888" ht="12.75" hidden="1" x14ac:dyDescent="0.2"/>
    <row r="3889" ht="12.75" hidden="1" x14ac:dyDescent="0.2"/>
    <row r="3890" ht="12.75" hidden="1" x14ac:dyDescent="0.2"/>
    <row r="3891" ht="12.75" hidden="1" x14ac:dyDescent="0.2"/>
    <row r="3892" ht="12.75" hidden="1" x14ac:dyDescent="0.2"/>
    <row r="3893" ht="12.75" hidden="1" x14ac:dyDescent="0.2"/>
    <row r="3894" ht="12.75" hidden="1" x14ac:dyDescent="0.2"/>
    <row r="3895" ht="12.75" hidden="1" x14ac:dyDescent="0.2"/>
    <row r="3896" ht="12.75" hidden="1" x14ac:dyDescent="0.2"/>
    <row r="3897" ht="12.75" hidden="1" x14ac:dyDescent="0.2"/>
    <row r="3898" ht="12.75" hidden="1" x14ac:dyDescent="0.2"/>
    <row r="3899" ht="12.75" hidden="1" x14ac:dyDescent="0.2"/>
    <row r="3900" ht="12.75" hidden="1" x14ac:dyDescent="0.2"/>
    <row r="3901" ht="12.75" hidden="1" x14ac:dyDescent="0.2"/>
    <row r="3902" ht="12.75" hidden="1" x14ac:dyDescent="0.2"/>
    <row r="3903" ht="12.75" hidden="1" x14ac:dyDescent="0.2"/>
    <row r="3904" ht="12.75" hidden="1" x14ac:dyDescent="0.2"/>
    <row r="3905" ht="12.75" hidden="1" x14ac:dyDescent="0.2"/>
    <row r="3906" ht="12.75" hidden="1" x14ac:dyDescent="0.2"/>
    <row r="3907" ht="12.75" hidden="1" x14ac:dyDescent="0.2"/>
    <row r="3908" ht="12.75" hidden="1" x14ac:dyDescent="0.2"/>
    <row r="3909" ht="12.75" hidden="1" x14ac:dyDescent="0.2"/>
    <row r="3910" ht="12.75" hidden="1" x14ac:dyDescent="0.2"/>
    <row r="3911" ht="12.75" hidden="1" x14ac:dyDescent="0.2"/>
    <row r="3912" ht="12.75" hidden="1" x14ac:dyDescent="0.2"/>
    <row r="3913" ht="12.75" hidden="1" x14ac:dyDescent="0.2"/>
    <row r="3914" ht="12.75" hidden="1" x14ac:dyDescent="0.2"/>
    <row r="3915" ht="12.75" hidden="1" x14ac:dyDescent="0.2"/>
    <row r="3916" ht="12.75" hidden="1" x14ac:dyDescent="0.2"/>
    <row r="3917" ht="12.75" hidden="1" x14ac:dyDescent="0.2"/>
    <row r="3918" ht="12.75" hidden="1" x14ac:dyDescent="0.2"/>
    <row r="3919" ht="12.75" hidden="1" x14ac:dyDescent="0.2"/>
    <row r="3920" ht="12.75" hidden="1" x14ac:dyDescent="0.2"/>
    <row r="3921" ht="12.75" hidden="1" x14ac:dyDescent="0.2"/>
    <row r="3922" ht="12.75" hidden="1" x14ac:dyDescent="0.2"/>
    <row r="3923" ht="12.75" hidden="1" x14ac:dyDescent="0.2"/>
    <row r="3924" ht="12.75" hidden="1" x14ac:dyDescent="0.2"/>
    <row r="3925" ht="12.75" hidden="1" x14ac:dyDescent="0.2"/>
    <row r="3926" ht="12.75" hidden="1" x14ac:dyDescent="0.2"/>
    <row r="3927" ht="12.75" hidden="1" x14ac:dyDescent="0.2"/>
    <row r="3928" ht="12.75" hidden="1" x14ac:dyDescent="0.2"/>
    <row r="3929" ht="12.75" hidden="1" x14ac:dyDescent="0.2"/>
    <row r="3930" ht="12.75" hidden="1" x14ac:dyDescent="0.2"/>
    <row r="3931" ht="12.75" hidden="1" x14ac:dyDescent="0.2"/>
    <row r="3932" ht="12.75" hidden="1" x14ac:dyDescent="0.2"/>
    <row r="3933" ht="12.75" hidden="1" x14ac:dyDescent="0.2"/>
    <row r="3934" ht="12.75" hidden="1" x14ac:dyDescent="0.2"/>
    <row r="3935" ht="12.75" hidden="1" x14ac:dyDescent="0.2"/>
    <row r="3936" ht="12.75" hidden="1" x14ac:dyDescent="0.2"/>
    <row r="3937" ht="12.75" hidden="1" x14ac:dyDescent="0.2"/>
    <row r="3938" ht="12.75" hidden="1" x14ac:dyDescent="0.2"/>
    <row r="3939" ht="12.75" hidden="1" x14ac:dyDescent="0.2"/>
    <row r="3940" ht="12.75" hidden="1" x14ac:dyDescent="0.2"/>
    <row r="3941" ht="12.75" hidden="1" x14ac:dyDescent="0.2"/>
    <row r="3942" ht="12.75" hidden="1" x14ac:dyDescent="0.2"/>
    <row r="3943" ht="12.75" hidden="1" x14ac:dyDescent="0.2"/>
    <row r="3944" ht="12.75" hidden="1" x14ac:dyDescent="0.2"/>
    <row r="3945" ht="12.75" hidden="1" x14ac:dyDescent="0.2"/>
    <row r="3946" ht="12.75" hidden="1" x14ac:dyDescent="0.2"/>
    <row r="3947" ht="12.75" hidden="1" x14ac:dyDescent="0.2"/>
    <row r="3948" ht="12.75" hidden="1" x14ac:dyDescent="0.2"/>
    <row r="3949" ht="12.75" hidden="1" x14ac:dyDescent="0.2"/>
    <row r="3950" ht="12.75" hidden="1" x14ac:dyDescent="0.2"/>
    <row r="3951" ht="12.75" hidden="1" x14ac:dyDescent="0.2"/>
    <row r="3952" ht="12.75" hidden="1" x14ac:dyDescent="0.2"/>
    <row r="3953" ht="12.75" hidden="1" x14ac:dyDescent="0.2"/>
    <row r="3954" ht="12.75" hidden="1" x14ac:dyDescent="0.2"/>
    <row r="3955" ht="12.75" hidden="1" x14ac:dyDescent="0.2"/>
    <row r="3956" ht="12.75" hidden="1" x14ac:dyDescent="0.2"/>
    <row r="3957" ht="12.75" hidden="1" x14ac:dyDescent="0.2"/>
    <row r="3958" ht="12.75" hidden="1" x14ac:dyDescent="0.2"/>
    <row r="3959" ht="12.75" hidden="1" x14ac:dyDescent="0.2"/>
    <row r="3960" ht="12.75" hidden="1" x14ac:dyDescent="0.2"/>
    <row r="3961" ht="12.75" hidden="1" x14ac:dyDescent="0.2"/>
    <row r="3962" ht="12.75" hidden="1" x14ac:dyDescent="0.2"/>
    <row r="3963" ht="12.75" hidden="1" x14ac:dyDescent="0.2"/>
    <row r="3964" ht="12.75" hidden="1" x14ac:dyDescent="0.2"/>
    <row r="3965" ht="12.75" hidden="1" x14ac:dyDescent="0.2"/>
    <row r="3966" ht="12.75" hidden="1" x14ac:dyDescent="0.2"/>
    <row r="3967" ht="12.75" hidden="1" x14ac:dyDescent="0.2"/>
    <row r="3968" ht="12.75" hidden="1" x14ac:dyDescent="0.2"/>
    <row r="3969" ht="12.75" hidden="1" x14ac:dyDescent="0.2"/>
    <row r="3970" ht="12.75" hidden="1" x14ac:dyDescent="0.2"/>
    <row r="3971" ht="12.75" hidden="1" x14ac:dyDescent="0.2"/>
    <row r="3972" ht="12.75" hidden="1" x14ac:dyDescent="0.2"/>
    <row r="3973" ht="12.75" hidden="1" x14ac:dyDescent="0.2"/>
    <row r="3974" ht="12.75" hidden="1" x14ac:dyDescent="0.2"/>
    <row r="3975" ht="12.75" hidden="1" x14ac:dyDescent="0.2"/>
    <row r="3976" ht="12.75" hidden="1" x14ac:dyDescent="0.2"/>
    <row r="3977" ht="12.75" hidden="1" x14ac:dyDescent="0.2"/>
    <row r="3978" ht="12.75" hidden="1" x14ac:dyDescent="0.2"/>
    <row r="3979" ht="12.75" hidden="1" x14ac:dyDescent="0.2"/>
    <row r="3980" ht="12.75" hidden="1" x14ac:dyDescent="0.2"/>
    <row r="3981" ht="12.75" hidden="1" x14ac:dyDescent="0.2"/>
    <row r="3982" ht="12.75" hidden="1" x14ac:dyDescent="0.2"/>
    <row r="3983" ht="12.75" hidden="1" x14ac:dyDescent="0.2"/>
    <row r="3984" ht="12.75" hidden="1" x14ac:dyDescent="0.2"/>
    <row r="3985" ht="12.75" hidden="1" x14ac:dyDescent="0.2"/>
    <row r="3986" ht="12.75" hidden="1" x14ac:dyDescent="0.2"/>
    <row r="3987" ht="12.75" hidden="1" x14ac:dyDescent="0.2"/>
    <row r="3988" ht="12.75" hidden="1" x14ac:dyDescent="0.2"/>
    <row r="3989" ht="12.75" hidden="1" x14ac:dyDescent="0.2"/>
    <row r="3990" ht="12.75" hidden="1" x14ac:dyDescent="0.2"/>
    <row r="3991" ht="12.75" hidden="1" x14ac:dyDescent="0.2"/>
    <row r="3992" ht="12.75" hidden="1" x14ac:dyDescent="0.2"/>
    <row r="3993" ht="12.75" hidden="1" x14ac:dyDescent="0.2"/>
    <row r="3994" ht="12.75" hidden="1" x14ac:dyDescent="0.2"/>
    <row r="3995" ht="12.75" hidden="1" x14ac:dyDescent="0.2"/>
    <row r="3996" ht="12.75" hidden="1" x14ac:dyDescent="0.2"/>
    <row r="3997" ht="12.75" hidden="1" x14ac:dyDescent="0.2"/>
    <row r="3998" ht="12.75" hidden="1" x14ac:dyDescent="0.2"/>
    <row r="3999" ht="12.75" hidden="1" x14ac:dyDescent="0.2"/>
    <row r="4000" ht="12.75" hidden="1" x14ac:dyDescent="0.2"/>
    <row r="4001" ht="12.75" hidden="1" x14ac:dyDescent="0.2"/>
    <row r="4002" ht="12.75" hidden="1" x14ac:dyDescent="0.2"/>
    <row r="4003" ht="12.75" hidden="1" x14ac:dyDescent="0.2"/>
    <row r="4004" ht="12.75" hidden="1" x14ac:dyDescent="0.2"/>
    <row r="4005" ht="12.75" hidden="1" x14ac:dyDescent="0.2"/>
    <row r="4006" ht="12.75" hidden="1" x14ac:dyDescent="0.2"/>
    <row r="4007" ht="12.75" hidden="1" x14ac:dyDescent="0.2"/>
    <row r="4008" ht="12.75" hidden="1" x14ac:dyDescent="0.2"/>
    <row r="4009" ht="12.75" hidden="1" x14ac:dyDescent="0.2"/>
    <row r="4010" ht="12.75" hidden="1" x14ac:dyDescent="0.2"/>
    <row r="4011" ht="12.75" hidden="1" x14ac:dyDescent="0.2"/>
    <row r="4012" ht="12.75" hidden="1" x14ac:dyDescent="0.2"/>
    <row r="4013" ht="12.75" hidden="1" x14ac:dyDescent="0.2"/>
    <row r="4014" ht="12.75" hidden="1" x14ac:dyDescent="0.2"/>
    <row r="4015" ht="12.75" hidden="1" x14ac:dyDescent="0.2"/>
    <row r="4016" ht="12.75" hidden="1" x14ac:dyDescent="0.2"/>
    <row r="4017" ht="12.75" hidden="1" x14ac:dyDescent="0.2"/>
    <row r="4018" ht="12.75" hidden="1" x14ac:dyDescent="0.2"/>
    <row r="4019" ht="12.75" hidden="1" x14ac:dyDescent="0.2"/>
    <row r="4020" ht="12.75" hidden="1" x14ac:dyDescent="0.2"/>
    <row r="4021" ht="12.75" hidden="1" x14ac:dyDescent="0.2"/>
    <row r="4022" ht="12.75" hidden="1" x14ac:dyDescent="0.2"/>
    <row r="4023" ht="12.75" hidden="1" x14ac:dyDescent="0.2"/>
    <row r="4024" ht="12.75" hidden="1" x14ac:dyDescent="0.2"/>
    <row r="4025" ht="12.75" hidden="1" x14ac:dyDescent="0.2"/>
    <row r="4026" ht="12.75" hidden="1" x14ac:dyDescent="0.2"/>
    <row r="4027" ht="12.75" hidden="1" x14ac:dyDescent="0.2"/>
    <row r="4028" ht="12.75" hidden="1" x14ac:dyDescent="0.2"/>
    <row r="4029" ht="12.75" hidden="1" x14ac:dyDescent="0.2"/>
    <row r="4030" ht="12.75" hidden="1" x14ac:dyDescent="0.2"/>
    <row r="4031" ht="12.75" hidden="1" x14ac:dyDescent="0.2"/>
    <row r="4032" ht="12.75" hidden="1" x14ac:dyDescent="0.2"/>
    <row r="4033" ht="12.75" hidden="1" x14ac:dyDescent="0.2"/>
    <row r="4034" ht="12.75" hidden="1" x14ac:dyDescent="0.2"/>
    <row r="4035" ht="12.75" hidden="1" x14ac:dyDescent="0.2"/>
    <row r="4036" ht="12.75" hidden="1" x14ac:dyDescent="0.2"/>
    <row r="4037" ht="12.75" hidden="1" x14ac:dyDescent="0.2"/>
    <row r="4038" ht="12.75" hidden="1" x14ac:dyDescent="0.2"/>
    <row r="4039" ht="12.75" hidden="1" x14ac:dyDescent="0.2"/>
    <row r="4040" ht="12.75" hidden="1" x14ac:dyDescent="0.2"/>
    <row r="4041" ht="12.75" hidden="1" x14ac:dyDescent="0.2"/>
    <row r="4042" ht="12.75" hidden="1" x14ac:dyDescent="0.2"/>
    <row r="4043" ht="12.75" hidden="1" x14ac:dyDescent="0.2"/>
    <row r="4044" ht="12.75" hidden="1" x14ac:dyDescent="0.2"/>
    <row r="4045" ht="12.75" hidden="1" x14ac:dyDescent="0.2"/>
    <row r="4046" ht="12.75" hidden="1" x14ac:dyDescent="0.2"/>
    <row r="4047" ht="12.75" hidden="1" x14ac:dyDescent="0.2"/>
    <row r="4048" ht="12.75" hidden="1" x14ac:dyDescent="0.2"/>
    <row r="4049" ht="12.75" hidden="1" x14ac:dyDescent="0.2"/>
    <row r="4050" ht="12.75" hidden="1" x14ac:dyDescent="0.2"/>
    <row r="4051" ht="12.75" hidden="1" x14ac:dyDescent="0.2"/>
    <row r="4052" ht="12.75" hidden="1" x14ac:dyDescent="0.2"/>
    <row r="4053" ht="12.75" hidden="1" x14ac:dyDescent="0.2"/>
    <row r="4054" ht="12.75" hidden="1" x14ac:dyDescent="0.2"/>
    <row r="4055" ht="12.75" hidden="1" x14ac:dyDescent="0.2"/>
    <row r="4056" ht="12.75" hidden="1" x14ac:dyDescent="0.2"/>
    <row r="4057" ht="12.75" hidden="1" x14ac:dyDescent="0.2"/>
    <row r="4058" ht="12.75" hidden="1" x14ac:dyDescent="0.2"/>
    <row r="4059" ht="12.75" hidden="1" x14ac:dyDescent="0.2"/>
    <row r="4060" ht="12.75" hidden="1" x14ac:dyDescent="0.2"/>
    <row r="4061" ht="12.75" hidden="1" x14ac:dyDescent="0.2"/>
    <row r="4062" ht="12.75" hidden="1" x14ac:dyDescent="0.2"/>
    <row r="4063" ht="12.75" hidden="1" x14ac:dyDescent="0.2"/>
    <row r="4064" ht="12.75" hidden="1" x14ac:dyDescent="0.2"/>
    <row r="4065" ht="12.75" hidden="1" x14ac:dyDescent="0.2"/>
    <row r="4066" ht="12.75" hidden="1" x14ac:dyDescent="0.2"/>
    <row r="4067" ht="12.75" hidden="1" x14ac:dyDescent="0.2"/>
    <row r="4068" ht="12.75" hidden="1" x14ac:dyDescent="0.2"/>
    <row r="4069" ht="12.75" hidden="1" x14ac:dyDescent="0.2"/>
    <row r="4070" ht="12.75" hidden="1" x14ac:dyDescent="0.2"/>
    <row r="4071" ht="12.75" hidden="1" x14ac:dyDescent="0.2"/>
    <row r="4072" ht="12.75" hidden="1" x14ac:dyDescent="0.2"/>
    <row r="4073" ht="12.75" hidden="1" x14ac:dyDescent="0.2"/>
    <row r="4074" ht="12.75" hidden="1" x14ac:dyDescent="0.2"/>
    <row r="4075" ht="12.75" hidden="1" x14ac:dyDescent="0.2"/>
    <row r="4076" ht="12.75" hidden="1" x14ac:dyDescent="0.2"/>
    <row r="4077" ht="12.75" hidden="1" x14ac:dyDescent="0.2"/>
    <row r="4078" ht="12.75" hidden="1" x14ac:dyDescent="0.2"/>
    <row r="4079" ht="12.75" hidden="1" x14ac:dyDescent="0.2"/>
    <row r="4080" ht="12.75" hidden="1" x14ac:dyDescent="0.2"/>
    <row r="4081" ht="12.75" hidden="1" x14ac:dyDescent="0.2"/>
    <row r="4082" ht="12.75" hidden="1" x14ac:dyDescent="0.2"/>
    <row r="4083" ht="12.75" hidden="1" x14ac:dyDescent="0.2"/>
    <row r="4084" ht="12.75" hidden="1" x14ac:dyDescent="0.2"/>
    <row r="4085" ht="12.75" hidden="1" x14ac:dyDescent="0.2"/>
    <row r="4086" ht="12.75" hidden="1" x14ac:dyDescent="0.2"/>
    <row r="4087" ht="12.75" hidden="1" x14ac:dyDescent="0.2"/>
    <row r="4088" ht="12.75" hidden="1" x14ac:dyDescent="0.2"/>
    <row r="4089" ht="12.75" hidden="1" x14ac:dyDescent="0.2"/>
    <row r="4090" ht="12.75" hidden="1" x14ac:dyDescent="0.2"/>
    <row r="4091" ht="12.75" hidden="1" x14ac:dyDescent="0.2"/>
    <row r="4092" ht="12.75" hidden="1" x14ac:dyDescent="0.2"/>
    <row r="4093" ht="12.75" hidden="1" x14ac:dyDescent="0.2"/>
    <row r="4094" ht="12.75" hidden="1" x14ac:dyDescent="0.2"/>
    <row r="4095" ht="12.75" hidden="1" x14ac:dyDescent="0.2"/>
    <row r="4096" ht="12.75" hidden="1" x14ac:dyDescent="0.2"/>
    <row r="4097" ht="12.75" hidden="1" x14ac:dyDescent="0.2"/>
    <row r="4098" ht="12.75" hidden="1" x14ac:dyDescent="0.2"/>
    <row r="4099" ht="12.75" hidden="1" x14ac:dyDescent="0.2"/>
    <row r="4100" ht="12.75" hidden="1" x14ac:dyDescent="0.2"/>
    <row r="4101" ht="12.75" hidden="1" x14ac:dyDescent="0.2"/>
    <row r="4102" ht="12.75" hidden="1" x14ac:dyDescent="0.2"/>
    <row r="4103" ht="12.75" hidden="1" x14ac:dyDescent="0.2"/>
    <row r="4104" ht="12.75" hidden="1" x14ac:dyDescent="0.2"/>
    <row r="4105" ht="12.75" hidden="1" x14ac:dyDescent="0.2"/>
    <row r="4106" ht="12.75" hidden="1" x14ac:dyDescent="0.2"/>
    <row r="4107" ht="12.75" hidden="1" x14ac:dyDescent="0.2"/>
    <row r="4108" ht="12.75" hidden="1" x14ac:dyDescent="0.2"/>
    <row r="4109" ht="12.75" hidden="1" x14ac:dyDescent="0.2"/>
    <row r="4110" ht="12.75" hidden="1" x14ac:dyDescent="0.2"/>
    <row r="4111" ht="12.75" hidden="1" x14ac:dyDescent="0.2"/>
    <row r="4112" ht="12.75" hidden="1" x14ac:dyDescent="0.2"/>
    <row r="4113" ht="12.75" hidden="1" x14ac:dyDescent="0.2"/>
    <row r="4114" ht="12.75" hidden="1" x14ac:dyDescent="0.2"/>
    <row r="4115" ht="12.75" hidden="1" x14ac:dyDescent="0.2"/>
    <row r="4116" ht="12.75" hidden="1" x14ac:dyDescent="0.2"/>
    <row r="4117" ht="12.75" hidden="1" x14ac:dyDescent="0.2"/>
    <row r="4118" ht="12.75" hidden="1" x14ac:dyDescent="0.2"/>
    <row r="4119" ht="12.75" hidden="1" x14ac:dyDescent="0.2"/>
    <row r="4120" ht="12.75" hidden="1" x14ac:dyDescent="0.2"/>
    <row r="4121" ht="12.75" hidden="1" x14ac:dyDescent="0.2"/>
    <row r="4122" ht="12.75" hidden="1" x14ac:dyDescent="0.2"/>
    <row r="4123" ht="12.75" hidden="1" x14ac:dyDescent="0.2"/>
    <row r="4124" ht="12.75" hidden="1" x14ac:dyDescent="0.2"/>
    <row r="4125" ht="12.75" hidden="1" x14ac:dyDescent="0.2"/>
    <row r="4126" ht="12.75" hidden="1" x14ac:dyDescent="0.2"/>
    <row r="4127" ht="12.75" hidden="1" x14ac:dyDescent="0.2"/>
    <row r="4128" ht="12.75" hidden="1" x14ac:dyDescent="0.2"/>
    <row r="4129" ht="12.75" hidden="1" x14ac:dyDescent="0.2"/>
    <row r="4130" ht="12.75" hidden="1" x14ac:dyDescent="0.2"/>
    <row r="4131" ht="12.75" hidden="1" x14ac:dyDescent="0.2"/>
    <row r="4132" ht="12.75" hidden="1" x14ac:dyDescent="0.2"/>
    <row r="4133" ht="12.75" hidden="1" x14ac:dyDescent="0.2"/>
    <row r="4134" ht="12.75" hidden="1" x14ac:dyDescent="0.2"/>
    <row r="4135" ht="12.75" hidden="1" x14ac:dyDescent="0.2"/>
    <row r="4136" ht="12.75" hidden="1" x14ac:dyDescent="0.2"/>
    <row r="4137" ht="12.75" hidden="1" x14ac:dyDescent="0.2"/>
    <row r="4138" ht="12.75" hidden="1" x14ac:dyDescent="0.2"/>
    <row r="4139" ht="12.75" hidden="1" x14ac:dyDescent="0.2"/>
    <row r="4140" ht="12.75" hidden="1" x14ac:dyDescent="0.2"/>
    <row r="4141" ht="12.75" hidden="1" x14ac:dyDescent="0.2"/>
    <row r="4142" ht="12.75" hidden="1" x14ac:dyDescent="0.2"/>
    <row r="4143" ht="12.75" hidden="1" x14ac:dyDescent="0.2"/>
    <row r="4144" ht="12.75" hidden="1" x14ac:dyDescent="0.2"/>
    <row r="4145" ht="12.75" hidden="1" x14ac:dyDescent="0.2"/>
    <row r="4146" ht="12.75" hidden="1" x14ac:dyDescent="0.2"/>
    <row r="4147" ht="12.75" hidden="1" x14ac:dyDescent="0.2"/>
    <row r="4148" ht="12.75" hidden="1" x14ac:dyDescent="0.2"/>
    <row r="4149" ht="12.75" hidden="1" x14ac:dyDescent="0.2"/>
    <row r="4150" ht="12.75" hidden="1" x14ac:dyDescent="0.2"/>
    <row r="4151" ht="12.75" hidden="1" x14ac:dyDescent="0.2"/>
    <row r="4152" ht="12.75" hidden="1" x14ac:dyDescent="0.2"/>
    <row r="4153" ht="12.75" hidden="1" x14ac:dyDescent="0.2"/>
    <row r="4154" ht="12.75" hidden="1" x14ac:dyDescent="0.2"/>
    <row r="4155" ht="12.75" hidden="1" x14ac:dyDescent="0.2"/>
    <row r="4156" ht="12.75" hidden="1" x14ac:dyDescent="0.2"/>
    <row r="4157" ht="12.75" hidden="1" x14ac:dyDescent="0.2"/>
    <row r="4158" ht="12.75" hidden="1" x14ac:dyDescent="0.2"/>
    <row r="4159" ht="12.75" hidden="1" x14ac:dyDescent="0.2"/>
    <row r="4160" ht="12.75" hidden="1" x14ac:dyDescent="0.2"/>
    <row r="4161" ht="12.75" hidden="1" x14ac:dyDescent="0.2"/>
    <row r="4162" ht="12.75" hidden="1" x14ac:dyDescent="0.2"/>
    <row r="4163" ht="12.75" hidden="1" x14ac:dyDescent="0.2"/>
    <row r="4164" ht="12.75" hidden="1" x14ac:dyDescent="0.2"/>
    <row r="4165" ht="12.75" hidden="1" x14ac:dyDescent="0.2"/>
    <row r="4166" ht="12.75" hidden="1" x14ac:dyDescent="0.2"/>
    <row r="4167" ht="12.75" hidden="1" x14ac:dyDescent="0.2"/>
    <row r="4168" ht="12.75" hidden="1" x14ac:dyDescent="0.2"/>
    <row r="4169" ht="12.75" hidden="1" x14ac:dyDescent="0.2"/>
    <row r="4170" ht="12.75" hidden="1" x14ac:dyDescent="0.2"/>
    <row r="4171" ht="12.75" hidden="1" x14ac:dyDescent="0.2"/>
    <row r="4172" ht="12.75" hidden="1" x14ac:dyDescent="0.2"/>
    <row r="4173" ht="12.75" hidden="1" x14ac:dyDescent="0.2"/>
    <row r="4174" ht="12.75" hidden="1" x14ac:dyDescent="0.2"/>
    <row r="4175" ht="12.75" hidden="1" x14ac:dyDescent="0.2"/>
    <row r="4176" ht="12.75" hidden="1" x14ac:dyDescent="0.2"/>
    <row r="4177" ht="12.75" hidden="1" x14ac:dyDescent="0.2"/>
    <row r="4178" ht="12.75" hidden="1" x14ac:dyDescent="0.2"/>
    <row r="4179" ht="12.75" hidden="1" x14ac:dyDescent="0.2"/>
    <row r="4180" ht="12.75" hidden="1" x14ac:dyDescent="0.2"/>
    <row r="4181" ht="12.75" hidden="1" x14ac:dyDescent="0.2"/>
    <row r="4182" ht="12.75" hidden="1" x14ac:dyDescent="0.2"/>
    <row r="4183" ht="12.75" hidden="1" x14ac:dyDescent="0.2"/>
    <row r="4184" ht="12.75" hidden="1" x14ac:dyDescent="0.2"/>
    <row r="4185" ht="12.75" hidden="1" x14ac:dyDescent="0.2"/>
    <row r="4186" ht="12.75" hidden="1" x14ac:dyDescent="0.2"/>
    <row r="4187" ht="12.75" hidden="1" x14ac:dyDescent="0.2"/>
    <row r="4188" ht="12.75" hidden="1" x14ac:dyDescent="0.2"/>
    <row r="4189" ht="12.75" hidden="1" x14ac:dyDescent="0.2"/>
    <row r="4190" ht="12.75" hidden="1" x14ac:dyDescent="0.2"/>
    <row r="4191" ht="12.75" hidden="1" x14ac:dyDescent="0.2"/>
    <row r="4192" ht="12.75" hidden="1" x14ac:dyDescent="0.2"/>
    <row r="4193" ht="12.75" hidden="1" x14ac:dyDescent="0.2"/>
    <row r="4194" ht="12.75" hidden="1" x14ac:dyDescent="0.2"/>
    <row r="4195" ht="12.75" hidden="1" x14ac:dyDescent="0.2"/>
    <row r="4196" ht="12.75" hidden="1" x14ac:dyDescent="0.2"/>
    <row r="4197" ht="12.75" hidden="1" x14ac:dyDescent="0.2"/>
    <row r="4198" ht="12.75" hidden="1" x14ac:dyDescent="0.2"/>
    <row r="4199" ht="12.75" hidden="1" x14ac:dyDescent="0.2"/>
    <row r="4200" ht="12.75" hidden="1" x14ac:dyDescent="0.2"/>
    <row r="4201" ht="12.75" hidden="1" x14ac:dyDescent="0.2"/>
    <row r="4202" ht="12.75" hidden="1" x14ac:dyDescent="0.2"/>
    <row r="4203" ht="12.75" hidden="1" x14ac:dyDescent="0.2"/>
    <row r="4204" ht="12.75" hidden="1" x14ac:dyDescent="0.2"/>
    <row r="4205" ht="12.75" hidden="1" x14ac:dyDescent="0.2"/>
    <row r="4206" ht="12.75" hidden="1" x14ac:dyDescent="0.2"/>
    <row r="4207" ht="12.75" hidden="1" x14ac:dyDescent="0.2"/>
    <row r="4208" ht="12.75" hidden="1" x14ac:dyDescent="0.2"/>
    <row r="4209" ht="12.75" hidden="1" x14ac:dyDescent="0.2"/>
    <row r="4210" ht="12.75" hidden="1" x14ac:dyDescent="0.2"/>
    <row r="4211" ht="12.75" hidden="1" x14ac:dyDescent="0.2"/>
    <row r="4212" ht="12.75" hidden="1" x14ac:dyDescent="0.2"/>
    <row r="4213" ht="12.75" hidden="1" x14ac:dyDescent="0.2"/>
    <row r="4214" ht="12.75" hidden="1" x14ac:dyDescent="0.2"/>
    <row r="4215" ht="12.75" hidden="1" x14ac:dyDescent="0.2"/>
    <row r="4216" ht="12.75" hidden="1" x14ac:dyDescent="0.2"/>
    <row r="4217" ht="12.75" hidden="1" x14ac:dyDescent="0.2"/>
    <row r="4218" ht="12.75" hidden="1" x14ac:dyDescent="0.2"/>
    <row r="4219" ht="12.75" hidden="1" x14ac:dyDescent="0.2"/>
    <row r="4220" ht="12.75" hidden="1" x14ac:dyDescent="0.2"/>
    <row r="4221" ht="12.75" hidden="1" x14ac:dyDescent="0.2"/>
    <row r="4222" ht="12.75" hidden="1" x14ac:dyDescent="0.2"/>
    <row r="4223" ht="12.75" hidden="1" x14ac:dyDescent="0.2"/>
    <row r="4224" ht="12.75" hidden="1" x14ac:dyDescent="0.2"/>
    <row r="4225" ht="12.75" hidden="1" x14ac:dyDescent="0.2"/>
    <row r="4226" ht="12.75" hidden="1" x14ac:dyDescent="0.2"/>
    <row r="4227" ht="12.75" hidden="1" x14ac:dyDescent="0.2"/>
    <row r="4228" ht="12.75" hidden="1" x14ac:dyDescent="0.2"/>
    <row r="4229" ht="12.75" hidden="1" x14ac:dyDescent="0.2"/>
    <row r="4230" ht="12.75" hidden="1" x14ac:dyDescent="0.2"/>
    <row r="4231" ht="12.75" hidden="1" x14ac:dyDescent="0.2"/>
    <row r="4232" ht="12.75" hidden="1" x14ac:dyDescent="0.2"/>
    <row r="4233" ht="12.75" hidden="1" x14ac:dyDescent="0.2"/>
    <row r="4234" ht="12.75" hidden="1" x14ac:dyDescent="0.2"/>
    <row r="4235" ht="12.75" hidden="1" x14ac:dyDescent="0.2"/>
    <row r="4236" ht="12.75" hidden="1" x14ac:dyDescent="0.2"/>
    <row r="4237" ht="12.75" hidden="1" x14ac:dyDescent="0.2"/>
    <row r="4238" ht="12.75" hidden="1" x14ac:dyDescent="0.2"/>
    <row r="4239" ht="12.75" hidden="1" x14ac:dyDescent="0.2"/>
    <row r="4240" ht="12.75" hidden="1" x14ac:dyDescent="0.2"/>
    <row r="4241" ht="12.75" hidden="1" x14ac:dyDescent="0.2"/>
    <row r="4242" ht="12.75" hidden="1" x14ac:dyDescent="0.2"/>
    <row r="4243" ht="12.75" hidden="1" x14ac:dyDescent="0.2"/>
    <row r="4244" ht="12.75" hidden="1" x14ac:dyDescent="0.2"/>
    <row r="4245" ht="12.75" hidden="1" x14ac:dyDescent="0.2"/>
    <row r="4246" ht="12.75" hidden="1" x14ac:dyDescent="0.2"/>
    <row r="4247" ht="12.75" hidden="1" x14ac:dyDescent="0.2"/>
    <row r="4248" ht="12.75" hidden="1" x14ac:dyDescent="0.2"/>
    <row r="4249" ht="12.75" hidden="1" x14ac:dyDescent="0.2"/>
    <row r="4250" ht="12.75" hidden="1" x14ac:dyDescent="0.2"/>
    <row r="4251" ht="12.75" hidden="1" x14ac:dyDescent="0.2"/>
    <row r="4252" ht="12.75" hidden="1" x14ac:dyDescent="0.2"/>
    <row r="4253" ht="12.75" hidden="1" x14ac:dyDescent="0.2"/>
    <row r="4254" ht="12.75" hidden="1" x14ac:dyDescent="0.2"/>
    <row r="4255" ht="12.75" hidden="1" x14ac:dyDescent="0.2"/>
    <row r="4256" ht="12.75" hidden="1" x14ac:dyDescent="0.2"/>
    <row r="4257" ht="12.75" hidden="1" x14ac:dyDescent="0.2"/>
    <row r="4258" ht="12.75" hidden="1" x14ac:dyDescent="0.2"/>
    <row r="4259" ht="12.75" hidden="1" x14ac:dyDescent="0.2"/>
    <row r="4260" ht="12.75" hidden="1" x14ac:dyDescent="0.2"/>
    <row r="4261" ht="12.75" hidden="1" x14ac:dyDescent="0.2"/>
    <row r="4262" ht="12.75" hidden="1" x14ac:dyDescent="0.2"/>
    <row r="4263" ht="12.75" hidden="1" x14ac:dyDescent="0.2"/>
    <row r="4264" ht="12.75" hidden="1" x14ac:dyDescent="0.2"/>
    <row r="4265" ht="12.75" hidden="1" x14ac:dyDescent="0.2"/>
    <row r="4266" ht="12.75" hidden="1" x14ac:dyDescent="0.2"/>
    <row r="4267" ht="12.75" hidden="1" x14ac:dyDescent="0.2"/>
    <row r="4268" ht="12.75" hidden="1" x14ac:dyDescent="0.2"/>
    <row r="4269" ht="12.75" hidden="1" x14ac:dyDescent="0.2"/>
    <row r="4270" ht="12.75" hidden="1" x14ac:dyDescent="0.2"/>
    <row r="4271" ht="12.75" hidden="1" x14ac:dyDescent="0.2"/>
    <row r="4272" ht="12.75" hidden="1" x14ac:dyDescent="0.2"/>
    <row r="4273" ht="12.75" hidden="1" x14ac:dyDescent="0.2"/>
    <row r="4274" ht="12.75" hidden="1" x14ac:dyDescent="0.2"/>
    <row r="4275" ht="12.75" hidden="1" x14ac:dyDescent="0.2"/>
    <row r="4276" ht="12.75" hidden="1" x14ac:dyDescent="0.2"/>
    <row r="4277" ht="12.75" hidden="1" x14ac:dyDescent="0.2"/>
    <row r="4278" ht="12.75" hidden="1" x14ac:dyDescent="0.2"/>
    <row r="4279" ht="12.75" hidden="1" x14ac:dyDescent="0.2"/>
    <row r="4280" ht="12.75" hidden="1" x14ac:dyDescent="0.2"/>
    <row r="4281" ht="12.75" hidden="1" x14ac:dyDescent="0.2"/>
    <row r="4282" ht="12.75" hidden="1" x14ac:dyDescent="0.2"/>
    <row r="4283" ht="12.75" hidden="1" x14ac:dyDescent="0.2"/>
    <row r="4284" ht="12.75" hidden="1" x14ac:dyDescent="0.2"/>
    <row r="4285" ht="12.75" hidden="1" x14ac:dyDescent="0.2"/>
    <row r="4286" ht="12.75" hidden="1" x14ac:dyDescent="0.2"/>
    <row r="4287" ht="12.75" hidden="1" x14ac:dyDescent="0.2"/>
    <row r="4288" ht="12.75" hidden="1" x14ac:dyDescent="0.2"/>
    <row r="4289" ht="12.75" hidden="1" x14ac:dyDescent="0.2"/>
    <row r="4290" ht="12.75" hidden="1" x14ac:dyDescent="0.2"/>
    <row r="4291" ht="12.75" hidden="1" x14ac:dyDescent="0.2"/>
    <row r="4292" ht="12.75" hidden="1" x14ac:dyDescent="0.2"/>
    <row r="4293" ht="12.75" hidden="1" x14ac:dyDescent="0.2"/>
    <row r="4294" ht="12.75" hidden="1" x14ac:dyDescent="0.2"/>
    <row r="4295" ht="12.75" hidden="1" x14ac:dyDescent="0.2"/>
    <row r="4296" ht="12.75" hidden="1" x14ac:dyDescent="0.2"/>
    <row r="4297" ht="12.75" hidden="1" x14ac:dyDescent="0.2"/>
    <row r="4298" ht="12.75" hidden="1" x14ac:dyDescent="0.2"/>
    <row r="4299" ht="12.75" hidden="1" x14ac:dyDescent="0.2"/>
    <row r="4300" ht="12.75" hidden="1" x14ac:dyDescent="0.2"/>
    <row r="4301" ht="12.75" hidden="1" x14ac:dyDescent="0.2"/>
    <row r="4302" ht="12.75" hidden="1" x14ac:dyDescent="0.2"/>
    <row r="4303" ht="12.75" hidden="1" x14ac:dyDescent="0.2"/>
    <row r="4304" ht="12.75" hidden="1" x14ac:dyDescent="0.2"/>
    <row r="4305" ht="12.75" hidden="1" x14ac:dyDescent="0.2"/>
    <row r="4306" ht="12.75" hidden="1" x14ac:dyDescent="0.2"/>
    <row r="4307" ht="12.75" hidden="1" x14ac:dyDescent="0.2"/>
    <row r="4308" ht="12.75" hidden="1" x14ac:dyDescent="0.2"/>
    <row r="4309" ht="12.75" hidden="1" x14ac:dyDescent="0.2"/>
    <row r="4310" ht="12.75" hidden="1" x14ac:dyDescent="0.2"/>
    <row r="4311" ht="12.75" hidden="1" x14ac:dyDescent="0.2"/>
    <row r="4312" ht="12.75" hidden="1" x14ac:dyDescent="0.2"/>
    <row r="4313" ht="12.75" hidden="1" x14ac:dyDescent="0.2"/>
    <row r="4314" ht="12.75" hidden="1" x14ac:dyDescent="0.2"/>
    <row r="4315" ht="12.75" hidden="1" x14ac:dyDescent="0.2"/>
    <row r="4316" ht="12.75" hidden="1" x14ac:dyDescent="0.2"/>
    <row r="4317" ht="12.75" hidden="1" x14ac:dyDescent="0.2"/>
    <row r="4318" ht="12.75" hidden="1" x14ac:dyDescent="0.2"/>
    <row r="4319" ht="12.75" hidden="1" x14ac:dyDescent="0.2"/>
    <row r="4320" ht="12.75" hidden="1" x14ac:dyDescent="0.2"/>
    <row r="4321" ht="12.75" hidden="1" x14ac:dyDescent="0.2"/>
    <row r="4322" ht="12.75" hidden="1" x14ac:dyDescent="0.2"/>
    <row r="4323" ht="12.75" hidden="1" x14ac:dyDescent="0.2"/>
    <row r="4324" ht="12.75" hidden="1" x14ac:dyDescent="0.2"/>
    <row r="4325" ht="12.75" hidden="1" x14ac:dyDescent="0.2"/>
    <row r="4326" ht="12.75" hidden="1" x14ac:dyDescent="0.2"/>
    <row r="4327" ht="12.75" hidden="1" x14ac:dyDescent="0.2"/>
    <row r="4328" ht="12.75" hidden="1" x14ac:dyDescent="0.2"/>
    <row r="4329" ht="12.75" hidden="1" x14ac:dyDescent="0.2"/>
    <row r="4330" ht="12.75" hidden="1" x14ac:dyDescent="0.2"/>
    <row r="4331" ht="12.75" hidden="1" x14ac:dyDescent="0.2"/>
    <row r="4332" ht="12.75" hidden="1" x14ac:dyDescent="0.2"/>
    <row r="4333" ht="12.75" hidden="1" x14ac:dyDescent="0.2"/>
    <row r="4334" ht="12.75" hidden="1" x14ac:dyDescent="0.2"/>
    <row r="4335" ht="12.75" hidden="1" x14ac:dyDescent="0.2"/>
    <row r="4336" ht="12.75" hidden="1" x14ac:dyDescent="0.2"/>
    <row r="4337" ht="12.75" hidden="1" x14ac:dyDescent="0.2"/>
    <row r="4338" ht="12.75" hidden="1" x14ac:dyDescent="0.2"/>
    <row r="4339" ht="12.75" hidden="1" x14ac:dyDescent="0.2"/>
    <row r="4340" ht="12.75" hidden="1" x14ac:dyDescent="0.2"/>
    <row r="4341" ht="12.75" hidden="1" x14ac:dyDescent="0.2"/>
    <row r="4342" ht="12.75" hidden="1" x14ac:dyDescent="0.2"/>
    <row r="4343" ht="12.75" hidden="1" x14ac:dyDescent="0.2"/>
    <row r="4344" ht="12.75" hidden="1" x14ac:dyDescent="0.2"/>
    <row r="4345" ht="12.75" hidden="1" x14ac:dyDescent="0.2"/>
    <row r="4346" ht="12.75" hidden="1" x14ac:dyDescent="0.2"/>
    <row r="4347" ht="12.75" hidden="1" x14ac:dyDescent="0.2"/>
    <row r="4348" ht="12.75" hidden="1" x14ac:dyDescent="0.2"/>
    <row r="4349" ht="12.75" hidden="1" x14ac:dyDescent="0.2"/>
    <row r="4350" ht="12.75" hidden="1" x14ac:dyDescent="0.2"/>
    <row r="4351" ht="12.75" hidden="1" x14ac:dyDescent="0.2"/>
    <row r="4352" ht="12.75" hidden="1" x14ac:dyDescent="0.2"/>
    <row r="4353" ht="12.75" hidden="1" x14ac:dyDescent="0.2"/>
    <row r="4354" ht="12.75" hidden="1" x14ac:dyDescent="0.2"/>
    <row r="4355" ht="12.75" hidden="1" x14ac:dyDescent="0.2"/>
    <row r="4356" ht="12.75" hidden="1" x14ac:dyDescent="0.2"/>
    <row r="4357" ht="12.75" hidden="1" x14ac:dyDescent="0.2"/>
    <row r="4358" ht="12.75" hidden="1" x14ac:dyDescent="0.2"/>
    <row r="4359" ht="12.75" hidden="1" x14ac:dyDescent="0.2"/>
    <row r="4360" ht="12.75" hidden="1" x14ac:dyDescent="0.2"/>
    <row r="4361" ht="12.75" hidden="1" x14ac:dyDescent="0.2"/>
    <row r="4362" ht="12.75" hidden="1" x14ac:dyDescent="0.2"/>
    <row r="4363" ht="12.75" hidden="1" x14ac:dyDescent="0.2"/>
    <row r="4364" ht="12.75" hidden="1" x14ac:dyDescent="0.2"/>
    <row r="4365" ht="12.75" hidden="1" x14ac:dyDescent="0.2"/>
    <row r="4366" ht="12.75" hidden="1" x14ac:dyDescent="0.2"/>
    <row r="4367" ht="12.75" hidden="1" x14ac:dyDescent="0.2"/>
    <row r="4368" ht="12.75" hidden="1" x14ac:dyDescent="0.2"/>
    <row r="4369" ht="12.75" hidden="1" x14ac:dyDescent="0.2"/>
    <row r="4370" ht="12.75" hidden="1" x14ac:dyDescent="0.2"/>
    <row r="4371" ht="12.75" hidden="1" x14ac:dyDescent="0.2"/>
    <row r="4372" ht="12.75" hidden="1" x14ac:dyDescent="0.2"/>
    <row r="4373" ht="12.75" hidden="1" x14ac:dyDescent="0.2"/>
    <row r="4374" ht="12.75" hidden="1" x14ac:dyDescent="0.2"/>
    <row r="4375" ht="12.75" hidden="1" x14ac:dyDescent="0.2"/>
    <row r="4376" ht="12.75" hidden="1" x14ac:dyDescent="0.2"/>
    <row r="4377" ht="12.75" hidden="1" x14ac:dyDescent="0.2"/>
    <row r="4378" ht="12.75" hidden="1" x14ac:dyDescent="0.2"/>
    <row r="4379" ht="12.75" hidden="1" x14ac:dyDescent="0.2"/>
    <row r="4380" ht="12.75" hidden="1" x14ac:dyDescent="0.2"/>
    <row r="4381" ht="12.75" hidden="1" x14ac:dyDescent="0.2"/>
    <row r="4382" ht="12.75" hidden="1" x14ac:dyDescent="0.2"/>
    <row r="4383" ht="12.75" hidden="1" x14ac:dyDescent="0.2"/>
    <row r="4384" ht="12.75" hidden="1" x14ac:dyDescent="0.2"/>
    <row r="4385" ht="12.75" hidden="1" x14ac:dyDescent="0.2"/>
    <row r="4386" ht="12.75" hidden="1" x14ac:dyDescent="0.2"/>
    <row r="4387" ht="12.75" hidden="1" x14ac:dyDescent="0.2"/>
    <row r="4388" ht="12.75" hidden="1" x14ac:dyDescent="0.2"/>
    <row r="4389" ht="12.75" hidden="1" x14ac:dyDescent="0.2"/>
    <row r="4390" ht="12.75" hidden="1" x14ac:dyDescent="0.2"/>
    <row r="4391" ht="12.75" hidden="1" x14ac:dyDescent="0.2"/>
    <row r="4392" ht="12.75" hidden="1" x14ac:dyDescent="0.2"/>
    <row r="4393" ht="12.75" hidden="1" x14ac:dyDescent="0.2"/>
    <row r="4394" ht="12.75" hidden="1" x14ac:dyDescent="0.2"/>
    <row r="4395" ht="12.75" hidden="1" x14ac:dyDescent="0.2"/>
    <row r="4396" ht="12.75" hidden="1" x14ac:dyDescent="0.2"/>
    <row r="4397" ht="12.75" hidden="1" x14ac:dyDescent="0.2"/>
    <row r="4398" ht="12.75" hidden="1" x14ac:dyDescent="0.2"/>
    <row r="4399" ht="12.75" hidden="1" x14ac:dyDescent="0.2"/>
    <row r="4400" ht="12.75" hidden="1" x14ac:dyDescent="0.2"/>
    <row r="4401" ht="12.75" hidden="1" x14ac:dyDescent="0.2"/>
    <row r="4402" ht="12.75" hidden="1" x14ac:dyDescent="0.2"/>
    <row r="4403" ht="12.75" hidden="1" x14ac:dyDescent="0.2"/>
    <row r="4404" ht="12.75" hidden="1" x14ac:dyDescent="0.2"/>
    <row r="4405" ht="12.75" hidden="1" x14ac:dyDescent="0.2"/>
    <row r="4406" ht="12.75" hidden="1" x14ac:dyDescent="0.2"/>
    <row r="4407" ht="12.75" hidden="1" x14ac:dyDescent="0.2"/>
    <row r="4408" ht="12.75" hidden="1" x14ac:dyDescent="0.2"/>
    <row r="4409" ht="12.75" hidden="1" x14ac:dyDescent="0.2"/>
    <row r="4410" ht="12.75" hidden="1" x14ac:dyDescent="0.2"/>
    <row r="4411" ht="12.75" hidden="1" x14ac:dyDescent="0.2"/>
    <row r="4412" ht="12.75" hidden="1" x14ac:dyDescent="0.2"/>
    <row r="4413" ht="12.75" hidden="1" x14ac:dyDescent="0.2"/>
    <row r="4414" ht="12.75" hidden="1" x14ac:dyDescent="0.2"/>
    <row r="4415" ht="12.75" hidden="1" x14ac:dyDescent="0.2"/>
    <row r="4416" ht="12.75" hidden="1" x14ac:dyDescent="0.2"/>
    <row r="4417" ht="12.75" hidden="1" x14ac:dyDescent="0.2"/>
    <row r="4418" ht="12.75" hidden="1" x14ac:dyDescent="0.2"/>
    <row r="4419" ht="12.75" hidden="1" x14ac:dyDescent="0.2"/>
    <row r="4420" ht="12.75" hidden="1" x14ac:dyDescent="0.2"/>
    <row r="4421" ht="12.75" hidden="1" x14ac:dyDescent="0.2"/>
    <row r="4422" ht="12.75" hidden="1" x14ac:dyDescent="0.2"/>
    <row r="4423" ht="12.75" hidden="1" x14ac:dyDescent="0.2"/>
    <row r="4424" ht="12.75" hidden="1" x14ac:dyDescent="0.2"/>
    <row r="4425" ht="12.75" hidden="1" x14ac:dyDescent="0.2"/>
    <row r="4426" ht="12.75" hidden="1" x14ac:dyDescent="0.2"/>
    <row r="4427" ht="12.75" hidden="1" x14ac:dyDescent="0.2"/>
    <row r="4428" ht="12.75" hidden="1" x14ac:dyDescent="0.2"/>
    <row r="4429" ht="12.75" hidden="1" x14ac:dyDescent="0.2"/>
    <row r="4430" ht="12.75" hidden="1" x14ac:dyDescent="0.2"/>
    <row r="4431" ht="12.75" hidden="1" x14ac:dyDescent="0.2"/>
    <row r="4432" ht="12.75" hidden="1" x14ac:dyDescent="0.2"/>
    <row r="4433" ht="12.75" hidden="1" x14ac:dyDescent="0.2"/>
    <row r="4434" ht="12.75" hidden="1" x14ac:dyDescent="0.2"/>
    <row r="4435" ht="12.75" hidden="1" x14ac:dyDescent="0.2"/>
    <row r="4436" ht="12.75" hidden="1" x14ac:dyDescent="0.2"/>
    <row r="4437" ht="12.75" hidden="1" x14ac:dyDescent="0.2"/>
    <row r="4438" ht="12.75" hidden="1" x14ac:dyDescent="0.2"/>
    <row r="4439" ht="12.75" hidden="1" x14ac:dyDescent="0.2"/>
    <row r="4440" ht="12.75" hidden="1" x14ac:dyDescent="0.2"/>
    <row r="4441" ht="12.75" hidden="1" x14ac:dyDescent="0.2"/>
    <row r="4442" ht="12.75" hidden="1" x14ac:dyDescent="0.2"/>
    <row r="4443" ht="12.75" hidden="1" x14ac:dyDescent="0.2"/>
    <row r="4444" ht="12.75" hidden="1" x14ac:dyDescent="0.2"/>
    <row r="4445" ht="12.75" hidden="1" x14ac:dyDescent="0.2"/>
    <row r="4446" ht="12.75" hidden="1" x14ac:dyDescent="0.2"/>
    <row r="4447" ht="12.75" hidden="1" x14ac:dyDescent="0.2"/>
    <row r="4448" ht="12.75" hidden="1" x14ac:dyDescent="0.2"/>
    <row r="4449" ht="12.75" hidden="1" x14ac:dyDescent="0.2"/>
    <row r="4450" ht="12.75" hidden="1" x14ac:dyDescent="0.2"/>
    <row r="4451" ht="12.75" hidden="1" x14ac:dyDescent="0.2"/>
    <row r="4452" ht="12.75" hidden="1" x14ac:dyDescent="0.2"/>
    <row r="4453" ht="12.75" hidden="1" x14ac:dyDescent="0.2"/>
    <row r="4454" ht="12.75" hidden="1" x14ac:dyDescent="0.2"/>
    <row r="4455" ht="12.75" hidden="1" x14ac:dyDescent="0.2"/>
    <row r="4456" ht="12.75" hidden="1" x14ac:dyDescent="0.2"/>
    <row r="4457" ht="12.75" hidden="1" x14ac:dyDescent="0.2"/>
    <row r="4458" ht="12.75" hidden="1" x14ac:dyDescent="0.2"/>
    <row r="4459" ht="12.75" hidden="1" x14ac:dyDescent="0.2"/>
    <row r="4460" ht="12.75" hidden="1" x14ac:dyDescent="0.2"/>
    <row r="4461" ht="12.75" hidden="1" x14ac:dyDescent="0.2"/>
    <row r="4462" ht="12.75" hidden="1" x14ac:dyDescent="0.2"/>
    <row r="4463" ht="12.75" hidden="1" x14ac:dyDescent="0.2"/>
    <row r="4464" ht="12.75" hidden="1" x14ac:dyDescent="0.2"/>
    <row r="4465" ht="12.75" hidden="1" x14ac:dyDescent="0.2"/>
    <row r="4466" ht="12.75" hidden="1" x14ac:dyDescent="0.2"/>
    <row r="4467" ht="12.75" hidden="1" x14ac:dyDescent="0.2"/>
    <row r="4468" ht="12.75" hidden="1" x14ac:dyDescent="0.2"/>
    <row r="4469" ht="12.75" hidden="1" x14ac:dyDescent="0.2"/>
    <row r="4470" ht="12.75" hidden="1" x14ac:dyDescent="0.2"/>
    <row r="4471" ht="12.75" hidden="1" x14ac:dyDescent="0.2"/>
    <row r="4472" ht="12.75" hidden="1" x14ac:dyDescent="0.2"/>
    <row r="4473" ht="12.75" hidden="1" x14ac:dyDescent="0.2"/>
    <row r="4474" ht="12.75" hidden="1" x14ac:dyDescent="0.2"/>
    <row r="4475" ht="12.75" hidden="1" x14ac:dyDescent="0.2"/>
    <row r="4476" ht="12.75" hidden="1" x14ac:dyDescent="0.2"/>
    <row r="4477" ht="12.75" hidden="1" x14ac:dyDescent="0.2"/>
    <row r="4478" ht="12.75" hidden="1" x14ac:dyDescent="0.2"/>
    <row r="4479" ht="12.75" hidden="1" x14ac:dyDescent="0.2"/>
    <row r="4480" ht="12.75" hidden="1" x14ac:dyDescent="0.2"/>
    <row r="4481" ht="12.75" hidden="1" x14ac:dyDescent="0.2"/>
    <row r="4482" ht="12.75" hidden="1" x14ac:dyDescent="0.2"/>
    <row r="4483" ht="12.75" hidden="1" x14ac:dyDescent="0.2"/>
    <row r="4484" ht="12.75" hidden="1" x14ac:dyDescent="0.2"/>
    <row r="4485" ht="12.75" hidden="1" x14ac:dyDescent="0.2"/>
    <row r="4486" ht="12.75" hidden="1" x14ac:dyDescent="0.2"/>
    <row r="4487" ht="12.75" hidden="1" x14ac:dyDescent="0.2"/>
    <row r="4488" ht="12.75" hidden="1" x14ac:dyDescent="0.2"/>
    <row r="4489" ht="12.75" hidden="1" x14ac:dyDescent="0.2"/>
    <row r="4490" ht="12.75" hidden="1" x14ac:dyDescent="0.2"/>
    <row r="4491" ht="12.75" hidden="1" x14ac:dyDescent="0.2"/>
    <row r="4492" ht="12.75" hidden="1" x14ac:dyDescent="0.2"/>
    <row r="4493" ht="12.75" hidden="1" x14ac:dyDescent="0.2"/>
    <row r="4494" ht="12.75" hidden="1" x14ac:dyDescent="0.2"/>
    <row r="4495" ht="12.75" hidden="1" x14ac:dyDescent="0.2"/>
    <row r="4496" ht="12.75" hidden="1" x14ac:dyDescent="0.2"/>
    <row r="4497" ht="12.75" hidden="1" x14ac:dyDescent="0.2"/>
    <row r="4498" ht="12.75" hidden="1" x14ac:dyDescent="0.2"/>
    <row r="4499" ht="12.75" hidden="1" x14ac:dyDescent="0.2"/>
    <row r="4500" ht="12.75" hidden="1" x14ac:dyDescent="0.2"/>
    <row r="4501" ht="12.75" hidden="1" x14ac:dyDescent="0.2"/>
    <row r="4502" ht="12.75" hidden="1" x14ac:dyDescent="0.2"/>
    <row r="4503" ht="12.75" hidden="1" x14ac:dyDescent="0.2"/>
    <row r="4504" ht="12.75" hidden="1" x14ac:dyDescent="0.2"/>
    <row r="4505" ht="12.75" hidden="1" x14ac:dyDescent="0.2"/>
    <row r="4506" ht="12.75" hidden="1" x14ac:dyDescent="0.2"/>
    <row r="4507" ht="12.75" hidden="1" x14ac:dyDescent="0.2"/>
    <row r="4508" ht="12.75" hidden="1" x14ac:dyDescent="0.2"/>
    <row r="4509" ht="12.75" hidden="1" x14ac:dyDescent="0.2"/>
    <row r="4510" ht="12.75" hidden="1" x14ac:dyDescent="0.2"/>
    <row r="4511" ht="12.75" hidden="1" x14ac:dyDescent="0.2"/>
    <row r="4512" ht="12.75" hidden="1" x14ac:dyDescent="0.2"/>
    <row r="4513" ht="12.75" hidden="1" x14ac:dyDescent="0.2"/>
    <row r="4514" ht="12.75" hidden="1" x14ac:dyDescent="0.2"/>
    <row r="4515" ht="12.75" hidden="1" x14ac:dyDescent="0.2"/>
    <row r="4516" ht="12.75" hidden="1" x14ac:dyDescent="0.2"/>
    <row r="4517" ht="12.75" hidden="1" x14ac:dyDescent="0.2"/>
    <row r="4518" ht="12.75" hidden="1" x14ac:dyDescent="0.2"/>
    <row r="4519" ht="12.75" hidden="1" x14ac:dyDescent="0.2"/>
    <row r="4520" ht="12.75" hidden="1" x14ac:dyDescent="0.2"/>
    <row r="4521" ht="12.75" hidden="1" x14ac:dyDescent="0.2"/>
    <row r="4522" ht="12.75" hidden="1" x14ac:dyDescent="0.2"/>
    <row r="4523" ht="12.75" hidden="1" x14ac:dyDescent="0.2"/>
    <row r="4524" ht="12.75" hidden="1" x14ac:dyDescent="0.2"/>
    <row r="4525" ht="12.75" hidden="1" x14ac:dyDescent="0.2"/>
    <row r="4526" ht="12.75" hidden="1" x14ac:dyDescent="0.2"/>
    <row r="4527" ht="12.75" hidden="1" x14ac:dyDescent="0.2"/>
    <row r="4528" ht="12.75" hidden="1" x14ac:dyDescent="0.2"/>
    <row r="4529" ht="12.75" hidden="1" x14ac:dyDescent="0.2"/>
    <row r="4530" ht="12.75" hidden="1" x14ac:dyDescent="0.2"/>
    <row r="4531" ht="12.75" hidden="1" x14ac:dyDescent="0.2"/>
    <row r="4532" ht="12.75" hidden="1" x14ac:dyDescent="0.2"/>
    <row r="4533" ht="12.75" hidden="1" x14ac:dyDescent="0.2"/>
    <row r="4534" ht="12.75" hidden="1" x14ac:dyDescent="0.2"/>
    <row r="4535" ht="12.75" hidden="1" x14ac:dyDescent="0.2"/>
    <row r="4536" ht="12.75" hidden="1" x14ac:dyDescent="0.2"/>
    <row r="4537" ht="12.75" hidden="1" x14ac:dyDescent="0.2"/>
    <row r="4538" ht="12.75" hidden="1" x14ac:dyDescent="0.2"/>
    <row r="4539" ht="12.75" hidden="1" x14ac:dyDescent="0.2"/>
    <row r="4540" ht="12.75" hidden="1" x14ac:dyDescent="0.2"/>
    <row r="4541" ht="12.75" hidden="1" x14ac:dyDescent="0.2"/>
    <row r="4542" ht="12.75" hidden="1" x14ac:dyDescent="0.2"/>
    <row r="4543" ht="12.75" hidden="1" x14ac:dyDescent="0.2"/>
    <row r="4544" ht="12.75" hidden="1" x14ac:dyDescent="0.2"/>
    <row r="4545" ht="12.75" hidden="1" x14ac:dyDescent="0.2"/>
    <row r="4546" ht="12.75" hidden="1" x14ac:dyDescent="0.2"/>
    <row r="4547" ht="12.75" hidden="1" x14ac:dyDescent="0.2"/>
    <row r="4548" ht="12.75" hidden="1" x14ac:dyDescent="0.2"/>
    <row r="4549" ht="12.75" hidden="1" x14ac:dyDescent="0.2"/>
    <row r="4550" ht="12.75" hidden="1" x14ac:dyDescent="0.2"/>
    <row r="4551" ht="12.75" hidden="1" x14ac:dyDescent="0.2"/>
    <row r="4552" ht="12.75" hidden="1" x14ac:dyDescent="0.2"/>
    <row r="4553" ht="12.75" hidden="1" x14ac:dyDescent="0.2"/>
    <row r="4554" ht="12.75" hidden="1" x14ac:dyDescent="0.2"/>
    <row r="4555" ht="12.75" hidden="1" x14ac:dyDescent="0.2"/>
    <row r="4556" ht="12.75" hidden="1" x14ac:dyDescent="0.2"/>
    <row r="4557" ht="12.75" hidden="1" x14ac:dyDescent="0.2"/>
    <row r="4558" ht="12.75" hidden="1" x14ac:dyDescent="0.2"/>
    <row r="4559" ht="12.75" hidden="1" x14ac:dyDescent="0.2"/>
    <row r="4560" ht="12.75" hidden="1" x14ac:dyDescent="0.2"/>
    <row r="4561" ht="12.75" hidden="1" x14ac:dyDescent="0.2"/>
    <row r="4562" ht="12.75" hidden="1" x14ac:dyDescent="0.2"/>
    <row r="4563" ht="12.75" hidden="1" x14ac:dyDescent="0.2"/>
    <row r="4564" ht="12.75" hidden="1" x14ac:dyDescent="0.2"/>
    <row r="4565" ht="12.75" hidden="1" x14ac:dyDescent="0.2"/>
    <row r="4566" ht="12.75" hidden="1" x14ac:dyDescent="0.2"/>
    <row r="4567" ht="12.75" hidden="1" x14ac:dyDescent="0.2"/>
    <row r="4568" ht="12.75" hidden="1" x14ac:dyDescent="0.2"/>
    <row r="4569" ht="12.75" hidden="1" x14ac:dyDescent="0.2"/>
    <row r="4570" ht="12.75" hidden="1" x14ac:dyDescent="0.2"/>
    <row r="4571" ht="12.75" hidden="1" x14ac:dyDescent="0.2"/>
    <row r="4572" ht="12.75" hidden="1" x14ac:dyDescent="0.2"/>
    <row r="4573" ht="12.75" hidden="1" x14ac:dyDescent="0.2"/>
    <row r="4574" ht="12.75" hidden="1" x14ac:dyDescent="0.2"/>
    <row r="4575" ht="12.75" hidden="1" x14ac:dyDescent="0.2"/>
    <row r="4576" ht="12.75" hidden="1" x14ac:dyDescent="0.2"/>
    <row r="4577" ht="12.75" hidden="1" x14ac:dyDescent="0.2"/>
    <row r="4578" ht="12.75" hidden="1" x14ac:dyDescent="0.2"/>
    <row r="4579" ht="12.75" hidden="1" x14ac:dyDescent="0.2"/>
    <row r="4580" ht="12.75" hidden="1" x14ac:dyDescent="0.2"/>
    <row r="4581" ht="12.75" hidden="1" x14ac:dyDescent="0.2"/>
    <row r="4582" ht="12.75" hidden="1" x14ac:dyDescent="0.2"/>
    <row r="4583" ht="12.75" hidden="1" x14ac:dyDescent="0.2"/>
    <row r="4584" ht="12.75" hidden="1" x14ac:dyDescent="0.2"/>
    <row r="4585" ht="12.75" hidden="1" x14ac:dyDescent="0.2"/>
    <row r="4586" ht="12.75" hidden="1" x14ac:dyDescent="0.2"/>
    <row r="4587" ht="12.75" hidden="1" x14ac:dyDescent="0.2"/>
    <row r="4588" ht="12.75" hidden="1" x14ac:dyDescent="0.2"/>
    <row r="4589" ht="12.75" hidden="1" x14ac:dyDescent="0.2"/>
    <row r="4590" ht="12.75" hidden="1" x14ac:dyDescent="0.2"/>
    <row r="4591" ht="12.75" hidden="1" x14ac:dyDescent="0.2"/>
    <row r="4592" ht="12.75" hidden="1" x14ac:dyDescent="0.2"/>
    <row r="4593" ht="12.75" hidden="1" x14ac:dyDescent="0.2"/>
    <row r="4594" ht="12.75" hidden="1" x14ac:dyDescent="0.2"/>
    <row r="4595" ht="12.75" hidden="1" x14ac:dyDescent="0.2"/>
    <row r="4596" ht="12.75" hidden="1" x14ac:dyDescent="0.2"/>
    <row r="4597" ht="12.75" hidden="1" x14ac:dyDescent="0.2"/>
    <row r="4598" ht="12.75" hidden="1" x14ac:dyDescent="0.2"/>
    <row r="4599" ht="12.75" hidden="1" x14ac:dyDescent="0.2"/>
    <row r="4600" ht="12.75" hidden="1" x14ac:dyDescent="0.2"/>
    <row r="4601" ht="12.75" hidden="1" x14ac:dyDescent="0.2"/>
    <row r="4602" ht="12.75" hidden="1" x14ac:dyDescent="0.2"/>
    <row r="4603" ht="12.75" hidden="1" x14ac:dyDescent="0.2"/>
    <row r="4604" ht="12.75" hidden="1" x14ac:dyDescent="0.2"/>
    <row r="4605" ht="12.75" hidden="1" x14ac:dyDescent="0.2"/>
    <row r="4606" ht="12.75" hidden="1" x14ac:dyDescent="0.2"/>
    <row r="4607" ht="12.75" hidden="1" x14ac:dyDescent="0.2"/>
    <row r="4608" ht="12.75" hidden="1" x14ac:dyDescent="0.2"/>
    <row r="4609" ht="12.75" hidden="1" x14ac:dyDescent="0.2"/>
    <row r="4610" ht="12.75" hidden="1" x14ac:dyDescent="0.2"/>
    <row r="4611" ht="12.75" hidden="1" x14ac:dyDescent="0.2"/>
    <row r="4612" ht="12.75" hidden="1" x14ac:dyDescent="0.2"/>
    <row r="4613" ht="12.75" hidden="1" x14ac:dyDescent="0.2"/>
    <row r="4614" ht="12.75" hidden="1" x14ac:dyDescent="0.2"/>
    <row r="4615" ht="12.75" hidden="1" x14ac:dyDescent="0.2"/>
    <row r="4616" ht="12.75" hidden="1" x14ac:dyDescent="0.2"/>
    <row r="4617" ht="12.75" hidden="1" x14ac:dyDescent="0.2"/>
    <row r="4618" ht="12.75" hidden="1" x14ac:dyDescent="0.2"/>
    <row r="4619" ht="12.75" hidden="1" x14ac:dyDescent="0.2"/>
    <row r="4620" ht="12.75" hidden="1" x14ac:dyDescent="0.2"/>
    <row r="4621" ht="12.75" hidden="1" x14ac:dyDescent="0.2"/>
    <row r="4622" ht="12.75" hidden="1" x14ac:dyDescent="0.2"/>
    <row r="4623" ht="12.75" hidden="1" x14ac:dyDescent="0.2"/>
    <row r="4624" ht="12.75" hidden="1" x14ac:dyDescent="0.2"/>
    <row r="4625" ht="12.75" hidden="1" x14ac:dyDescent="0.2"/>
    <row r="4626" ht="12.75" hidden="1" x14ac:dyDescent="0.2"/>
    <row r="4627" ht="12.75" hidden="1" x14ac:dyDescent="0.2"/>
    <row r="4628" ht="12.75" hidden="1" x14ac:dyDescent="0.2"/>
    <row r="4629" ht="12.75" hidden="1" x14ac:dyDescent="0.2"/>
    <row r="4630" ht="12.75" hidden="1" x14ac:dyDescent="0.2"/>
    <row r="4631" ht="12.75" hidden="1" x14ac:dyDescent="0.2"/>
    <row r="4632" ht="12.75" hidden="1" x14ac:dyDescent="0.2"/>
    <row r="4633" ht="12.75" hidden="1" x14ac:dyDescent="0.2"/>
    <row r="4634" ht="12.75" hidden="1" x14ac:dyDescent="0.2"/>
    <row r="4635" ht="12.75" hidden="1" x14ac:dyDescent="0.2"/>
    <row r="4636" ht="12.75" hidden="1" x14ac:dyDescent="0.2"/>
    <row r="4637" ht="12.75" hidden="1" x14ac:dyDescent="0.2"/>
    <row r="4638" ht="12.75" hidden="1" x14ac:dyDescent="0.2"/>
    <row r="4639" ht="12.75" hidden="1" x14ac:dyDescent="0.2"/>
    <row r="4640" ht="12.75" hidden="1" x14ac:dyDescent="0.2"/>
    <row r="4641" ht="12.75" hidden="1" x14ac:dyDescent="0.2"/>
    <row r="4642" ht="12.75" hidden="1" x14ac:dyDescent="0.2"/>
    <row r="4643" ht="12.75" hidden="1" x14ac:dyDescent="0.2"/>
    <row r="4644" ht="12.75" hidden="1" x14ac:dyDescent="0.2"/>
    <row r="4645" ht="12.75" hidden="1" x14ac:dyDescent="0.2"/>
    <row r="4646" ht="12.75" hidden="1" x14ac:dyDescent="0.2"/>
    <row r="4647" ht="12.75" hidden="1" x14ac:dyDescent="0.2"/>
    <row r="4648" ht="12.75" hidden="1" x14ac:dyDescent="0.2"/>
    <row r="4649" ht="12.75" hidden="1" x14ac:dyDescent="0.2"/>
    <row r="4650" ht="12.75" hidden="1" x14ac:dyDescent="0.2"/>
    <row r="4651" ht="12.75" hidden="1" x14ac:dyDescent="0.2"/>
    <row r="4652" ht="12.75" hidden="1" x14ac:dyDescent="0.2"/>
    <row r="4653" ht="12.75" hidden="1" x14ac:dyDescent="0.2"/>
    <row r="4654" ht="12.75" hidden="1" x14ac:dyDescent="0.2"/>
    <row r="4655" ht="12.75" hidden="1" x14ac:dyDescent="0.2"/>
    <row r="4656" ht="12.75" hidden="1" x14ac:dyDescent="0.2"/>
    <row r="4657" ht="12.75" hidden="1" x14ac:dyDescent="0.2"/>
    <row r="4658" ht="12.75" hidden="1" x14ac:dyDescent="0.2"/>
    <row r="4659" ht="12.75" hidden="1" x14ac:dyDescent="0.2"/>
    <row r="4660" ht="12.75" hidden="1" x14ac:dyDescent="0.2"/>
    <row r="4661" ht="12.75" hidden="1" x14ac:dyDescent="0.2"/>
    <row r="4662" ht="12.75" hidden="1" x14ac:dyDescent="0.2"/>
    <row r="4663" ht="12.75" hidden="1" x14ac:dyDescent="0.2"/>
    <row r="4664" ht="12.75" hidden="1" x14ac:dyDescent="0.2"/>
    <row r="4665" ht="12.75" hidden="1" x14ac:dyDescent="0.2"/>
    <row r="4666" ht="12.75" hidden="1" x14ac:dyDescent="0.2"/>
    <row r="4667" ht="12.75" hidden="1" x14ac:dyDescent="0.2"/>
    <row r="4668" ht="12.75" hidden="1" x14ac:dyDescent="0.2"/>
    <row r="4669" ht="12.75" hidden="1" x14ac:dyDescent="0.2"/>
    <row r="4670" ht="12.75" hidden="1" x14ac:dyDescent="0.2"/>
    <row r="4671" ht="12.75" hidden="1" x14ac:dyDescent="0.2"/>
    <row r="4672" ht="12.75" hidden="1" x14ac:dyDescent="0.2"/>
    <row r="4673" ht="12.75" hidden="1" x14ac:dyDescent="0.2"/>
    <row r="4674" ht="12.75" hidden="1" x14ac:dyDescent="0.2"/>
    <row r="4675" ht="12.75" hidden="1" x14ac:dyDescent="0.2"/>
    <row r="4676" ht="12.75" hidden="1" x14ac:dyDescent="0.2"/>
    <row r="4677" ht="12.75" hidden="1" x14ac:dyDescent="0.2"/>
    <row r="4678" ht="12.75" hidden="1" x14ac:dyDescent="0.2"/>
    <row r="4679" ht="12.75" hidden="1" x14ac:dyDescent="0.2"/>
    <row r="4680" ht="12.75" hidden="1" x14ac:dyDescent="0.2"/>
    <row r="4681" ht="12.75" hidden="1" x14ac:dyDescent="0.2"/>
    <row r="4682" ht="12.75" hidden="1" x14ac:dyDescent="0.2"/>
    <row r="4683" ht="12.75" hidden="1" x14ac:dyDescent="0.2"/>
    <row r="4684" ht="12.75" hidden="1" x14ac:dyDescent="0.2"/>
    <row r="4685" ht="12.75" hidden="1" x14ac:dyDescent="0.2"/>
    <row r="4686" ht="12.75" hidden="1" x14ac:dyDescent="0.2"/>
    <row r="4687" ht="12.75" hidden="1" x14ac:dyDescent="0.2"/>
    <row r="4688" ht="12.75" hidden="1" x14ac:dyDescent="0.2"/>
    <row r="4689" ht="12.75" hidden="1" x14ac:dyDescent="0.2"/>
    <row r="4690" ht="12.75" hidden="1" x14ac:dyDescent="0.2"/>
    <row r="4691" ht="12.75" hidden="1" x14ac:dyDescent="0.2"/>
    <row r="4692" ht="12.75" hidden="1" x14ac:dyDescent="0.2"/>
    <row r="4693" ht="12.75" hidden="1" x14ac:dyDescent="0.2"/>
    <row r="4694" ht="12.75" hidden="1" x14ac:dyDescent="0.2"/>
    <row r="4695" ht="12.75" hidden="1" x14ac:dyDescent="0.2"/>
    <row r="4696" ht="12.75" hidden="1" x14ac:dyDescent="0.2"/>
    <row r="4697" ht="12.75" hidden="1" x14ac:dyDescent="0.2"/>
    <row r="4698" ht="12.75" hidden="1" x14ac:dyDescent="0.2"/>
    <row r="4699" ht="12.75" hidden="1" x14ac:dyDescent="0.2"/>
    <row r="4700" ht="12.75" hidden="1" x14ac:dyDescent="0.2"/>
    <row r="4701" ht="12.75" hidden="1" x14ac:dyDescent="0.2"/>
    <row r="4702" ht="12.75" hidden="1" x14ac:dyDescent="0.2"/>
    <row r="4703" ht="12.75" hidden="1" x14ac:dyDescent="0.2"/>
    <row r="4704" ht="12.75" hidden="1" x14ac:dyDescent="0.2"/>
    <row r="4705" ht="12.75" hidden="1" x14ac:dyDescent="0.2"/>
    <row r="4706" ht="12.75" hidden="1" x14ac:dyDescent="0.2"/>
    <row r="4707" ht="12.75" hidden="1" x14ac:dyDescent="0.2"/>
    <row r="4708" ht="12.75" hidden="1" x14ac:dyDescent="0.2"/>
    <row r="4709" ht="12.75" hidden="1" x14ac:dyDescent="0.2"/>
    <row r="4710" ht="12.75" hidden="1" x14ac:dyDescent="0.2"/>
    <row r="4711" ht="12.75" hidden="1" x14ac:dyDescent="0.2"/>
    <row r="4712" ht="12.75" hidden="1" x14ac:dyDescent="0.2"/>
    <row r="4713" ht="12.75" hidden="1" x14ac:dyDescent="0.2"/>
    <row r="4714" ht="12.75" hidden="1" x14ac:dyDescent="0.2"/>
    <row r="4715" ht="12.75" hidden="1" x14ac:dyDescent="0.2"/>
    <row r="4716" ht="12.75" hidden="1" x14ac:dyDescent="0.2"/>
    <row r="4717" ht="12.75" hidden="1" x14ac:dyDescent="0.2"/>
    <row r="4718" ht="12.75" hidden="1" x14ac:dyDescent="0.2"/>
    <row r="4719" ht="12.75" hidden="1" x14ac:dyDescent="0.2"/>
    <row r="4720" ht="12.75" hidden="1" x14ac:dyDescent="0.2"/>
    <row r="4721" ht="12.75" hidden="1" x14ac:dyDescent="0.2"/>
    <row r="4722" ht="12.75" hidden="1" x14ac:dyDescent="0.2"/>
    <row r="4723" ht="12.75" hidden="1" x14ac:dyDescent="0.2"/>
    <row r="4724" ht="12.75" hidden="1" x14ac:dyDescent="0.2"/>
    <row r="4725" ht="12.75" hidden="1" x14ac:dyDescent="0.2"/>
    <row r="4726" ht="12.75" hidden="1" x14ac:dyDescent="0.2"/>
    <row r="4727" ht="12.75" hidden="1" x14ac:dyDescent="0.2"/>
    <row r="4728" ht="12.75" hidden="1" x14ac:dyDescent="0.2"/>
    <row r="4729" ht="12.75" hidden="1" x14ac:dyDescent="0.2"/>
    <row r="4730" ht="12.75" hidden="1" x14ac:dyDescent="0.2"/>
    <row r="4731" ht="12.75" hidden="1" x14ac:dyDescent="0.2"/>
    <row r="4732" ht="12.75" hidden="1" x14ac:dyDescent="0.2"/>
    <row r="4733" ht="12.75" hidden="1" x14ac:dyDescent="0.2"/>
    <row r="4734" ht="12.75" hidden="1" x14ac:dyDescent="0.2"/>
    <row r="4735" ht="12.75" hidden="1" x14ac:dyDescent="0.2"/>
    <row r="4736" ht="12.75" hidden="1" x14ac:dyDescent="0.2"/>
    <row r="4737" ht="12.75" hidden="1" x14ac:dyDescent="0.2"/>
    <row r="4738" ht="12.75" hidden="1" x14ac:dyDescent="0.2"/>
    <row r="4739" ht="12.75" hidden="1" x14ac:dyDescent="0.2"/>
    <row r="4740" ht="12.75" hidden="1" x14ac:dyDescent="0.2"/>
    <row r="4741" ht="12.75" hidden="1" x14ac:dyDescent="0.2"/>
    <row r="4742" ht="12.75" hidden="1" x14ac:dyDescent="0.2"/>
    <row r="4743" ht="12.75" hidden="1" x14ac:dyDescent="0.2"/>
    <row r="4744" ht="12.75" hidden="1" x14ac:dyDescent="0.2"/>
    <row r="4745" ht="12.75" hidden="1" x14ac:dyDescent="0.2"/>
    <row r="4746" ht="12.75" hidden="1" x14ac:dyDescent="0.2"/>
    <row r="4747" ht="12.75" hidden="1" x14ac:dyDescent="0.2"/>
    <row r="4748" ht="12.75" hidden="1" x14ac:dyDescent="0.2"/>
    <row r="4749" ht="12.75" hidden="1" x14ac:dyDescent="0.2"/>
    <row r="4750" ht="12.75" hidden="1" x14ac:dyDescent="0.2"/>
    <row r="4751" ht="12.75" hidden="1" x14ac:dyDescent="0.2"/>
    <row r="4752" ht="12.75" hidden="1" x14ac:dyDescent="0.2"/>
    <row r="4753" ht="12.75" hidden="1" x14ac:dyDescent="0.2"/>
    <row r="4754" ht="12.75" hidden="1" x14ac:dyDescent="0.2"/>
    <row r="4755" ht="12.75" hidden="1" x14ac:dyDescent="0.2"/>
    <row r="4756" ht="12.75" hidden="1" x14ac:dyDescent="0.2"/>
    <row r="4757" ht="12.75" hidden="1" x14ac:dyDescent="0.2"/>
    <row r="4758" ht="12.75" hidden="1" x14ac:dyDescent="0.2"/>
    <row r="4759" ht="12.75" hidden="1" x14ac:dyDescent="0.2"/>
    <row r="4760" ht="12.75" hidden="1" x14ac:dyDescent="0.2"/>
    <row r="4761" ht="12.75" hidden="1" x14ac:dyDescent="0.2"/>
    <row r="4762" ht="12.75" hidden="1" x14ac:dyDescent="0.2"/>
    <row r="4763" ht="12.75" hidden="1" x14ac:dyDescent="0.2"/>
    <row r="4764" ht="12.75" hidden="1" x14ac:dyDescent="0.2"/>
    <row r="4765" ht="12.75" hidden="1" x14ac:dyDescent="0.2"/>
    <row r="4766" ht="12.75" hidden="1" x14ac:dyDescent="0.2"/>
    <row r="4767" ht="12.75" hidden="1" x14ac:dyDescent="0.2"/>
    <row r="4768" ht="12.75" hidden="1" x14ac:dyDescent="0.2"/>
    <row r="4769" ht="12.75" hidden="1" x14ac:dyDescent="0.2"/>
    <row r="4770" ht="12.75" hidden="1" x14ac:dyDescent="0.2"/>
    <row r="4771" ht="12.75" hidden="1" x14ac:dyDescent="0.2"/>
    <row r="4772" ht="12.75" hidden="1" x14ac:dyDescent="0.2"/>
    <row r="4773" ht="12.75" hidden="1" x14ac:dyDescent="0.2"/>
    <row r="4774" ht="12.75" hidden="1" x14ac:dyDescent="0.2"/>
    <row r="4775" ht="12.75" hidden="1" x14ac:dyDescent="0.2"/>
    <row r="4776" ht="12.75" hidden="1" x14ac:dyDescent="0.2"/>
    <row r="4777" ht="12.75" hidden="1" x14ac:dyDescent="0.2"/>
    <row r="4778" ht="12.75" hidden="1" x14ac:dyDescent="0.2"/>
    <row r="4779" ht="12.75" hidden="1" x14ac:dyDescent="0.2"/>
    <row r="4780" ht="12.75" hidden="1" x14ac:dyDescent="0.2"/>
    <row r="4781" ht="12.75" hidden="1" x14ac:dyDescent="0.2"/>
    <row r="4782" ht="12.75" hidden="1" x14ac:dyDescent="0.2"/>
    <row r="4783" ht="12.75" hidden="1" x14ac:dyDescent="0.2"/>
    <row r="4784" ht="12.75" hidden="1" x14ac:dyDescent="0.2"/>
    <row r="4785" ht="12.75" hidden="1" x14ac:dyDescent="0.2"/>
    <row r="4786" ht="12.75" hidden="1" x14ac:dyDescent="0.2"/>
    <row r="4787" ht="12.75" hidden="1" x14ac:dyDescent="0.2"/>
    <row r="4788" ht="12.75" hidden="1" x14ac:dyDescent="0.2"/>
    <row r="4789" ht="12.75" hidden="1" x14ac:dyDescent="0.2"/>
    <row r="4790" ht="12.75" hidden="1" x14ac:dyDescent="0.2"/>
    <row r="4791" ht="12.75" hidden="1" x14ac:dyDescent="0.2"/>
    <row r="4792" ht="12.75" hidden="1" x14ac:dyDescent="0.2"/>
    <row r="4793" ht="12.75" hidden="1" x14ac:dyDescent="0.2"/>
    <row r="4794" ht="12.75" hidden="1" x14ac:dyDescent="0.2"/>
    <row r="4795" ht="12.75" hidden="1" x14ac:dyDescent="0.2"/>
    <row r="4796" ht="12.75" hidden="1" x14ac:dyDescent="0.2"/>
    <row r="4797" ht="12.75" hidden="1" x14ac:dyDescent="0.2"/>
    <row r="4798" ht="12.75" hidden="1" x14ac:dyDescent="0.2"/>
    <row r="4799" ht="12.75" hidden="1" x14ac:dyDescent="0.2"/>
    <row r="4800" ht="12.75" hidden="1" x14ac:dyDescent="0.2"/>
    <row r="4801" ht="12.75" hidden="1" x14ac:dyDescent="0.2"/>
    <row r="4802" ht="12.75" hidden="1" x14ac:dyDescent="0.2"/>
    <row r="4803" ht="12.75" hidden="1" x14ac:dyDescent="0.2"/>
    <row r="4804" ht="12.75" hidden="1" x14ac:dyDescent="0.2"/>
    <row r="4805" ht="12.75" hidden="1" x14ac:dyDescent="0.2"/>
    <row r="4806" ht="12.75" hidden="1" x14ac:dyDescent="0.2"/>
    <row r="4807" ht="12.75" hidden="1" x14ac:dyDescent="0.2"/>
    <row r="4808" ht="12.75" hidden="1" x14ac:dyDescent="0.2"/>
    <row r="4809" ht="12.75" hidden="1" x14ac:dyDescent="0.2"/>
    <row r="4810" ht="12.75" hidden="1" x14ac:dyDescent="0.2"/>
    <row r="4811" ht="12.75" hidden="1" x14ac:dyDescent="0.2"/>
    <row r="4812" ht="12.75" hidden="1" x14ac:dyDescent="0.2"/>
    <row r="4813" ht="12.75" hidden="1" x14ac:dyDescent="0.2"/>
    <row r="4814" ht="12.75" hidden="1" x14ac:dyDescent="0.2"/>
    <row r="4815" ht="12.75" hidden="1" x14ac:dyDescent="0.2"/>
    <row r="4816" ht="12.75" hidden="1" x14ac:dyDescent="0.2"/>
    <row r="4817" ht="12.75" hidden="1" x14ac:dyDescent="0.2"/>
    <row r="4818" ht="12.75" hidden="1" x14ac:dyDescent="0.2"/>
    <row r="4819" ht="12.75" hidden="1" x14ac:dyDescent="0.2"/>
    <row r="4820" ht="12.75" hidden="1" x14ac:dyDescent="0.2"/>
    <row r="4821" ht="12.75" hidden="1" x14ac:dyDescent="0.2"/>
    <row r="4822" ht="12.75" hidden="1" x14ac:dyDescent="0.2"/>
    <row r="4823" ht="12.75" hidden="1" x14ac:dyDescent="0.2"/>
    <row r="4824" ht="12.75" hidden="1" x14ac:dyDescent="0.2"/>
    <row r="4825" ht="12.75" hidden="1" x14ac:dyDescent="0.2"/>
    <row r="4826" ht="12.75" hidden="1" x14ac:dyDescent="0.2"/>
    <row r="4827" ht="12.75" hidden="1" x14ac:dyDescent="0.2"/>
    <row r="4828" ht="12.75" hidden="1" x14ac:dyDescent="0.2"/>
    <row r="4829" ht="12.75" hidden="1" x14ac:dyDescent="0.2"/>
    <row r="4830" ht="12.75" hidden="1" x14ac:dyDescent="0.2"/>
    <row r="4831" ht="12.75" hidden="1" x14ac:dyDescent="0.2"/>
    <row r="4832" ht="12.75" hidden="1" x14ac:dyDescent="0.2"/>
    <row r="4833" ht="12.75" hidden="1" x14ac:dyDescent="0.2"/>
    <row r="4834" ht="12.75" hidden="1" x14ac:dyDescent="0.2"/>
    <row r="4835" ht="12.75" hidden="1" x14ac:dyDescent="0.2"/>
    <row r="4836" ht="12.75" hidden="1" x14ac:dyDescent="0.2"/>
    <row r="4837" ht="12.75" hidden="1" x14ac:dyDescent="0.2"/>
    <row r="4838" ht="12.75" hidden="1" x14ac:dyDescent="0.2"/>
    <row r="4839" ht="12.75" hidden="1" x14ac:dyDescent="0.2"/>
    <row r="4840" ht="12.75" hidden="1" x14ac:dyDescent="0.2"/>
    <row r="4841" ht="12.75" hidden="1" x14ac:dyDescent="0.2"/>
    <row r="4842" ht="12.75" hidden="1" x14ac:dyDescent="0.2"/>
    <row r="4843" ht="12.75" hidden="1" x14ac:dyDescent="0.2"/>
    <row r="4844" ht="12.75" hidden="1" x14ac:dyDescent="0.2"/>
    <row r="4845" ht="12.75" hidden="1" x14ac:dyDescent="0.2"/>
    <row r="4846" ht="12.75" hidden="1" x14ac:dyDescent="0.2"/>
    <row r="4847" ht="12.75" hidden="1" x14ac:dyDescent="0.2"/>
    <row r="4848" ht="12.75" hidden="1" x14ac:dyDescent="0.2"/>
    <row r="4849" ht="12.75" hidden="1" x14ac:dyDescent="0.2"/>
    <row r="4850" ht="12.75" hidden="1" x14ac:dyDescent="0.2"/>
    <row r="4851" ht="12.75" hidden="1" x14ac:dyDescent="0.2"/>
    <row r="4852" ht="12.75" hidden="1" x14ac:dyDescent="0.2"/>
    <row r="4853" ht="12.75" hidden="1" x14ac:dyDescent="0.2"/>
    <row r="4854" ht="12.75" hidden="1" x14ac:dyDescent="0.2"/>
    <row r="4855" ht="12.75" hidden="1" x14ac:dyDescent="0.2"/>
    <row r="4856" ht="12.75" hidden="1" x14ac:dyDescent="0.2"/>
    <row r="4857" ht="12.75" hidden="1" x14ac:dyDescent="0.2"/>
    <row r="4858" ht="12.75" hidden="1" x14ac:dyDescent="0.2"/>
    <row r="4859" ht="12.75" hidden="1" x14ac:dyDescent="0.2"/>
    <row r="4860" ht="12.75" hidden="1" x14ac:dyDescent="0.2"/>
    <row r="4861" ht="12.75" hidden="1" x14ac:dyDescent="0.2"/>
    <row r="4862" ht="12.75" hidden="1" x14ac:dyDescent="0.2"/>
    <row r="4863" ht="12.75" hidden="1" x14ac:dyDescent="0.2"/>
    <row r="4864" ht="12.75" hidden="1" x14ac:dyDescent="0.2"/>
    <row r="4865" ht="12.75" hidden="1" x14ac:dyDescent="0.2"/>
    <row r="4866" ht="12.75" hidden="1" x14ac:dyDescent="0.2"/>
    <row r="4867" ht="12.75" hidden="1" x14ac:dyDescent="0.2"/>
    <row r="4868" ht="12.75" hidden="1" x14ac:dyDescent="0.2"/>
    <row r="4869" ht="12.75" hidden="1" x14ac:dyDescent="0.2"/>
    <row r="4870" ht="12.75" hidden="1" x14ac:dyDescent="0.2"/>
    <row r="4871" ht="12.75" hidden="1" x14ac:dyDescent="0.2"/>
    <row r="4872" ht="12.75" hidden="1" x14ac:dyDescent="0.2"/>
    <row r="4873" ht="12.75" hidden="1" x14ac:dyDescent="0.2"/>
    <row r="4874" ht="12.75" hidden="1" x14ac:dyDescent="0.2"/>
    <row r="4875" ht="12.75" hidden="1" x14ac:dyDescent="0.2"/>
    <row r="4876" ht="12.75" hidden="1" x14ac:dyDescent="0.2"/>
    <row r="4877" ht="12.75" hidden="1" x14ac:dyDescent="0.2"/>
    <row r="4878" ht="12.75" hidden="1" x14ac:dyDescent="0.2"/>
    <row r="4879" ht="12.75" hidden="1" x14ac:dyDescent="0.2"/>
    <row r="4880" ht="12.75" hidden="1" x14ac:dyDescent="0.2"/>
    <row r="4881" ht="12.75" hidden="1" x14ac:dyDescent="0.2"/>
    <row r="4882" ht="12.75" hidden="1" x14ac:dyDescent="0.2"/>
    <row r="4883" ht="12.75" hidden="1" x14ac:dyDescent="0.2"/>
    <row r="4884" ht="12.75" hidden="1" x14ac:dyDescent="0.2"/>
    <row r="4885" ht="12.75" hidden="1" x14ac:dyDescent="0.2"/>
    <row r="4886" ht="12.75" hidden="1" x14ac:dyDescent="0.2"/>
    <row r="4887" ht="12.75" hidden="1" x14ac:dyDescent="0.2"/>
    <row r="4888" ht="12.75" hidden="1" x14ac:dyDescent="0.2"/>
    <row r="4889" ht="12.75" hidden="1" x14ac:dyDescent="0.2"/>
    <row r="4890" ht="12.75" hidden="1" x14ac:dyDescent="0.2"/>
    <row r="4891" ht="12.75" hidden="1" x14ac:dyDescent="0.2"/>
    <row r="4892" ht="12.75" hidden="1" x14ac:dyDescent="0.2"/>
    <row r="4893" ht="12.75" hidden="1" x14ac:dyDescent="0.2"/>
    <row r="4894" ht="12.75" hidden="1" x14ac:dyDescent="0.2"/>
    <row r="4895" ht="12.75" hidden="1" x14ac:dyDescent="0.2"/>
    <row r="4896" ht="12.75" hidden="1" x14ac:dyDescent="0.2"/>
    <row r="4897" ht="12.75" hidden="1" x14ac:dyDescent="0.2"/>
    <row r="4898" ht="12.75" hidden="1" x14ac:dyDescent="0.2"/>
    <row r="4899" ht="12.75" hidden="1" x14ac:dyDescent="0.2"/>
    <row r="4900" ht="12.75" hidden="1" x14ac:dyDescent="0.2"/>
    <row r="4901" ht="12.75" hidden="1" x14ac:dyDescent="0.2"/>
    <row r="4902" ht="12.75" hidden="1" x14ac:dyDescent="0.2"/>
    <row r="4903" ht="12.75" hidden="1" x14ac:dyDescent="0.2"/>
    <row r="4904" ht="12.75" hidden="1" x14ac:dyDescent="0.2"/>
    <row r="4905" ht="12.75" hidden="1" x14ac:dyDescent="0.2"/>
    <row r="4906" ht="12.75" hidden="1" x14ac:dyDescent="0.2"/>
    <row r="4907" ht="12.75" hidden="1" x14ac:dyDescent="0.2"/>
    <row r="4908" ht="12.75" hidden="1" x14ac:dyDescent="0.2"/>
    <row r="4909" ht="12.75" hidden="1" x14ac:dyDescent="0.2"/>
    <row r="4910" ht="12.75" hidden="1" x14ac:dyDescent="0.2"/>
    <row r="4911" ht="12.75" hidden="1" x14ac:dyDescent="0.2"/>
    <row r="4912" ht="12.75" hidden="1" x14ac:dyDescent="0.2"/>
    <row r="4913" ht="12.75" hidden="1" x14ac:dyDescent="0.2"/>
    <row r="4914" ht="12.75" hidden="1" x14ac:dyDescent="0.2"/>
    <row r="4915" ht="12.75" hidden="1" x14ac:dyDescent="0.2"/>
    <row r="4916" ht="12.75" hidden="1" x14ac:dyDescent="0.2"/>
    <row r="4917" ht="12.75" hidden="1" x14ac:dyDescent="0.2"/>
    <row r="4918" ht="12.75" hidden="1" x14ac:dyDescent="0.2"/>
    <row r="4919" ht="12.75" hidden="1" x14ac:dyDescent="0.2"/>
    <row r="4920" ht="12.75" hidden="1" x14ac:dyDescent="0.2"/>
    <row r="4921" ht="12.75" hidden="1" x14ac:dyDescent="0.2"/>
    <row r="4922" ht="12.75" hidden="1" x14ac:dyDescent="0.2"/>
    <row r="4923" ht="12.75" hidden="1" x14ac:dyDescent="0.2"/>
    <row r="4924" ht="12.75" hidden="1" x14ac:dyDescent="0.2"/>
    <row r="4925" ht="12.75" hidden="1" x14ac:dyDescent="0.2"/>
    <row r="4926" ht="12.75" hidden="1" x14ac:dyDescent="0.2"/>
    <row r="4927" ht="12.75" hidden="1" x14ac:dyDescent="0.2"/>
    <row r="4928" ht="12.75" hidden="1" x14ac:dyDescent="0.2"/>
    <row r="4929" ht="12.75" hidden="1" x14ac:dyDescent="0.2"/>
    <row r="4930" ht="12.75" hidden="1" x14ac:dyDescent="0.2"/>
    <row r="4931" ht="12.75" hidden="1" x14ac:dyDescent="0.2"/>
    <row r="4932" ht="12.75" hidden="1" x14ac:dyDescent="0.2"/>
    <row r="4933" ht="12.75" hidden="1" x14ac:dyDescent="0.2"/>
    <row r="4934" ht="12.75" hidden="1" x14ac:dyDescent="0.2"/>
    <row r="4935" ht="12.75" hidden="1" x14ac:dyDescent="0.2"/>
    <row r="4936" ht="12.75" hidden="1" x14ac:dyDescent="0.2"/>
    <row r="4937" ht="12.75" hidden="1" x14ac:dyDescent="0.2"/>
    <row r="4938" ht="12.75" hidden="1" x14ac:dyDescent="0.2"/>
    <row r="4939" ht="12.75" hidden="1" x14ac:dyDescent="0.2"/>
    <row r="4940" ht="12.75" hidden="1" x14ac:dyDescent="0.2"/>
    <row r="4941" ht="12.75" hidden="1" x14ac:dyDescent="0.2"/>
    <row r="4942" ht="12.75" hidden="1" x14ac:dyDescent="0.2"/>
    <row r="4943" ht="12.75" hidden="1" x14ac:dyDescent="0.2"/>
    <row r="4944" ht="12.75" hidden="1" x14ac:dyDescent="0.2"/>
    <row r="4945" ht="12.75" hidden="1" x14ac:dyDescent="0.2"/>
    <row r="4946" ht="12.75" hidden="1" x14ac:dyDescent="0.2"/>
    <row r="4947" ht="12.75" hidden="1" x14ac:dyDescent="0.2"/>
    <row r="4948" ht="12.75" hidden="1" x14ac:dyDescent="0.2"/>
    <row r="4949" ht="12.75" hidden="1" x14ac:dyDescent="0.2"/>
    <row r="4950" ht="12.75" hidden="1" x14ac:dyDescent="0.2"/>
    <row r="4951" ht="12.75" hidden="1" x14ac:dyDescent="0.2"/>
    <row r="4952" ht="12.75" hidden="1" x14ac:dyDescent="0.2"/>
    <row r="4953" ht="12.75" hidden="1" x14ac:dyDescent="0.2"/>
    <row r="4954" ht="12.75" hidden="1" x14ac:dyDescent="0.2"/>
    <row r="4955" ht="12.75" hidden="1" x14ac:dyDescent="0.2"/>
    <row r="4956" ht="12.75" hidden="1" x14ac:dyDescent="0.2"/>
    <row r="4957" ht="12.75" hidden="1" x14ac:dyDescent="0.2"/>
    <row r="4958" ht="12.75" hidden="1" x14ac:dyDescent="0.2"/>
    <row r="4959" ht="12.75" hidden="1" x14ac:dyDescent="0.2"/>
    <row r="4960" ht="12.75" hidden="1" x14ac:dyDescent="0.2"/>
    <row r="4961" ht="12.75" hidden="1" x14ac:dyDescent="0.2"/>
    <row r="4962" ht="12.75" hidden="1" x14ac:dyDescent="0.2"/>
    <row r="4963" ht="12.75" hidden="1" x14ac:dyDescent="0.2"/>
    <row r="4964" ht="12.75" hidden="1" x14ac:dyDescent="0.2"/>
    <row r="4965" ht="12.75" hidden="1" x14ac:dyDescent="0.2"/>
    <row r="4966" ht="12.75" hidden="1" x14ac:dyDescent="0.2"/>
    <row r="4967" ht="12.75" hidden="1" x14ac:dyDescent="0.2"/>
    <row r="4968" ht="12.75" hidden="1" x14ac:dyDescent="0.2"/>
    <row r="4969" ht="12.75" hidden="1" x14ac:dyDescent="0.2"/>
    <row r="4970" ht="12.75" hidden="1" x14ac:dyDescent="0.2"/>
    <row r="4971" ht="12.75" hidden="1" x14ac:dyDescent="0.2"/>
    <row r="4972" ht="12.75" hidden="1" x14ac:dyDescent="0.2"/>
    <row r="4973" ht="12.75" hidden="1" x14ac:dyDescent="0.2"/>
    <row r="4974" ht="12.75" hidden="1" x14ac:dyDescent="0.2"/>
    <row r="4975" ht="12.75" hidden="1" x14ac:dyDescent="0.2"/>
    <row r="4976" ht="12.75" hidden="1" x14ac:dyDescent="0.2"/>
    <row r="4977" ht="12.75" hidden="1" x14ac:dyDescent="0.2"/>
    <row r="4978" ht="12.75" hidden="1" x14ac:dyDescent="0.2"/>
    <row r="4979" ht="12.75" hidden="1" x14ac:dyDescent="0.2"/>
    <row r="4980" ht="12.75" hidden="1" x14ac:dyDescent="0.2"/>
    <row r="4981" ht="12.75" hidden="1" x14ac:dyDescent="0.2"/>
    <row r="4982" ht="12.75" hidden="1" x14ac:dyDescent="0.2"/>
    <row r="4983" ht="12.75" hidden="1" x14ac:dyDescent="0.2"/>
    <row r="4984" ht="12.75" hidden="1" x14ac:dyDescent="0.2"/>
    <row r="4985" ht="12.75" hidden="1" x14ac:dyDescent="0.2"/>
    <row r="4986" ht="12.75" hidden="1" x14ac:dyDescent="0.2"/>
    <row r="4987" ht="12.75" hidden="1" x14ac:dyDescent="0.2"/>
    <row r="4988" ht="12.75" hidden="1" x14ac:dyDescent="0.2"/>
    <row r="4989" ht="12.75" hidden="1" x14ac:dyDescent="0.2"/>
    <row r="4990" ht="12.75" hidden="1" x14ac:dyDescent="0.2"/>
    <row r="4991" ht="12.75" hidden="1" x14ac:dyDescent="0.2"/>
    <row r="4992" ht="12.75" hidden="1" x14ac:dyDescent="0.2"/>
    <row r="4993" ht="12.75" hidden="1" x14ac:dyDescent="0.2"/>
    <row r="4994" ht="12.75" hidden="1" x14ac:dyDescent="0.2"/>
    <row r="4995" ht="12.75" hidden="1" x14ac:dyDescent="0.2"/>
    <row r="4996" ht="12.75" hidden="1" x14ac:dyDescent="0.2"/>
    <row r="4997" ht="12.75" hidden="1" x14ac:dyDescent="0.2"/>
    <row r="4998" ht="12.75" hidden="1" x14ac:dyDescent="0.2"/>
    <row r="4999" ht="12.75" hidden="1" x14ac:dyDescent="0.2"/>
    <row r="5000" ht="12.75" hidden="1" x14ac:dyDescent="0.2"/>
    <row r="5001" ht="12.75" hidden="1" x14ac:dyDescent="0.2"/>
    <row r="5002" ht="12.75" hidden="1" x14ac:dyDescent="0.2"/>
    <row r="5003" ht="12.75" hidden="1" x14ac:dyDescent="0.2"/>
    <row r="5004" ht="12.75" hidden="1" x14ac:dyDescent="0.2"/>
    <row r="5005" ht="12.75" hidden="1" x14ac:dyDescent="0.2"/>
    <row r="5006" ht="12.75" hidden="1" x14ac:dyDescent="0.2"/>
    <row r="5007" ht="12.75" hidden="1" x14ac:dyDescent="0.2"/>
    <row r="5008" ht="12.75" hidden="1" x14ac:dyDescent="0.2"/>
    <row r="5009" ht="12.75" hidden="1" x14ac:dyDescent="0.2"/>
    <row r="5010" ht="12.75" hidden="1" x14ac:dyDescent="0.2"/>
    <row r="5011" ht="12.75" hidden="1" x14ac:dyDescent="0.2"/>
    <row r="5012" ht="12.75" hidden="1" x14ac:dyDescent="0.2"/>
    <row r="5013" ht="12.75" hidden="1" x14ac:dyDescent="0.2"/>
    <row r="5014" ht="12.75" hidden="1" x14ac:dyDescent="0.2"/>
    <row r="5015" ht="12.75" hidden="1" x14ac:dyDescent="0.2"/>
    <row r="5016" ht="12.75" hidden="1" x14ac:dyDescent="0.2"/>
    <row r="5017" ht="12.75" hidden="1" x14ac:dyDescent="0.2"/>
    <row r="5018" ht="12.75" hidden="1" x14ac:dyDescent="0.2"/>
    <row r="5019" ht="12.75" hidden="1" x14ac:dyDescent="0.2"/>
    <row r="5020" ht="12.75" hidden="1" x14ac:dyDescent="0.2"/>
    <row r="5021" ht="12.75" hidden="1" x14ac:dyDescent="0.2"/>
    <row r="5022" ht="12.75" hidden="1" x14ac:dyDescent="0.2"/>
    <row r="5023" ht="12.75" hidden="1" x14ac:dyDescent="0.2"/>
    <row r="5024" ht="12.75" hidden="1" x14ac:dyDescent="0.2"/>
    <row r="5025" ht="12.75" hidden="1" x14ac:dyDescent="0.2"/>
    <row r="5026" ht="12.75" hidden="1" x14ac:dyDescent="0.2"/>
    <row r="5027" ht="12.75" hidden="1" x14ac:dyDescent="0.2"/>
    <row r="5028" ht="12.75" hidden="1" x14ac:dyDescent="0.2"/>
    <row r="5029" ht="12.75" hidden="1" x14ac:dyDescent="0.2"/>
    <row r="5030" ht="12.75" hidden="1" x14ac:dyDescent="0.2"/>
    <row r="5031" ht="12.75" hidden="1" x14ac:dyDescent="0.2"/>
    <row r="5032" ht="12.75" hidden="1" x14ac:dyDescent="0.2"/>
    <row r="5033" ht="12.75" hidden="1" x14ac:dyDescent="0.2"/>
    <row r="5034" ht="12.75" hidden="1" x14ac:dyDescent="0.2"/>
    <row r="5035" ht="12.75" hidden="1" x14ac:dyDescent="0.2"/>
    <row r="5036" ht="12.75" hidden="1" x14ac:dyDescent="0.2"/>
    <row r="5037" ht="12.75" hidden="1" x14ac:dyDescent="0.2"/>
    <row r="5038" ht="12.75" hidden="1" x14ac:dyDescent="0.2"/>
    <row r="5039" ht="12.75" hidden="1" x14ac:dyDescent="0.2"/>
    <row r="5040" ht="12.75" hidden="1" x14ac:dyDescent="0.2"/>
    <row r="5041" ht="12.75" hidden="1" x14ac:dyDescent="0.2"/>
    <row r="5042" ht="12.75" hidden="1" x14ac:dyDescent="0.2"/>
    <row r="5043" ht="12.75" hidden="1" x14ac:dyDescent="0.2"/>
    <row r="5044" ht="12.75" hidden="1" x14ac:dyDescent="0.2"/>
    <row r="5045" ht="12.75" hidden="1" x14ac:dyDescent="0.2"/>
    <row r="5046" ht="12.75" hidden="1" x14ac:dyDescent="0.2"/>
    <row r="5047" ht="12.75" hidden="1" x14ac:dyDescent="0.2"/>
    <row r="5048" ht="12.75" hidden="1" x14ac:dyDescent="0.2"/>
    <row r="5049" ht="12.75" hidden="1" x14ac:dyDescent="0.2"/>
    <row r="5050" ht="12.75" hidden="1" x14ac:dyDescent="0.2"/>
    <row r="5051" ht="12.75" hidden="1" x14ac:dyDescent="0.2"/>
    <row r="5052" ht="12.75" hidden="1" x14ac:dyDescent="0.2"/>
    <row r="5053" ht="12.75" hidden="1" x14ac:dyDescent="0.2"/>
    <row r="5054" ht="12.75" hidden="1" x14ac:dyDescent="0.2"/>
    <row r="5055" ht="12.75" hidden="1" x14ac:dyDescent="0.2"/>
    <row r="5056" ht="12.75" hidden="1" x14ac:dyDescent="0.2"/>
    <row r="5057" ht="12.75" hidden="1" x14ac:dyDescent="0.2"/>
    <row r="5058" ht="12.75" hidden="1" x14ac:dyDescent="0.2"/>
    <row r="5059" ht="12.75" hidden="1" x14ac:dyDescent="0.2"/>
    <row r="5060" ht="12.75" hidden="1" x14ac:dyDescent="0.2"/>
    <row r="5061" ht="12.75" hidden="1" x14ac:dyDescent="0.2"/>
    <row r="5062" ht="12.75" hidden="1" x14ac:dyDescent="0.2"/>
    <row r="5063" ht="12.75" hidden="1" x14ac:dyDescent="0.2"/>
    <row r="5064" ht="12.75" hidden="1" x14ac:dyDescent="0.2"/>
    <row r="5065" ht="12.75" hidden="1" x14ac:dyDescent="0.2"/>
    <row r="5066" ht="12.75" hidden="1" x14ac:dyDescent="0.2"/>
    <row r="5067" ht="12.75" hidden="1" x14ac:dyDescent="0.2"/>
    <row r="5068" ht="12.75" hidden="1" x14ac:dyDescent="0.2"/>
    <row r="5069" ht="12.75" hidden="1" x14ac:dyDescent="0.2"/>
    <row r="5070" ht="12.75" hidden="1" x14ac:dyDescent="0.2"/>
    <row r="5071" ht="12.75" hidden="1" x14ac:dyDescent="0.2"/>
    <row r="5072" ht="12.75" hidden="1" x14ac:dyDescent="0.2"/>
    <row r="5073" ht="12.75" hidden="1" x14ac:dyDescent="0.2"/>
    <row r="5074" ht="12.75" hidden="1" x14ac:dyDescent="0.2"/>
    <row r="5075" ht="12.75" hidden="1" x14ac:dyDescent="0.2"/>
    <row r="5076" ht="12.75" hidden="1" x14ac:dyDescent="0.2"/>
    <row r="5077" ht="12.75" hidden="1" x14ac:dyDescent="0.2"/>
    <row r="5078" ht="12.75" hidden="1" x14ac:dyDescent="0.2"/>
    <row r="5079" ht="12.75" hidden="1" x14ac:dyDescent="0.2"/>
    <row r="5080" ht="12.75" hidden="1" x14ac:dyDescent="0.2"/>
    <row r="5081" ht="12.75" hidden="1" x14ac:dyDescent="0.2"/>
    <row r="5082" ht="12.75" hidden="1" x14ac:dyDescent="0.2"/>
    <row r="5083" ht="12.75" hidden="1" x14ac:dyDescent="0.2"/>
    <row r="5084" ht="12.75" hidden="1" x14ac:dyDescent="0.2"/>
    <row r="5085" ht="12.75" hidden="1" x14ac:dyDescent="0.2"/>
    <row r="5086" ht="12.75" hidden="1" x14ac:dyDescent="0.2"/>
    <row r="5087" ht="12.75" hidden="1" x14ac:dyDescent="0.2"/>
    <row r="5088" ht="12.75" hidden="1" x14ac:dyDescent="0.2"/>
    <row r="5089" ht="12.75" hidden="1" x14ac:dyDescent="0.2"/>
    <row r="5090" ht="12.75" hidden="1" x14ac:dyDescent="0.2"/>
    <row r="5091" ht="12.75" hidden="1" x14ac:dyDescent="0.2"/>
    <row r="5092" ht="12.75" hidden="1" x14ac:dyDescent="0.2"/>
    <row r="5093" ht="12.75" hidden="1" x14ac:dyDescent="0.2"/>
    <row r="5094" ht="12.75" hidden="1" x14ac:dyDescent="0.2"/>
    <row r="5095" ht="12.75" hidden="1" x14ac:dyDescent="0.2"/>
    <row r="5096" ht="12.75" hidden="1" x14ac:dyDescent="0.2"/>
    <row r="5097" ht="12.75" hidden="1" x14ac:dyDescent="0.2"/>
    <row r="5098" ht="12.75" hidden="1" x14ac:dyDescent="0.2"/>
    <row r="5099" ht="12.75" hidden="1" x14ac:dyDescent="0.2"/>
    <row r="5100" ht="12.75" hidden="1" x14ac:dyDescent="0.2"/>
    <row r="5101" ht="12.75" hidden="1" x14ac:dyDescent="0.2"/>
    <row r="5102" ht="12.75" hidden="1" x14ac:dyDescent="0.2"/>
    <row r="5103" ht="12.75" hidden="1" x14ac:dyDescent="0.2"/>
    <row r="5104" ht="12.75" hidden="1" x14ac:dyDescent="0.2"/>
    <row r="5105" ht="12.75" hidden="1" x14ac:dyDescent="0.2"/>
    <row r="5106" ht="12.75" hidden="1" x14ac:dyDescent="0.2"/>
    <row r="5107" ht="12.75" hidden="1" x14ac:dyDescent="0.2"/>
    <row r="5108" ht="12.75" hidden="1" x14ac:dyDescent="0.2"/>
    <row r="5109" ht="12.75" hidden="1" x14ac:dyDescent="0.2"/>
    <row r="5110" ht="12.75" hidden="1" x14ac:dyDescent="0.2"/>
    <row r="5111" ht="12.75" hidden="1" x14ac:dyDescent="0.2"/>
    <row r="5112" ht="12.75" hidden="1" x14ac:dyDescent="0.2"/>
    <row r="5113" ht="12.75" hidden="1" x14ac:dyDescent="0.2"/>
    <row r="5114" ht="12.75" hidden="1" x14ac:dyDescent="0.2"/>
    <row r="5115" ht="12.75" hidden="1" x14ac:dyDescent="0.2"/>
    <row r="5116" ht="12.75" hidden="1" x14ac:dyDescent="0.2"/>
    <row r="5117" ht="12.75" hidden="1" x14ac:dyDescent="0.2"/>
    <row r="5118" ht="12.75" hidden="1" x14ac:dyDescent="0.2"/>
    <row r="5119" ht="12.75" hidden="1" x14ac:dyDescent="0.2"/>
    <row r="5120" ht="12.75" hidden="1" x14ac:dyDescent="0.2"/>
    <row r="5121" ht="12.75" hidden="1" x14ac:dyDescent="0.2"/>
    <row r="5122" ht="12.75" hidden="1" x14ac:dyDescent="0.2"/>
    <row r="5123" ht="12.75" hidden="1" x14ac:dyDescent="0.2"/>
    <row r="5124" ht="12.75" hidden="1" x14ac:dyDescent="0.2"/>
    <row r="5125" ht="12.75" hidden="1" x14ac:dyDescent="0.2"/>
    <row r="5126" ht="12.75" hidden="1" x14ac:dyDescent="0.2"/>
    <row r="5127" ht="12.75" hidden="1" x14ac:dyDescent="0.2"/>
    <row r="5128" ht="12.75" hidden="1" x14ac:dyDescent="0.2"/>
    <row r="5129" ht="12.75" hidden="1" x14ac:dyDescent="0.2"/>
    <row r="5130" ht="12.75" hidden="1" x14ac:dyDescent="0.2"/>
    <row r="5131" ht="12.75" hidden="1" x14ac:dyDescent="0.2"/>
    <row r="5132" ht="12.75" hidden="1" x14ac:dyDescent="0.2"/>
    <row r="5133" ht="12.75" hidden="1" x14ac:dyDescent="0.2"/>
    <row r="5134" ht="12.75" hidden="1" x14ac:dyDescent="0.2"/>
    <row r="5135" ht="12.75" hidden="1" x14ac:dyDescent="0.2"/>
    <row r="5136" ht="12.75" hidden="1" x14ac:dyDescent="0.2"/>
    <row r="5137" ht="12.75" hidden="1" x14ac:dyDescent="0.2"/>
    <row r="5138" ht="12.75" hidden="1" x14ac:dyDescent="0.2"/>
    <row r="5139" ht="12.75" hidden="1" x14ac:dyDescent="0.2"/>
    <row r="5140" ht="12.75" hidden="1" x14ac:dyDescent="0.2"/>
    <row r="5141" ht="12.75" hidden="1" x14ac:dyDescent="0.2"/>
    <row r="5142" ht="12.75" hidden="1" x14ac:dyDescent="0.2"/>
    <row r="5143" ht="12.75" hidden="1" x14ac:dyDescent="0.2"/>
    <row r="5144" ht="12.75" hidden="1" x14ac:dyDescent="0.2"/>
    <row r="5145" ht="12.75" hidden="1" x14ac:dyDescent="0.2"/>
    <row r="5146" ht="12.75" hidden="1" x14ac:dyDescent="0.2"/>
    <row r="5147" ht="12.75" hidden="1" x14ac:dyDescent="0.2"/>
    <row r="5148" ht="12.75" hidden="1" x14ac:dyDescent="0.2"/>
    <row r="5149" ht="12.75" hidden="1" x14ac:dyDescent="0.2"/>
    <row r="5150" ht="12.75" hidden="1" x14ac:dyDescent="0.2"/>
    <row r="5151" ht="12.75" hidden="1" x14ac:dyDescent="0.2"/>
    <row r="5152" ht="12.75" hidden="1" x14ac:dyDescent="0.2"/>
    <row r="5153" ht="12.75" hidden="1" x14ac:dyDescent="0.2"/>
    <row r="5154" ht="12.75" hidden="1" x14ac:dyDescent="0.2"/>
    <row r="5155" ht="12.75" hidden="1" x14ac:dyDescent="0.2"/>
    <row r="5156" ht="12.75" hidden="1" x14ac:dyDescent="0.2"/>
    <row r="5157" ht="12.75" hidden="1" x14ac:dyDescent="0.2"/>
    <row r="5158" ht="12.75" hidden="1" x14ac:dyDescent="0.2"/>
    <row r="5159" ht="12.75" hidden="1" x14ac:dyDescent="0.2"/>
    <row r="5160" ht="12.75" hidden="1" x14ac:dyDescent="0.2"/>
    <row r="5161" ht="12.75" hidden="1" x14ac:dyDescent="0.2"/>
    <row r="5162" ht="12.75" hidden="1" x14ac:dyDescent="0.2"/>
    <row r="5163" ht="12.75" hidden="1" x14ac:dyDescent="0.2"/>
    <row r="5164" ht="12.75" hidden="1" x14ac:dyDescent="0.2"/>
    <row r="5165" ht="12.75" hidden="1" x14ac:dyDescent="0.2"/>
    <row r="5166" ht="12.75" hidden="1" x14ac:dyDescent="0.2"/>
    <row r="5167" ht="12.75" hidden="1" x14ac:dyDescent="0.2"/>
    <row r="5168" ht="12.75" hidden="1" x14ac:dyDescent="0.2"/>
    <row r="5169" ht="12.75" hidden="1" x14ac:dyDescent="0.2"/>
    <row r="5170" ht="12.75" hidden="1" x14ac:dyDescent="0.2"/>
    <row r="5171" ht="12.75" hidden="1" x14ac:dyDescent="0.2"/>
    <row r="5172" ht="12.75" hidden="1" x14ac:dyDescent="0.2"/>
    <row r="5173" ht="12.75" hidden="1" x14ac:dyDescent="0.2"/>
    <row r="5174" ht="12.75" hidden="1" x14ac:dyDescent="0.2"/>
    <row r="5175" ht="12.75" hidden="1" x14ac:dyDescent="0.2"/>
    <row r="5176" ht="12.75" hidden="1" x14ac:dyDescent="0.2"/>
    <row r="5177" ht="12.75" hidden="1" x14ac:dyDescent="0.2"/>
    <row r="5178" ht="12.75" hidden="1" x14ac:dyDescent="0.2"/>
    <row r="5179" ht="12.75" hidden="1" x14ac:dyDescent="0.2"/>
    <row r="5180" ht="12.75" hidden="1" x14ac:dyDescent="0.2"/>
    <row r="5181" ht="12.75" hidden="1" x14ac:dyDescent="0.2"/>
    <row r="5182" ht="12.75" hidden="1" x14ac:dyDescent="0.2"/>
    <row r="5183" ht="12.75" hidden="1" x14ac:dyDescent="0.2"/>
    <row r="5184" ht="12.75" hidden="1" x14ac:dyDescent="0.2"/>
    <row r="5185" ht="12.75" hidden="1" x14ac:dyDescent="0.2"/>
    <row r="5186" ht="12.75" hidden="1" x14ac:dyDescent="0.2"/>
    <row r="5187" ht="12.75" hidden="1" x14ac:dyDescent="0.2"/>
    <row r="5188" ht="12.75" hidden="1" x14ac:dyDescent="0.2"/>
    <row r="5189" ht="12.75" hidden="1" x14ac:dyDescent="0.2"/>
    <row r="5190" ht="12.75" hidden="1" x14ac:dyDescent="0.2"/>
    <row r="5191" ht="12.75" hidden="1" x14ac:dyDescent="0.2"/>
    <row r="5192" ht="12.75" hidden="1" x14ac:dyDescent="0.2"/>
    <row r="5193" ht="12.75" hidden="1" x14ac:dyDescent="0.2"/>
    <row r="5194" ht="12.75" hidden="1" x14ac:dyDescent="0.2"/>
    <row r="5195" ht="12.75" hidden="1" x14ac:dyDescent="0.2"/>
    <row r="5196" ht="12.75" hidden="1" x14ac:dyDescent="0.2"/>
    <row r="5197" ht="12.75" hidden="1" x14ac:dyDescent="0.2"/>
    <row r="5198" ht="12.75" hidden="1" x14ac:dyDescent="0.2"/>
    <row r="5199" ht="12.75" hidden="1" x14ac:dyDescent="0.2"/>
    <row r="5200" ht="12.75" hidden="1" x14ac:dyDescent="0.2"/>
    <row r="5201" ht="12.75" hidden="1" x14ac:dyDescent="0.2"/>
    <row r="5202" ht="12.75" hidden="1" x14ac:dyDescent="0.2"/>
    <row r="5203" ht="12.75" hidden="1" x14ac:dyDescent="0.2"/>
    <row r="5204" ht="12.75" hidden="1" x14ac:dyDescent="0.2"/>
    <row r="5205" ht="12.75" hidden="1" x14ac:dyDescent="0.2"/>
    <row r="5206" ht="12.75" hidden="1" x14ac:dyDescent="0.2"/>
    <row r="5207" ht="12.75" hidden="1" x14ac:dyDescent="0.2"/>
    <row r="5208" ht="12.75" hidden="1" x14ac:dyDescent="0.2"/>
    <row r="5209" ht="12.75" hidden="1" x14ac:dyDescent="0.2"/>
    <row r="5210" ht="12.75" hidden="1" x14ac:dyDescent="0.2"/>
    <row r="5211" ht="12.75" hidden="1" x14ac:dyDescent="0.2"/>
    <row r="5212" ht="12.75" hidden="1" x14ac:dyDescent="0.2"/>
    <row r="5213" ht="12.75" hidden="1" x14ac:dyDescent="0.2"/>
    <row r="5214" ht="12.75" hidden="1" x14ac:dyDescent="0.2"/>
    <row r="5215" ht="12.75" hidden="1" x14ac:dyDescent="0.2"/>
    <row r="5216" ht="12.75" hidden="1" x14ac:dyDescent="0.2"/>
    <row r="5217" ht="12.75" hidden="1" x14ac:dyDescent="0.2"/>
    <row r="5218" ht="12.75" hidden="1" x14ac:dyDescent="0.2"/>
    <row r="5219" ht="12.75" hidden="1" x14ac:dyDescent="0.2"/>
    <row r="5220" ht="12.75" hidden="1" x14ac:dyDescent="0.2"/>
    <row r="5221" ht="12.75" hidden="1" x14ac:dyDescent="0.2"/>
    <row r="5222" ht="12.75" hidden="1" x14ac:dyDescent="0.2"/>
    <row r="5223" ht="12.75" hidden="1" x14ac:dyDescent="0.2"/>
    <row r="5224" ht="12.75" hidden="1" x14ac:dyDescent="0.2"/>
    <row r="5225" ht="12.75" hidden="1" x14ac:dyDescent="0.2"/>
    <row r="5226" ht="12.75" hidden="1" x14ac:dyDescent="0.2"/>
    <row r="5227" ht="12.75" hidden="1" x14ac:dyDescent="0.2"/>
    <row r="5228" ht="12.75" hidden="1" x14ac:dyDescent="0.2"/>
    <row r="5229" ht="12.75" hidden="1" x14ac:dyDescent="0.2"/>
    <row r="5230" ht="12.75" hidden="1" x14ac:dyDescent="0.2"/>
    <row r="5231" ht="12.75" hidden="1" x14ac:dyDescent="0.2"/>
    <row r="5232" ht="12.75" hidden="1" x14ac:dyDescent="0.2"/>
    <row r="5233" ht="12.75" hidden="1" x14ac:dyDescent="0.2"/>
    <row r="5234" ht="12.75" hidden="1" x14ac:dyDescent="0.2"/>
    <row r="5235" ht="12.75" hidden="1" x14ac:dyDescent="0.2"/>
    <row r="5236" ht="12.75" hidden="1" x14ac:dyDescent="0.2"/>
    <row r="5237" ht="12.75" hidden="1" x14ac:dyDescent="0.2"/>
    <row r="5238" ht="12.75" hidden="1" x14ac:dyDescent="0.2"/>
    <row r="5239" ht="12.75" hidden="1" x14ac:dyDescent="0.2"/>
    <row r="5240" ht="12.75" hidden="1" x14ac:dyDescent="0.2"/>
    <row r="5241" ht="12.75" hidden="1" x14ac:dyDescent="0.2"/>
    <row r="5242" ht="12.75" hidden="1" x14ac:dyDescent="0.2"/>
    <row r="5243" ht="12.75" hidden="1" x14ac:dyDescent="0.2"/>
    <row r="5244" ht="12.75" hidden="1" x14ac:dyDescent="0.2"/>
    <row r="5245" ht="12.75" hidden="1" x14ac:dyDescent="0.2"/>
    <row r="5246" ht="12.75" hidden="1" x14ac:dyDescent="0.2"/>
    <row r="5247" ht="12.75" hidden="1" x14ac:dyDescent="0.2"/>
    <row r="5248" ht="12.75" hidden="1" x14ac:dyDescent="0.2"/>
    <row r="5249" ht="12.75" hidden="1" x14ac:dyDescent="0.2"/>
    <row r="5250" ht="12.75" hidden="1" x14ac:dyDescent="0.2"/>
    <row r="5251" ht="12.75" hidden="1" x14ac:dyDescent="0.2"/>
    <row r="5252" ht="12.75" hidden="1" x14ac:dyDescent="0.2"/>
    <row r="5253" ht="12.75" hidden="1" x14ac:dyDescent="0.2"/>
    <row r="5254" ht="12.75" hidden="1" x14ac:dyDescent="0.2"/>
    <row r="5255" ht="12.75" hidden="1" x14ac:dyDescent="0.2"/>
    <row r="5256" ht="12.75" hidden="1" x14ac:dyDescent="0.2"/>
    <row r="5257" ht="12.75" hidden="1" x14ac:dyDescent="0.2"/>
    <row r="5258" ht="12.75" hidden="1" x14ac:dyDescent="0.2"/>
    <row r="5259" ht="12.75" hidden="1" x14ac:dyDescent="0.2"/>
    <row r="5260" ht="12.75" hidden="1" x14ac:dyDescent="0.2"/>
    <row r="5261" ht="12.75" hidden="1" x14ac:dyDescent="0.2"/>
    <row r="5262" ht="12.75" hidden="1" x14ac:dyDescent="0.2"/>
    <row r="5263" ht="12.75" hidden="1" x14ac:dyDescent="0.2"/>
    <row r="5264" ht="12.75" hidden="1" x14ac:dyDescent="0.2"/>
    <row r="5265" ht="12.75" hidden="1" x14ac:dyDescent="0.2"/>
    <row r="5266" ht="12.75" hidden="1" x14ac:dyDescent="0.2"/>
    <row r="5267" ht="12.75" hidden="1" x14ac:dyDescent="0.2"/>
    <row r="5268" ht="12.75" hidden="1" x14ac:dyDescent="0.2"/>
    <row r="5269" ht="12.75" hidden="1" x14ac:dyDescent="0.2"/>
    <row r="5270" ht="12.75" hidden="1" x14ac:dyDescent="0.2"/>
    <row r="5271" ht="12.75" hidden="1" x14ac:dyDescent="0.2"/>
    <row r="5272" ht="12.75" hidden="1" x14ac:dyDescent="0.2"/>
    <row r="5273" ht="12.75" hidden="1" x14ac:dyDescent="0.2"/>
    <row r="5274" ht="12.75" hidden="1" x14ac:dyDescent="0.2"/>
    <row r="5275" ht="12.75" hidden="1" x14ac:dyDescent="0.2"/>
    <row r="5276" ht="12.75" hidden="1" x14ac:dyDescent="0.2"/>
    <row r="5277" ht="12.75" hidden="1" x14ac:dyDescent="0.2"/>
    <row r="5278" ht="12.75" hidden="1" x14ac:dyDescent="0.2"/>
    <row r="5279" ht="12.75" hidden="1" x14ac:dyDescent="0.2"/>
    <row r="5280" ht="12.75" hidden="1" x14ac:dyDescent="0.2"/>
    <row r="5281" ht="12.75" hidden="1" x14ac:dyDescent="0.2"/>
    <row r="5282" ht="12.75" hidden="1" x14ac:dyDescent="0.2"/>
    <row r="5283" ht="12.75" hidden="1" x14ac:dyDescent="0.2"/>
    <row r="5284" ht="12.75" hidden="1" x14ac:dyDescent="0.2"/>
    <row r="5285" ht="12.75" hidden="1" x14ac:dyDescent="0.2"/>
    <row r="5286" ht="12.75" hidden="1" x14ac:dyDescent="0.2"/>
    <row r="5287" ht="12.75" hidden="1" x14ac:dyDescent="0.2"/>
    <row r="5288" ht="12.75" hidden="1" x14ac:dyDescent="0.2"/>
    <row r="5289" ht="12.75" hidden="1" x14ac:dyDescent="0.2"/>
    <row r="5290" ht="12.75" hidden="1" x14ac:dyDescent="0.2"/>
    <row r="5291" ht="12.75" hidden="1" x14ac:dyDescent="0.2"/>
    <row r="5292" ht="12.75" hidden="1" x14ac:dyDescent="0.2"/>
    <row r="5293" ht="12.75" hidden="1" x14ac:dyDescent="0.2"/>
    <row r="5294" ht="12.75" hidden="1" x14ac:dyDescent="0.2"/>
    <row r="5295" ht="12.75" hidden="1" x14ac:dyDescent="0.2"/>
    <row r="5296" ht="12.75" hidden="1" x14ac:dyDescent="0.2"/>
    <row r="5297" ht="12.75" hidden="1" x14ac:dyDescent="0.2"/>
    <row r="5298" ht="12.75" hidden="1" x14ac:dyDescent="0.2"/>
    <row r="5299" ht="12.75" hidden="1" x14ac:dyDescent="0.2"/>
    <row r="5300" ht="12.75" hidden="1" x14ac:dyDescent="0.2"/>
    <row r="5301" ht="12.75" hidden="1" x14ac:dyDescent="0.2"/>
    <row r="5302" ht="12.75" hidden="1" x14ac:dyDescent="0.2"/>
    <row r="5303" ht="12.75" hidden="1" x14ac:dyDescent="0.2"/>
    <row r="5304" ht="12.75" hidden="1" x14ac:dyDescent="0.2"/>
    <row r="5305" ht="12.75" hidden="1" x14ac:dyDescent="0.2"/>
    <row r="5306" ht="12.75" hidden="1" x14ac:dyDescent="0.2"/>
    <row r="5307" ht="12.75" hidden="1" x14ac:dyDescent="0.2"/>
    <row r="5308" ht="12.75" hidden="1" x14ac:dyDescent="0.2"/>
    <row r="5309" ht="12.75" hidden="1" x14ac:dyDescent="0.2"/>
    <row r="5310" ht="12.75" hidden="1" x14ac:dyDescent="0.2"/>
    <row r="5311" ht="12.75" hidden="1" x14ac:dyDescent="0.2"/>
    <row r="5312" ht="12.75" hidden="1" x14ac:dyDescent="0.2"/>
    <row r="5313" ht="12.75" hidden="1" x14ac:dyDescent="0.2"/>
    <row r="5314" ht="12.75" hidden="1" x14ac:dyDescent="0.2"/>
    <row r="5315" ht="12.75" hidden="1" x14ac:dyDescent="0.2"/>
    <row r="5316" ht="12.75" hidden="1" x14ac:dyDescent="0.2"/>
    <row r="5317" ht="12.75" hidden="1" x14ac:dyDescent="0.2"/>
    <row r="5318" ht="12.75" hidden="1" x14ac:dyDescent="0.2"/>
    <row r="5319" ht="12.75" hidden="1" x14ac:dyDescent="0.2"/>
    <row r="5320" ht="12.75" hidden="1" x14ac:dyDescent="0.2"/>
    <row r="5321" ht="12.75" hidden="1" x14ac:dyDescent="0.2"/>
    <row r="5322" ht="12.75" hidden="1" x14ac:dyDescent="0.2"/>
    <row r="5323" ht="12.75" hidden="1" x14ac:dyDescent="0.2"/>
    <row r="5324" ht="12.75" hidden="1" x14ac:dyDescent="0.2"/>
    <row r="5325" ht="12.75" hidden="1" x14ac:dyDescent="0.2"/>
    <row r="5326" ht="12.75" hidden="1" x14ac:dyDescent="0.2"/>
    <row r="5327" ht="12.75" hidden="1" x14ac:dyDescent="0.2"/>
    <row r="5328" ht="12.75" hidden="1" x14ac:dyDescent="0.2"/>
    <row r="5329" ht="12.75" hidden="1" x14ac:dyDescent="0.2"/>
    <row r="5330" ht="12.75" hidden="1" x14ac:dyDescent="0.2"/>
    <row r="5331" ht="12.75" hidden="1" x14ac:dyDescent="0.2"/>
    <row r="5332" ht="12.75" hidden="1" x14ac:dyDescent="0.2"/>
    <row r="5333" ht="12.75" hidden="1" x14ac:dyDescent="0.2"/>
    <row r="5334" ht="12.75" hidden="1" x14ac:dyDescent="0.2"/>
    <row r="5335" ht="12.75" hidden="1" x14ac:dyDescent="0.2"/>
    <row r="5336" ht="12.75" hidden="1" x14ac:dyDescent="0.2"/>
    <row r="5337" ht="12.75" hidden="1" x14ac:dyDescent="0.2"/>
    <row r="5338" ht="12.75" hidden="1" x14ac:dyDescent="0.2"/>
    <row r="5339" ht="12.75" hidden="1" x14ac:dyDescent="0.2"/>
    <row r="5340" ht="12.75" hidden="1" x14ac:dyDescent="0.2"/>
    <row r="5341" ht="12.75" hidden="1" x14ac:dyDescent="0.2"/>
    <row r="5342" ht="12.75" hidden="1" x14ac:dyDescent="0.2"/>
    <row r="5343" ht="12.75" hidden="1" x14ac:dyDescent="0.2"/>
    <row r="5344" ht="12.75" hidden="1" x14ac:dyDescent="0.2"/>
    <row r="5345" ht="12.75" hidden="1" x14ac:dyDescent="0.2"/>
    <row r="5346" ht="12.75" hidden="1" x14ac:dyDescent="0.2"/>
    <row r="5347" ht="12.75" hidden="1" x14ac:dyDescent="0.2"/>
    <row r="5348" ht="12.75" hidden="1" x14ac:dyDescent="0.2"/>
    <row r="5349" ht="12.75" hidden="1" x14ac:dyDescent="0.2"/>
    <row r="5350" ht="12.75" hidden="1" x14ac:dyDescent="0.2"/>
    <row r="5351" ht="12.75" hidden="1" x14ac:dyDescent="0.2"/>
    <row r="5352" ht="12.75" hidden="1" x14ac:dyDescent="0.2"/>
    <row r="5353" ht="12.75" hidden="1" x14ac:dyDescent="0.2"/>
    <row r="5354" ht="12.75" hidden="1" x14ac:dyDescent="0.2"/>
    <row r="5355" ht="12.75" hidden="1" x14ac:dyDescent="0.2"/>
    <row r="5356" ht="12.75" hidden="1" x14ac:dyDescent="0.2"/>
    <row r="5357" ht="12.75" hidden="1" x14ac:dyDescent="0.2"/>
    <row r="5358" ht="12.75" hidden="1" x14ac:dyDescent="0.2"/>
    <row r="5359" ht="12.75" hidden="1" x14ac:dyDescent="0.2"/>
    <row r="5360" ht="12.75" hidden="1" x14ac:dyDescent="0.2"/>
    <row r="5361" ht="12.75" hidden="1" x14ac:dyDescent="0.2"/>
    <row r="5362" ht="12.75" hidden="1" x14ac:dyDescent="0.2"/>
    <row r="5363" ht="12.75" hidden="1" x14ac:dyDescent="0.2"/>
    <row r="5364" ht="12.75" hidden="1" x14ac:dyDescent="0.2"/>
    <row r="5365" ht="12.75" hidden="1" x14ac:dyDescent="0.2"/>
    <row r="5366" ht="12.75" hidden="1" x14ac:dyDescent="0.2"/>
    <row r="5367" ht="12.75" hidden="1" x14ac:dyDescent="0.2"/>
    <row r="5368" ht="12.75" hidden="1" x14ac:dyDescent="0.2"/>
    <row r="5369" ht="12.75" hidden="1" x14ac:dyDescent="0.2"/>
    <row r="5370" ht="12.75" hidden="1" x14ac:dyDescent="0.2"/>
    <row r="5371" ht="12.75" hidden="1" x14ac:dyDescent="0.2"/>
    <row r="5372" ht="12.75" hidden="1" x14ac:dyDescent="0.2"/>
    <row r="5373" ht="12.75" hidden="1" x14ac:dyDescent="0.2"/>
    <row r="5374" ht="12.75" hidden="1" x14ac:dyDescent="0.2"/>
    <row r="5375" ht="12.75" hidden="1" x14ac:dyDescent="0.2"/>
    <row r="5376" ht="12.75" hidden="1" x14ac:dyDescent="0.2"/>
    <row r="5377" ht="12.75" hidden="1" x14ac:dyDescent="0.2"/>
    <row r="5378" ht="12.75" hidden="1" x14ac:dyDescent="0.2"/>
    <row r="5379" ht="12.75" hidden="1" x14ac:dyDescent="0.2"/>
    <row r="5380" ht="12.75" hidden="1" x14ac:dyDescent="0.2"/>
    <row r="5381" ht="12.75" hidden="1" x14ac:dyDescent="0.2"/>
    <row r="5382" ht="12.75" hidden="1" x14ac:dyDescent="0.2"/>
    <row r="5383" ht="12.75" hidden="1" x14ac:dyDescent="0.2"/>
    <row r="5384" ht="12.75" hidden="1" x14ac:dyDescent="0.2"/>
    <row r="5385" ht="12.75" hidden="1" x14ac:dyDescent="0.2"/>
    <row r="5386" ht="12.75" hidden="1" x14ac:dyDescent="0.2"/>
    <row r="5387" ht="12.75" hidden="1" x14ac:dyDescent="0.2"/>
    <row r="5388" ht="12.75" hidden="1" x14ac:dyDescent="0.2"/>
    <row r="5389" ht="12.75" hidden="1" x14ac:dyDescent="0.2"/>
    <row r="5390" ht="12.75" hidden="1" x14ac:dyDescent="0.2"/>
    <row r="5391" ht="12.75" hidden="1" x14ac:dyDescent="0.2"/>
    <row r="5392" ht="12.75" hidden="1" x14ac:dyDescent="0.2"/>
    <row r="5393" ht="12.75" hidden="1" x14ac:dyDescent="0.2"/>
    <row r="5394" ht="12.75" hidden="1" x14ac:dyDescent="0.2"/>
    <row r="5395" ht="12.75" hidden="1" x14ac:dyDescent="0.2"/>
    <row r="5396" ht="12.75" hidden="1" x14ac:dyDescent="0.2"/>
    <row r="5397" ht="12.75" hidden="1" x14ac:dyDescent="0.2"/>
    <row r="5398" ht="12.75" hidden="1" x14ac:dyDescent="0.2"/>
    <row r="5399" ht="12.75" hidden="1" x14ac:dyDescent="0.2"/>
    <row r="5400" ht="12.75" hidden="1" x14ac:dyDescent="0.2"/>
    <row r="5401" ht="12.75" hidden="1" x14ac:dyDescent="0.2"/>
    <row r="5402" ht="12.75" hidden="1" x14ac:dyDescent="0.2"/>
    <row r="5403" ht="12.75" hidden="1" x14ac:dyDescent="0.2"/>
    <row r="5404" ht="12.75" hidden="1" x14ac:dyDescent="0.2"/>
    <row r="5405" ht="12.75" hidden="1" x14ac:dyDescent="0.2"/>
    <row r="5406" ht="12.75" hidden="1" x14ac:dyDescent="0.2"/>
    <row r="5407" ht="12.75" hidden="1" x14ac:dyDescent="0.2"/>
    <row r="5408" ht="12.75" hidden="1" x14ac:dyDescent="0.2"/>
    <row r="5409" ht="12.75" hidden="1" x14ac:dyDescent="0.2"/>
    <row r="5410" ht="12.75" hidden="1" x14ac:dyDescent="0.2"/>
    <row r="5411" ht="12.75" hidden="1" x14ac:dyDescent="0.2"/>
    <row r="5412" ht="12.75" hidden="1" x14ac:dyDescent="0.2"/>
    <row r="5413" ht="12.75" hidden="1" x14ac:dyDescent="0.2"/>
    <row r="5414" ht="12.75" hidden="1" x14ac:dyDescent="0.2"/>
    <row r="5415" ht="12.75" hidden="1" x14ac:dyDescent="0.2"/>
    <row r="5416" ht="12.75" hidden="1" x14ac:dyDescent="0.2"/>
    <row r="5417" ht="12.75" hidden="1" x14ac:dyDescent="0.2"/>
    <row r="5418" ht="12.75" hidden="1" x14ac:dyDescent="0.2"/>
    <row r="5419" ht="12.75" hidden="1" x14ac:dyDescent="0.2"/>
    <row r="5420" ht="12.75" hidden="1" x14ac:dyDescent="0.2"/>
    <row r="5421" ht="12.75" hidden="1" x14ac:dyDescent="0.2"/>
    <row r="5422" ht="12.75" hidden="1" x14ac:dyDescent="0.2"/>
    <row r="5423" ht="12.75" hidden="1" x14ac:dyDescent="0.2"/>
    <row r="5424" ht="12.75" hidden="1" x14ac:dyDescent="0.2"/>
    <row r="5425" ht="12.75" hidden="1" x14ac:dyDescent="0.2"/>
    <row r="5426" ht="12.75" hidden="1" x14ac:dyDescent="0.2"/>
    <row r="5427" ht="12.75" hidden="1" x14ac:dyDescent="0.2"/>
    <row r="5428" ht="12.75" hidden="1" x14ac:dyDescent="0.2"/>
    <row r="5429" ht="12.75" hidden="1" x14ac:dyDescent="0.2"/>
    <row r="5430" ht="12.75" hidden="1" x14ac:dyDescent="0.2"/>
    <row r="5431" ht="12.75" hidden="1" x14ac:dyDescent="0.2"/>
    <row r="5432" ht="12.75" hidden="1" x14ac:dyDescent="0.2"/>
    <row r="5433" ht="12.75" hidden="1" x14ac:dyDescent="0.2"/>
    <row r="5434" ht="12.75" hidden="1" x14ac:dyDescent="0.2"/>
    <row r="5435" ht="12.75" hidden="1" x14ac:dyDescent="0.2"/>
    <row r="5436" ht="12.75" hidden="1" x14ac:dyDescent="0.2"/>
    <row r="5437" ht="12.75" hidden="1" x14ac:dyDescent="0.2"/>
    <row r="5438" ht="12.75" hidden="1" x14ac:dyDescent="0.2"/>
    <row r="5439" ht="12.75" hidden="1" x14ac:dyDescent="0.2"/>
    <row r="5440" ht="12.75" hidden="1" x14ac:dyDescent="0.2"/>
    <row r="5441" ht="12.75" hidden="1" x14ac:dyDescent="0.2"/>
    <row r="5442" ht="12.75" hidden="1" x14ac:dyDescent="0.2"/>
    <row r="5443" ht="12.75" hidden="1" x14ac:dyDescent="0.2"/>
    <row r="5444" ht="12.75" hidden="1" x14ac:dyDescent="0.2"/>
    <row r="5445" ht="12.75" hidden="1" x14ac:dyDescent="0.2"/>
    <row r="5446" ht="12.75" hidden="1" x14ac:dyDescent="0.2"/>
    <row r="5447" ht="12.75" hidden="1" x14ac:dyDescent="0.2"/>
    <row r="5448" ht="12.75" hidden="1" x14ac:dyDescent="0.2"/>
    <row r="5449" ht="12.75" hidden="1" x14ac:dyDescent="0.2"/>
    <row r="5450" ht="12.75" hidden="1" x14ac:dyDescent="0.2"/>
    <row r="5451" ht="12.75" hidden="1" x14ac:dyDescent="0.2"/>
    <row r="5452" ht="12.75" hidden="1" x14ac:dyDescent="0.2"/>
    <row r="5453" ht="12.75" hidden="1" x14ac:dyDescent="0.2"/>
    <row r="5454" ht="12.75" hidden="1" x14ac:dyDescent="0.2"/>
    <row r="5455" ht="12.75" hidden="1" x14ac:dyDescent="0.2"/>
    <row r="5456" ht="12.75" hidden="1" x14ac:dyDescent="0.2"/>
    <row r="5457" ht="12.75" hidden="1" x14ac:dyDescent="0.2"/>
    <row r="5458" ht="12.75" hidden="1" x14ac:dyDescent="0.2"/>
    <row r="5459" ht="12.75" hidden="1" x14ac:dyDescent="0.2"/>
    <row r="5460" ht="12.75" hidden="1" x14ac:dyDescent="0.2"/>
    <row r="5461" ht="12.75" hidden="1" x14ac:dyDescent="0.2"/>
    <row r="5462" ht="12.75" hidden="1" x14ac:dyDescent="0.2"/>
    <row r="5463" ht="12.75" hidden="1" x14ac:dyDescent="0.2"/>
    <row r="5464" ht="12.75" hidden="1" x14ac:dyDescent="0.2"/>
    <row r="5465" ht="12.75" hidden="1" x14ac:dyDescent="0.2"/>
    <row r="5466" ht="12.75" hidden="1" x14ac:dyDescent="0.2"/>
    <row r="5467" ht="12.75" hidden="1" x14ac:dyDescent="0.2"/>
    <row r="5468" ht="12.75" hidden="1" x14ac:dyDescent="0.2"/>
    <row r="5469" ht="12.75" hidden="1" x14ac:dyDescent="0.2"/>
    <row r="5470" ht="12.75" hidden="1" x14ac:dyDescent="0.2"/>
    <row r="5471" ht="12.75" hidden="1" x14ac:dyDescent="0.2"/>
    <row r="5472" ht="12.75" hidden="1" x14ac:dyDescent="0.2"/>
    <row r="5473" ht="12.75" hidden="1" x14ac:dyDescent="0.2"/>
    <row r="5474" ht="12.75" hidden="1" x14ac:dyDescent="0.2"/>
    <row r="5475" ht="12.75" hidden="1" x14ac:dyDescent="0.2"/>
    <row r="5476" ht="12.75" hidden="1" x14ac:dyDescent="0.2"/>
    <row r="5477" ht="12.75" hidden="1" x14ac:dyDescent="0.2"/>
    <row r="5478" ht="12.75" hidden="1" x14ac:dyDescent="0.2"/>
    <row r="5479" ht="12.75" hidden="1" x14ac:dyDescent="0.2"/>
    <row r="5480" ht="12.75" hidden="1" x14ac:dyDescent="0.2"/>
    <row r="5481" ht="12.75" hidden="1" x14ac:dyDescent="0.2"/>
    <row r="5482" ht="12.75" hidden="1" x14ac:dyDescent="0.2"/>
    <row r="5483" ht="12.75" hidden="1" x14ac:dyDescent="0.2"/>
    <row r="5484" ht="12.75" hidden="1" x14ac:dyDescent="0.2"/>
    <row r="5485" ht="12.75" hidden="1" x14ac:dyDescent="0.2"/>
    <row r="5486" ht="12.75" hidden="1" x14ac:dyDescent="0.2"/>
    <row r="5487" ht="12.75" hidden="1" x14ac:dyDescent="0.2"/>
    <row r="5488" ht="12.75" hidden="1" x14ac:dyDescent="0.2"/>
    <row r="5489" ht="12.75" hidden="1" x14ac:dyDescent="0.2"/>
    <row r="5490" ht="12.75" hidden="1" x14ac:dyDescent="0.2"/>
    <row r="5491" ht="12.75" hidden="1" x14ac:dyDescent="0.2"/>
    <row r="5492" ht="12.75" hidden="1" x14ac:dyDescent="0.2"/>
    <row r="5493" ht="12.75" hidden="1" x14ac:dyDescent="0.2"/>
    <row r="5494" ht="12.75" hidden="1" x14ac:dyDescent="0.2"/>
    <row r="5495" ht="12.75" hidden="1" x14ac:dyDescent="0.2"/>
    <row r="5496" ht="12.75" hidden="1" x14ac:dyDescent="0.2"/>
    <row r="5497" ht="12.75" hidden="1" x14ac:dyDescent="0.2"/>
    <row r="5498" ht="12.75" hidden="1" x14ac:dyDescent="0.2"/>
    <row r="5499" ht="12.75" hidden="1" x14ac:dyDescent="0.2"/>
    <row r="5500" ht="12.75" hidden="1" x14ac:dyDescent="0.2"/>
    <row r="5501" ht="12.75" hidden="1" x14ac:dyDescent="0.2"/>
    <row r="5502" ht="12.75" hidden="1" x14ac:dyDescent="0.2"/>
    <row r="5503" ht="12.75" hidden="1" x14ac:dyDescent="0.2"/>
    <row r="5504" ht="12.75" hidden="1" x14ac:dyDescent="0.2"/>
    <row r="5505" ht="12.75" hidden="1" x14ac:dyDescent="0.2"/>
    <row r="5506" ht="12.75" hidden="1" x14ac:dyDescent="0.2"/>
    <row r="5507" ht="12.75" hidden="1" x14ac:dyDescent="0.2"/>
    <row r="5508" ht="12.75" hidden="1" x14ac:dyDescent="0.2"/>
    <row r="5509" ht="12.75" hidden="1" x14ac:dyDescent="0.2"/>
    <row r="5510" ht="12.75" hidden="1" x14ac:dyDescent="0.2"/>
    <row r="5511" ht="12.75" hidden="1" x14ac:dyDescent="0.2"/>
    <row r="5512" ht="12.75" hidden="1" x14ac:dyDescent="0.2"/>
    <row r="5513" ht="12.75" hidden="1" x14ac:dyDescent="0.2"/>
    <row r="5514" ht="12.75" hidden="1" x14ac:dyDescent="0.2"/>
    <row r="5515" ht="12.75" hidden="1" x14ac:dyDescent="0.2"/>
    <row r="5516" ht="12.75" hidden="1" x14ac:dyDescent="0.2"/>
    <row r="5517" ht="12.75" hidden="1" x14ac:dyDescent="0.2"/>
    <row r="5518" ht="12.75" hidden="1" x14ac:dyDescent="0.2"/>
    <row r="5519" ht="12.75" hidden="1" x14ac:dyDescent="0.2"/>
    <row r="5520" ht="12.75" hidden="1" x14ac:dyDescent="0.2"/>
    <row r="5521" ht="12.75" hidden="1" x14ac:dyDescent="0.2"/>
    <row r="5522" ht="12.75" hidden="1" x14ac:dyDescent="0.2"/>
    <row r="5523" ht="12.75" hidden="1" x14ac:dyDescent="0.2"/>
    <row r="5524" ht="12.75" hidden="1" x14ac:dyDescent="0.2"/>
    <row r="5525" ht="12.75" hidden="1" x14ac:dyDescent="0.2"/>
    <row r="5526" ht="12.75" hidden="1" x14ac:dyDescent="0.2"/>
    <row r="5527" ht="12.75" hidden="1" x14ac:dyDescent="0.2"/>
    <row r="5528" ht="12.75" hidden="1" x14ac:dyDescent="0.2"/>
    <row r="5529" ht="12.75" hidden="1" x14ac:dyDescent="0.2"/>
    <row r="5530" ht="12.75" hidden="1" x14ac:dyDescent="0.2"/>
    <row r="5531" ht="12.75" hidden="1" x14ac:dyDescent="0.2"/>
    <row r="5532" ht="12.75" hidden="1" x14ac:dyDescent="0.2"/>
    <row r="5533" ht="12.75" hidden="1" x14ac:dyDescent="0.2"/>
    <row r="5534" ht="12.75" hidden="1" x14ac:dyDescent="0.2"/>
    <row r="5535" ht="12.75" hidden="1" x14ac:dyDescent="0.2"/>
    <row r="5536" ht="12.75" hidden="1" x14ac:dyDescent="0.2"/>
    <row r="5537" ht="12.75" hidden="1" x14ac:dyDescent="0.2"/>
    <row r="5538" ht="12.75" hidden="1" x14ac:dyDescent="0.2"/>
    <row r="5539" ht="12.75" hidden="1" x14ac:dyDescent="0.2"/>
    <row r="5540" ht="12.75" hidden="1" x14ac:dyDescent="0.2"/>
    <row r="5541" ht="12.75" hidden="1" x14ac:dyDescent="0.2"/>
    <row r="5542" ht="12.75" hidden="1" x14ac:dyDescent="0.2"/>
    <row r="5543" ht="12.75" hidden="1" x14ac:dyDescent="0.2"/>
    <row r="5544" ht="12.75" hidden="1" x14ac:dyDescent="0.2"/>
    <row r="5545" ht="12.75" hidden="1" x14ac:dyDescent="0.2"/>
    <row r="5546" ht="12.75" hidden="1" x14ac:dyDescent="0.2"/>
    <row r="5547" ht="12.75" hidden="1" x14ac:dyDescent="0.2"/>
    <row r="5548" ht="12.75" hidden="1" x14ac:dyDescent="0.2"/>
    <row r="5549" ht="12.75" hidden="1" x14ac:dyDescent="0.2"/>
    <row r="5550" ht="12.75" hidden="1" x14ac:dyDescent="0.2"/>
    <row r="5551" ht="12.75" hidden="1" x14ac:dyDescent="0.2"/>
    <row r="5552" ht="12.75" hidden="1" x14ac:dyDescent="0.2"/>
    <row r="5553" ht="12.75" hidden="1" x14ac:dyDescent="0.2"/>
    <row r="5554" ht="12.75" hidden="1" x14ac:dyDescent="0.2"/>
    <row r="5555" ht="12.75" hidden="1" x14ac:dyDescent="0.2"/>
    <row r="5556" ht="12.75" hidden="1" x14ac:dyDescent="0.2"/>
    <row r="5557" ht="12.75" hidden="1" x14ac:dyDescent="0.2"/>
    <row r="5558" ht="12.75" hidden="1" x14ac:dyDescent="0.2"/>
    <row r="5559" ht="12.75" hidden="1" x14ac:dyDescent="0.2"/>
    <row r="5560" ht="12.75" hidden="1" x14ac:dyDescent="0.2"/>
    <row r="5561" ht="12.75" hidden="1" x14ac:dyDescent="0.2"/>
    <row r="5562" ht="12.75" hidden="1" x14ac:dyDescent="0.2"/>
    <row r="5563" ht="12.75" hidden="1" x14ac:dyDescent="0.2"/>
    <row r="5564" ht="12.75" hidden="1" x14ac:dyDescent="0.2"/>
    <row r="5565" ht="12.75" hidden="1" x14ac:dyDescent="0.2"/>
    <row r="5566" ht="12.75" hidden="1" x14ac:dyDescent="0.2"/>
    <row r="5567" ht="12.75" hidden="1" x14ac:dyDescent="0.2"/>
    <row r="5568" ht="12.75" hidden="1" x14ac:dyDescent="0.2"/>
    <row r="5569" ht="12.75" hidden="1" x14ac:dyDescent="0.2"/>
    <row r="5570" ht="12.75" hidden="1" x14ac:dyDescent="0.2"/>
    <row r="5571" ht="12.75" hidden="1" x14ac:dyDescent="0.2"/>
    <row r="5572" ht="12.75" hidden="1" x14ac:dyDescent="0.2"/>
    <row r="5573" ht="12.75" hidden="1" x14ac:dyDescent="0.2"/>
    <row r="5574" ht="12.75" hidden="1" x14ac:dyDescent="0.2"/>
    <row r="5575" ht="12.75" hidden="1" x14ac:dyDescent="0.2"/>
    <row r="5576" ht="12.75" hidden="1" x14ac:dyDescent="0.2"/>
    <row r="5577" ht="12.75" hidden="1" x14ac:dyDescent="0.2"/>
    <row r="5578" ht="12.75" hidden="1" x14ac:dyDescent="0.2"/>
    <row r="5579" ht="12.75" hidden="1" x14ac:dyDescent="0.2"/>
    <row r="5580" ht="12.75" hidden="1" x14ac:dyDescent="0.2"/>
    <row r="5581" ht="12.75" hidden="1" x14ac:dyDescent="0.2"/>
    <row r="5582" ht="12.75" hidden="1" x14ac:dyDescent="0.2"/>
    <row r="5583" ht="12.75" hidden="1" x14ac:dyDescent="0.2"/>
    <row r="5584" ht="12.75" hidden="1" x14ac:dyDescent="0.2"/>
    <row r="5585" ht="12.75" hidden="1" x14ac:dyDescent="0.2"/>
    <row r="5586" ht="12.75" hidden="1" x14ac:dyDescent="0.2"/>
    <row r="5587" ht="12.75" hidden="1" x14ac:dyDescent="0.2"/>
    <row r="5588" ht="12.75" hidden="1" x14ac:dyDescent="0.2"/>
    <row r="5589" ht="12.75" hidden="1" x14ac:dyDescent="0.2"/>
    <row r="5590" ht="12.75" hidden="1" x14ac:dyDescent="0.2"/>
    <row r="5591" ht="12.75" hidden="1" x14ac:dyDescent="0.2"/>
    <row r="5592" ht="12.75" hidden="1" x14ac:dyDescent="0.2"/>
    <row r="5593" ht="12.75" hidden="1" x14ac:dyDescent="0.2"/>
    <row r="5594" ht="12.75" hidden="1" x14ac:dyDescent="0.2"/>
    <row r="5595" ht="12.75" hidden="1" x14ac:dyDescent="0.2"/>
    <row r="5596" ht="12.75" hidden="1" x14ac:dyDescent="0.2"/>
    <row r="5597" ht="12.75" hidden="1" x14ac:dyDescent="0.2"/>
    <row r="5598" ht="12.75" hidden="1" x14ac:dyDescent="0.2"/>
    <row r="5599" ht="12.75" hidden="1" x14ac:dyDescent="0.2"/>
    <row r="5600" ht="12.75" hidden="1" x14ac:dyDescent="0.2"/>
    <row r="5601" ht="12.75" hidden="1" x14ac:dyDescent="0.2"/>
    <row r="5602" ht="12.75" hidden="1" x14ac:dyDescent="0.2"/>
    <row r="5603" ht="12.75" hidden="1" x14ac:dyDescent="0.2"/>
    <row r="5604" ht="12.75" hidden="1" x14ac:dyDescent="0.2"/>
    <row r="5605" ht="12.75" hidden="1" x14ac:dyDescent="0.2"/>
    <row r="5606" ht="12.75" hidden="1" x14ac:dyDescent="0.2"/>
    <row r="5607" ht="12.75" hidden="1" x14ac:dyDescent="0.2"/>
    <row r="5608" ht="12.75" hidden="1" x14ac:dyDescent="0.2"/>
    <row r="5609" ht="12.75" hidden="1" x14ac:dyDescent="0.2"/>
    <row r="5610" ht="12.75" hidden="1" x14ac:dyDescent="0.2"/>
    <row r="5611" ht="12.75" hidden="1" x14ac:dyDescent="0.2"/>
    <row r="5612" ht="12.75" hidden="1" x14ac:dyDescent="0.2"/>
    <row r="5613" ht="12.75" hidden="1" x14ac:dyDescent="0.2"/>
    <row r="5614" ht="12.75" hidden="1" x14ac:dyDescent="0.2"/>
    <row r="5615" ht="12.75" hidden="1" x14ac:dyDescent="0.2"/>
    <row r="5616" ht="12.75" hidden="1" x14ac:dyDescent="0.2"/>
    <row r="5617" ht="12.75" hidden="1" x14ac:dyDescent="0.2"/>
    <row r="5618" ht="12.75" hidden="1" x14ac:dyDescent="0.2"/>
    <row r="5619" ht="12.75" hidden="1" x14ac:dyDescent="0.2"/>
    <row r="5620" ht="12.75" hidden="1" x14ac:dyDescent="0.2"/>
    <row r="5621" ht="12.75" hidden="1" x14ac:dyDescent="0.2"/>
    <row r="5622" ht="12.75" hidden="1" x14ac:dyDescent="0.2"/>
    <row r="5623" ht="12.75" hidden="1" x14ac:dyDescent="0.2"/>
    <row r="5624" ht="12.75" hidden="1" x14ac:dyDescent="0.2"/>
    <row r="5625" ht="12.75" hidden="1" x14ac:dyDescent="0.2"/>
    <row r="5626" ht="12.75" hidden="1" x14ac:dyDescent="0.2"/>
    <row r="5627" ht="12.75" hidden="1" x14ac:dyDescent="0.2"/>
    <row r="5628" ht="12.75" hidden="1" x14ac:dyDescent="0.2"/>
    <row r="5629" ht="12.75" hidden="1" x14ac:dyDescent="0.2"/>
    <row r="5630" ht="12.75" hidden="1" x14ac:dyDescent="0.2"/>
    <row r="5631" ht="12.75" hidden="1" x14ac:dyDescent="0.2"/>
    <row r="5632" ht="12.75" hidden="1" x14ac:dyDescent="0.2"/>
    <row r="5633" ht="12.75" hidden="1" x14ac:dyDescent="0.2"/>
    <row r="5634" ht="12.75" hidden="1" x14ac:dyDescent="0.2"/>
    <row r="5635" ht="12.75" hidden="1" x14ac:dyDescent="0.2"/>
    <row r="5636" ht="12.75" hidden="1" x14ac:dyDescent="0.2"/>
    <row r="5637" ht="12.75" hidden="1" x14ac:dyDescent="0.2"/>
    <row r="5638" ht="12.75" hidden="1" x14ac:dyDescent="0.2"/>
    <row r="5639" ht="12.75" hidden="1" x14ac:dyDescent="0.2"/>
    <row r="5640" ht="12.75" hidden="1" x14ac:dyDescent="0.2"/>
    <row r="5641" ht="12.75" hidden="1" x14ac:dyDescent="0.2"/>
    <row r="5642" ht="12.75" hidden="1" x14ac:dyDescent="0.2"/>
    <row r="5643" ht="12.75" hidden="1" x14ac:dyDescent="0.2"/>
    <row r="5644" ht="12.75" hidden="1" x14ac:dyDescent="0.2"/>
    <row r="5645" ht="12.75" hidden="1" x14ac:dyDescent="0.2"/>
    <row r="5646" ht="12.75" hidden="1" x14ac:dyDescent="0.2"/>
    <row r="5647" ht="12.75" hidden="1" x14ac:dyDescent="0.2"/>
    <row r="5648" ht="12.75" hidden="1" x14ac:dyDescent="0.2"/>
    <row r="5649" ht="12.75" hidden="1" x14ac:dyDescent="0.2"/>
    <row r="5650" ht="12.75" hidden="1" x14ac:dyDescent="0.2"/>
    <row r="5651" ht="12.75" hidden="1" x14ac:dyDescent="0.2"/>
    <row r="5652" ht="12.75" hidden="1" x14ac:dyDescent="0.2"/>
    <row r="5653" ht="12.75" hidden="1" x14ac:dyDescent="0.2"/>
    <row r="5654" ht="12.75" hidden="1" x14ac:dyDescent="0.2"/>
    <row r="5655" ht="12.75" hidden="1" x14ac:dyDescent="0.2"/>
    <row r="5656" ht="12.75" hidden="1" x14ac:dyDescent="0.2"/>
    <row r="5657" ht="12.75" hidden="1" x14ac:dyDescent="0.2"/>
    <row r="5658" ht="12.75" hidden="1" x14ac:dyDescent="0.2"/>
    <row r="5659" ht="12.75" hidden="1" x14ac:dyDescent="0.2"/>
    <row r="5660" ht="12.75" hidden="1" x14ac:dyDescent="0.2"/>
    <row r="5661" ht="12.75" hidden="1" x14ac:dyDescent="0.2"/>
    <row r="5662" ht="12.75" hidden="1" x14ac:dyDescent="0.2"/>
    <row r="5663" ht="12.75" hidden="1" x14ac:dyDescent="0.2"/>
    <row r="5664" ht="12.75" hidden="1" x14ac:dyDescent="0.2"/>
    <row r="5665" ht="12.75" hidden="1" x14ac:dyDescent="0.2"/>
    <row r="5666" ht="12.75" hidden="1" x14ac:dyDescent="0.2"/>
    <row r="5667" ht="12.75" hidden="1" x14ac:dyDescent="0.2"/>
    <row r="5668" ht="12.75" hidden="1" x14ac:dyDescent="0.2"/>
    <row r="5669" ht="12.75" hidden="1" x14ac:dyDescent="0.2"/>
    <row r="5670" ht="12.75" hidden="1" x14ac:dyDescent="0.2"/>
    <row r="5671" ht="12.75" hidden="1" x14ac:dyDescent="0.2"/>
    <row r="5672" ht="12.75" hidden="1" x14ac:dyDescent="0.2"/>
    <row r="5673" ht="12.75" hidden="1" x14ac:dyDescent="0.2"/>
    <row r="5674" ht="12.75" hidden="1" x14ac:dyDescent="0.2"/>
    <row r="5675" ht="12.75" hidden="1" x14ac:dyDescent="0.2"/>
    <row r="5676" ht="12.75" hidden="1" x14ac:dyDescent="0.2"/>
    <row r="5677" ht="12.75" hidden="1" x14ac:dyDescent="0.2"/>
    <row r="5678" ht="12.75" hidden="1" x14ac:dyDescent="0.2"/>
    <row r="5679" ht="12.75" hidden="1" x14ac:dyDescent="0.2"/>
    <row r="5680" ht="12.75" hidden="1" x14ac:dyDescent="0.2"/>
    <row r="5681" ht="12.75" hidden="1" x14ac:dyDescent="0.2"/>
    <row r="5682" ht="12.75" hidden="1" x14ac:dyDescent="0.2"/>
    <row r="5683" ht="12.75" hidden="1" x14ac:dyDescent="0.2"/>
    <row r="5684" ht="12.75" hidden="1" x14ac:dyDescent="0.2"/>
    <row r="5685" ht="12.75" hidden="1" x14ac:dyDescent="0.2"/>
    <row r="5686" ht="12.75" hidden="1" x14ac:dyDescent="0.2"/>
    <row r="5687" ht="12.75" hidden="1" x14ac:dyDescent="0.2"/>
    <row r="5688" ht="12.75" hidden="1" x14ac:dyDescent="0.2"/>
    <row r="5689" ht="12.75" hidden="1" x14ac:dyDescent="0.2"/>
    <row r="5690" ht="12.75" hidden="1" x14ac:dyDescent="0.2"/>
    <row r="5691" ht="12.75" hidden="1" x14ac:dyDescent="0.2"/>
    <row r="5692" ht="12.75" hidden="1" x14ac:dyDescent="0.2"/>
    <row r="5693" ht="12.75" hidden="1" x14ac:dyDescent="0.2"/>
    <row r="5694" ht="12.75" hidden="1" x14ac:dyDescent="0.2"/>
    <row r="5695" ht="12.75" hidden="1" x14ac:dyDescent="0.2"/>
    <row r="5696" ht="12.75" hidden="1" x14ac:dyDescent="0.2"/>
    <row r="5697" ht="12.75" hidden="1" x14ac:dyDescent="0.2"/>
    <row r="5698" ht="12.75" hidden="1" x14ac:dyDescent="0.2"/>
    <row r="5699" ht="12.75" hidden="1" x14ac:dyDescent="0.2"/>
    <row r="5700" ht="12.75" hidden="1" x14ac:dyDescent="0.2"/>
    <row r="5701" ht="12.75" hidden="1" x14ac:dyDescent="0.2"/>
    <row r="5702" ht="12.75" hidden="1" x14ac:dyDescent="0.2"/>
    <row r="5703" ht="12.75" hidden="1" x14ac:dyDescent="0.2"/>
    <row r="5704" ht="12.75" hidden="1" x14ac:dyDescent="0.2"/>
    <row r="5705" ht="12.75" hidden="1" x14ac:dyDescent="0.2"/>
    <row r="5706" ht="12.75" hidden="1" x14ac:dyDescent="0.2"/>
    <row r="5707" ht="12.75" hidden="1" x14ac:dyDescent="0.2"/>
    <row r="5708" ht="12.75" hidden="1" x14ac:dyDescent="0.2"/>
    <row r="5709" ht="12.75" hidden="1" x14ac:dyDescent="0.2"/>
    <row r="5710" ht="12.75" hidden="1" x14ac:dyDescent="0.2"/>
    <row r="5711" ht="12.75" hidden="1" x14ac:dyDescent="0.2"/>
    <row r="5712" ht="12.75" hidden="1" x14ac:dyDescent="0.2"/>
    <row r="5713" ht="12.75" hidden="1" x14ac:dyDescent="0.2"/>
    <row r="5714" ht="12.75" hidden="1" x14ac:dyDescent="0.2"/>
    <row r="5715" ht="12.75" hidden="1" x14ac:dyDescent="0.2"/>
    <row r="5716" ht="12.75" hidden="1" x14ac:dyDescent="0.2"/>
    <row r="5717" ht="12.75" hidden="1" x14ac:dyDescent="0.2"/>
    <row r="5718" ht="12.75" hidden="1" x14ac:dyDescent="0.2"/>
    <row r="5719" ht="12.75" hidden="1" x14ac:dyDescent="0.2"/>
    <row r="5720" ht="12.75" hidden="1" x14ac:dyDescent="0.2"/>
    <row r="5721" ht="12.75" hidden="1" x14ac:dyDescent="0.2"/>
    <row r="5722" ht="12.75" hidden="1" x14ac:dyDescent="0.2"/>
    <row r="5723" ht="12.75" hidden="1" x14ac:dyDescent="0.2"/>
    <row r="5724" ht="12.75" hidden="1" x14ac:dyDescent="0.2"/>
    <row r="5725" ht="12.75" hidden="1" x14ac:dyDescent="0.2"/>
    <row r="5726" ht="12.75" hidden="1" x14ac:dyDescent="0.2"/>
    <row r="5727" ht="12.75" hidden="1" x14ac:dyDescent="0.2"/>
    <row r="5728" ht="12.75" hidden="1" x14ac:dyDescent="0.2"/>
    <row r="5729" ht="12.75" hidden="1" x14ac:dyDescent="0.2"/>
    <row r="5730" ht="12.75" hidden="1" x14ac:dyDescent="0.2"/>
    <row r="5731" ht="12.75" hidden="1" x14ac:dyDescent="0.2"/>
    <row r="5732" ht="12.75" hidden="1" x14ac:dyDescent="0.2"/>
    <row r="5733" ht="12.75" hidden="1" x14ac:dyDescent="0.2"/>
    <row r="5734" ht="12.75" hidden="1" x14ac:dyDescent="0.2"/>
    <row r="5735" ht="12.75" hidden="1" x14ac:dyDescent="0.2"/>
    <row r="5736" ht="12.75" hidden="1" x14ac:dyDescent="0.2"/>
    <row r="5737" ht="12.75" hidden="1" x14ac:dyDescent="0.2"/>
    <row r="5738" ht="12.75" hidden="1" x14ac:dyDescent="0.2"/>
    <row r="5739" ht="12.75" hidden="1" x14ac:dyDescent="0.2"/>
    <row r="5740" ht="12.75" hidden="1" x14ac:dyDescent="0.2"/>
    <row r="5741" ht="12.75" hidden="1" x14ac:dyDescent="0.2"/>
    <row r="5742" ht="12.75" hidden="1" x14ac:dyDescent="0.2"/>
    <row r="5743" ht="12.75" hidden="1" x14ac:dyDescent="0.2"/>
    <row r="5744" ht="12.75" hidden="1" x14ac:dyDescent="0.2"/>
    <row r="5745" ht="12.75" hidden="1" x14ac:dyDescent="0.2"/>
    <row r="5746" ht="12.75" hidden="1" x14ac:dyDescent="0.2"/>
    <row r="5747" ht="12.75" hidden="1" x14ac:dyDescent="0.2"/>
    <row r="5748" ht="12.75" hidden="1" x14ac:dyDescent="0.2"/>
    <row r="5749" ht="12.75" hidden="1" x14ac:dyDescent="0.2"/>
    <row r="5750" ht="12.75" hidden="1" x14ac:dyDescent="0.2"/>
    <row r="5751" ht="12.75" hidden="1" x14ac:dyDescent="0.2"/>
    <row r="5752" ht="12.75" hidden="1" x14ac:dyDescent="0.2"/>
    <row r="5753" ht="12.75" hidden="1" x14ac:dyDescent="0.2"/>
    <row r="5754" ht="12.75" hidden="1" x14ac:dyDescent="0.2"/>
    <row r="5755" ht="12.75" hidden="1" x14ac:dyDescent="0.2"/>
    <row r="5756" ht="12.75" hidden="1" x14ac:dyDescent="0.2"/>
    <row r="5757" ht="12.75" hidden="1" x14ac:dyDescent="0.2"/>
    <row r="5758" ht="12.75" hidden="1" x14ac:dyDescent="0.2"/>
    <row r="5759" ht="12.75" hidden="1" x14ac:dyDescent="0.2"/>
    <row r="5760" ht="12.75" hidden="1" x14ac:dyDescent="0.2"/>
    <row r="5761" ht="12.75" hidden="1" x14ac:dyDescent="0.2"/>
    <row r="5762" ht="12.75" hidden="1" x14ac:dyDescent="0.2"/>
    <row r="5763" ht="12.75" hidden="1" x14ac:dyDescent="0.2"/>
    <row r="5764" ht="12.75" hidden="1" x14ac:dyDescent="0.2"/>
    <row r="5765" ht="12.75" hidden="1" x14ac:dyDescent="0.2"/>
    <row r="5766" ht="12.75" hidden="1" x14ac:dyDescent="0.2"/>
    <row r="5767" ht="12.75" hidden="1" x14ac:dyDescent="0.2"/>
    <row r="5768" ht="12.75" hidden="1" x14ac:dyDescent="0.2"/>
    <row r="5769" ht="12.75" hidden="1" x14ac:dyDescent="0.2"/>
    <row r="5770" ht="12.75" hidden="1" x14ac:dyDescent="0.2"/>
    <row r="5771" ht="12.75" hidden="1" x14ac:dyDescent="0.2"/>
    <row r="5772" ht="12.75" hidden="1" x14ac:dyDescent="0.2"/>
    <row r="5773" ht="12.75" hidden="1" x14ac:dyDescent="0.2"/>
    <row r="5774" ht="12.75" hidden="1" x14ac:dyDescent="0.2"/>
    <row r="5775" ht="12.75" hidden="1" x14ac:dyDescent="0.2"/>
    <row r="5776" ht="12.75" hidden="1" x14ac:dyDescent="0.2"/>
    <row r="5777" ht="12.75" hidden="1" x14ac:dyDescent="0.2"/>
    <row r="5778" ht="12.75" hidden="1" x14ac:dyDescent="0.2"/>
    <row r="5779" ht="12.75" hidden="1" x14ac:dyDescent="0.2"/>
    <row r="5780" ht="12.75" hidden="1" x14ac:dyDescent="0.2"/>
    <row r="5781" ht="12.75" hidden="1" x14ac:dyDescent="0.2"/>
    <row r="5782" ht="12.75" hidden="1" x14ac:dyDescent="0.2"/>
    <row r="5783" ht="12.75" hidden="1" x14ac:dyDescent="0.2"/>
    <row r="5784" ht="12.75" hidden="1" x14ac:dyDescent="0.2"/>
    <row r="5785" ht="12.75" hidden="1" x14ac:dyDescent="0.2"/>
    <row r="5786" ht="12.75" hidden="1" x14ac:dyDescent="0.2"/>
    <row r="5787" ht="12.75" hidden="1" x14ac:dyDescent="0.2"/>
    <row r="5788" ht="12.75" hidden="1" x14ac:dyDescent="0.2"/>
    <row r="5789" ht="12.75" hidden="1" x14ac:dyDescent="0.2"/>
    <row r="5790" ht="12.75" hidden="1" x14ac:dyDescent="0.2"/>
    <row r="5791" ht="12.75" hidden="1" x14ac:dyDescent="0.2"/>
    <row r="5792" ht="12.75" hidden="1" x14ac:dyDescent="0.2"/>
    <row r="5793" ht="12.75" hidden="1" x14ac:dyDescent="0.2"/>
    <row r="5794" ht="12.75" hidden="1" x14ac:dyDescent="0.2"/>
    <row r="5795" ht="12.75" hidden="1" x14ac:dyDescent="0.2"/>
    <row r="5796" ht="12.75" hidden="1" x14ac:dyDescent="0.2"/>
    <row r="5797" ht="12.75" hidden="1" x14ac:dyDescent="0.2"/>
    <row r="5798" ht="12.75" hidden="1" x14ac:dyDescent="0.2"/>
    <row r="5799" ht="12.75" hidden="1" x14ac:dyDescent="0.2"/>
    <row r="5800" ht="12.75" hidden="1" x14ac:dyDescent="0.2"/>
    <row r="5801" ht="12.75" hidden="1" x14ac:dyDescent="0.2"/>
    <row r="5802" ht="12.75" hidden="1" x14ac:dyDescent="0.2"/>
    <row r="5803" ht="12.75" hidden="1" x14ac:dyDescent="0.2"/>
    <row r="5804" ht="12.75" hidden="1" x14ac:dyDescent="0.2"/>
    <row r="5805" ht="12.75" hidden="1" x14ac:dyDescent="0.2"/>
    <row r="5806" ht="12.75" hidden="1" x14ac:dyDescent="0.2"/>
    <row r="5807" ht="12.75" hidden="1" x14ac:dyDescent="0.2"/>
    <row r="5808" ht="12.75" hidden="1" x14ac:dyDescent="0.2"/>
    <row r="5809" ht="12.75" hidden="1" x14ac:dyDescent="0.2"/>
    <row r="5810" ht="12.75" hidden="1" x14ac:dyDescent="0.2"/>
    <row r="5811" ht="12.75" hidden="1" x14ac:dyDescent="0.2"/>
    <row r="5812" ht="12.75" hidden="1" x14ac:dyDescent="0.2"/>
    <row r="5813" ht="12.75" hidden="1" x14ac:dyDescent="0.2"/>
    <row r="5814" ht="12.75" hidden="1" x14ac:dyDescent="0.2"/>
    <row r="5815" ht="12.75" hidden="1" x14ac:dyDescent="0.2"/>
    <row r="5816" ht="12.75" hidden="1" x14ac:dyDescent="0.2"/>
    <row r="5817" ht="12.75" hidden="1" x14ac:dyDescent="0.2"/>
    <row r="5818" ht="12.75" hidden="1" x14ac:dyDescent="0.2"/>
    <row r="5819" ht="12.75" hidden="1" x14ac:dyDescent="0.2"/>
    <row r="5820" ht="12.75" hidden="1" x14ac:dyDescent="0.2"/>
    <row r="5821" ht="12.75" hidden="1" x14ac:dyDescent="0.2"/>
    <row r="5822" ht="12.75" hidden="1" x14ac:dyDescent="0.2"/>
    <row r="5823" ht="12.75" hidden="1" x14ac:dyDescent="0.2"/>
    <row r="5824" ht="12.75" hidden="1" x14ac:dyDescent="0.2"/>
    <row r="5825" ht="12.75" hidden="1" x14ac:dyDescent="0.2"/>
    <row r="5826" ht="12.75" hidden="1" x14ac:dyDescent="0.2"/>
    <row r="5827" ht="12.75" hidden="1" x14ac:dyDescent="0.2"/>
    <row r="5828" ht="12.75" hidden="1" x14ac:dyDescent="0.2"/>
    <row r="5829" ht="12.75" hidden="1" x14ac:dyDescent="0.2"/>
    <row r="5830" ht="12.75" hidden="1" x14ac:dyDescent="0.2"/>
    <row r="5831" ht="12.75" hidden="1" x14ac:dyDescent="0.2"/>
    <row r="5832" ht="12.75" hidden="1" x14ac:dyDescent="0.2"/>
    <row r="5833" ht="12.75" hidden="1" x14ac:dyDescent="0.2"/>
    <row r="5834" ht="12.75" hidden="1" x14ac:dyDescent="0.2"/>
    <row r="5835" ht="12.75" hidden="1" x14ac:dyDescent="0.2"/>
    <row r="5836" ht="12.75" hidden="1" x14ac:dyDescent="0.2"/>
    <row r="5837" ht="12.75" hidden="1" x14ac:dyDescent="0.2"/>
    <row r="5838" ht="12.75" hidden="1" x14ac:dyDescent="0.2"/>
    <row r="5839" ht="12.75" hidden="1" x14ac:dyDescent="0.2"/>
    <row r="5840" ht="12.75" hidden="1" x14ac:dyDescent="0.2"/>
    <row r="5841" ht="12.75" hidden="1" x14ac:dyDescent="0.2"/>
    <row r="5842" ht="12.75" hidden="1" x14ac:dyDescent="0.2"/>
    <row r="5843" ht="12.75" hidden="1" x14ac:dyDescent="0.2"/>
    <row r="5844" ht="12.75" hidden="1" x14ac:dyDescent="0.2"/>
    <row r="5845" ht="12.75" hidden="1" x14ac:dyDescent="0.2"/>
    <row r="5846" ht="12.75" hidden="1" x14ac:dyDescent="0.2"/>
    <row r="5847" ht="12.75" hidden="1" x14ac:dyDescent="0.2"/>
    <row r="5848" ht="12.75" hidden="1" x14ac:dyDescent="0.2"/>
    <row r="5849" ht="12.75" hidden="1" x14ac:dyDescent="0.2"/>
    <row r="5850" ht="12.75" hidden="1" x14ac:dyDescent="0.2"/>
    <row r="5851" ht="12.75" hidden="1" x14ac:dyDescent="0.2"/>
    <row r="5852" ht="12.75" hidden="1" x14ac:dyDescent="0.2"/>
    <row r="5853" ht="12.75" hidden="1" x14ac:dyDescent="0.2"/>
    <row r="5854" ht="12.75" hidden="1" x14ac:dyDescent="0.2"/>
    <row r="5855" ht="12.75" hidden="1" x14ac:dyDescent="0.2"/>
    <row r="5856" ht="12.75" hidden="1" x14ac:dyDescent="0.2"/>
    <row r="5857" ht="12.75" hidden="1" x14ac:dyDescent="0.2"/>
    <row r="5858" ht="12.75" hidden="1" x14ac:dyDescent="0.2"/>
    <row r="5859" ht="12.75" hidden="1" x14ac:dyDescent="0.2"/>
    <row r="5860" ht="12.75" hidden="1" x14ac:dyDescent="0.2"/>
    <row r="5861" ht="12.75" hidden="1" x14ac:dyDescent="0.2"/>
    <row r="5862" ht="12.75" hidden="1" x14ac:dyDescent="0.2"/>
    <row r="5863" ht="12.75" hidden="1" x14ac:dyDescent="0.2"/>
    <row r="5864" ht="12.75" hidden="1" x14ac:dyDescent="0.2"/>
    <row r="5865" ht="12.75" hidden="1" x14ac:dyDescent="0.2"/>
    <row r="5866" ht="12.75" hidden="1" x14ac:dyDescent="0.2"/>
    <row r="5867" ht="12.75" hidden="1" x14ac:dyDescent="0.2"/>
    <row r="5868" ht="12.75" hidden="1" x14ac:dyDescent="0.2"/>
    <row r="5869" ht="12.75" hidden="1" x14ac:dyDescent="0.2"/>
    <row r="5870" ht="12.75" hidden="1" x14ac:dyDescent="0.2"/>
    <row r="5871" ht="12.75" hidden="1" x14ac:dyDescent="0.2"/>
    <row r="5872" ht="12.75" hidden="1" x14ac:dyDescent="0.2"/>
    <row r="5873" ht="12.75" hidden="1" x14ac:dyDescent="0.2"/>
    <row r="5874" ht="12.75" hidden="1" x14ac:dyDescent="0.2"/>
    <row r="5875" ht="12.75" hidden="1" x14ac:dyDescent="0.2"/>
    <row r="5876" ht="12.75" hidden="1" x14ac:dyDescent="0.2"/>
    <row r="5877" ht="12.75" hidden="1" x14ac:dyDescent="0.2"/>
    <row r="5878" ht="12.75" hidden="1" x14ac:dyDescent="0.2"/>
    <row r="5879" ht="12.75" hidden="1" x14ac:dyDescent="0.2"/>
    <row r="5880" ht="12.75" hidden="1" x14ac:dyDescent="0.2"/>
    <row r="5881" ht="12.75" hidden="1" x14ac:dyDescent="0.2"/>
    <row r="5882" ht="12.75" hidden="1" x14ac:dyDescent="0.2"/>
    <row r="5883" ht="12.75" hidden="1" x14ac:dyDescent="0.2"/>
    <row r="5884" ht="12.75" hidden="1" x14ac:dyDescent="0.2"/>
    <row r="5885" ht="12.75" hidden="1" x14ac:dyDescent="0.2"/>
    <row r="5886" ht="12.75" hidden="1" x14ac:dyDescent="0.2"/>
    <row r="5887" ht="12.75" hidden="1" x14ac:dyDescent="0.2"/>
    <row r="5888" ht="12.75" hidden="1" x14ac:dyDescent="0.2"/>
    <row r="5889" ht="12.75" hidden="1" x14ac:dyDescent="0.2"/>
    <row r="5890" ht="12.75" hidden="1" x14ac:dyDescent="0.2"/>
    <row r="5891" ht="12.75" hidden="1" x14ac:dyDescent="0.2"/>
    <row r="5892" ht="12.75" hidden="1" x14ac:dyDescent="0.2"/>
    <row r="5893" ht="12.75" hidden="1" x14ac:dyDescent="0.2"/>
    <row r="5894" ht="12.75" hidden="1" x14ac:dyDescent="0.2"/>
    <row r="5895" ht="12.75" hidden="1" x14ac:dyDescent="0.2"/>
    <row r="5896" ht="12.75" hidden="1" x14ac:dyDescent="0.2"/>
    <row r="5897" ht="12.75" hidden="1" x14ac:dyDescent="0.2"/>
    <row r="5898" ht="12.75" hidden="1" x14ac:dyDescent="0.2"/>
    <row r="5899" ht="12.75" hidden="1" x14ac:dyDescent="0.2"/>
    <row r="5900" ht="12.75" hidden="1" x14ac:dyDescent="0.2"/>
    <row r="5901" ht="12.75" hidden="1" x14ac:dyDescent="0.2"/>
    <row r="5902" ht="12.75" hidden="1" x14ac:dyDescent="0.2"/>
    <row r="5903" ht="12.75" hidden="1" x14ac:dyDescent="0.2"/>
    <row r="5904" ht="12.75" hidden="1" x14ac:dyDescent="0.2"/>
    <row r="5905" ht="12.75" hidden="1" x14ac:dyDescent="0.2"/>
    <row r="5906" ht="12.75" hidden="1" x14ac:dyDescent="0.2"/>
    <row r="5907" ht="12.75" hidden="1" x14ac:dyDescent="0.2"/>
    <row r="5908" ht="12.75" hidden="1" x14ac:dyDescent="0.2"/>
    <row r="5909" ht="12.75" hidden="1" x14ac:dyDescent="0.2"/>
    <row r="5910" ht="12.75" hidden="1" x14ac:dyDescent="0.2"/>
    <row r="5911" ht="12.75" hidden="1" x14ac:dyDescent="0.2"/>
    <row r="5912" ht="12.75" hidden="1" x14ac:dyDescent="0.2"/>
    <row r="5913" ht="12.75" hidden="1" x14ac:dyDescent="0.2"/>
    <row r="5914" ht="12.75" hidden="1" x14ac:dyDescent="0.2"/>
    <row r="5915" ht="12.75" hidden="1" x14ac:dyDescent="0.2"/>
    <row r="5916" ht="12.75" hidden="1" x14ac:dyDescent="0.2"/>
    <row r="5917" ht="12.75" hidden="1" x14ac:dyDescent="0.2"/>
    <row r="5918" ht="12.75" hidden="1" x14ac:dyDescent="0.2"/>
    <row r="5919" ht="12.75" hidden="1" x14ac:dyDescent="0.2"/>
    <row r="5920" ht="12.75" hidden="1" x14ac:dyDescent="0.2"/>
    <row r="5921" ht="12.75" hidden="1" x14ac:dyDescent="0.2"/>
    <row r="5922" ht="12.75" hidden="1" x14ac:dyDescent="0.2"/>
    <row r="5923" ht="12.75" hidden="1" x14ac:dyDescent="0.2"/>
    <row r="5924" ht="12.75" hidden="1" x14ac:dyDescent="0.2"/>
    <row r="5925" ht="12.75" hidden="1" x14ac:dyDescent="0.2"/>
    <row r="5926" ht="12.75" hidden="1" x14ac:dyDescent="0.2"/>
    <row r="5927" ht="12.75" hidden="1" x14ac:dyDescent="0.2"/>
    <row r="5928" ht="12.75" hidden="1" x14ac:dyDescent="0.2"/>
    <row r="5929" ht="12.75" hidden="1" x14ac:dyDescent="0.2"/>
    <row r="5930" ht="12.75" hidden="1" x14ac:dyDescent="0.2"/>
    <row r="5931" ht="12.75" hidden="1" x14ac:dyDescent="0.2"/>
    <row r="5932" ht="12.75" hidden="1" x14ac:dyDescent="0.2"/>
    <row r="5933" ht="12.75" hidden="1" x14ac:dyDescent="0.2"/>
    <row r="5934" ht="12.75" hidden="1" x14ac:dyDescent="0.2"/>
    <row r="5935" ht="12.75" hidden="1" x14ac:dyDescent="0.2"/>
    <row r="5936" ht="12.75" hidden="1" x14ac:dyDescent="0.2"/>
    <row r="5937" ht="12.75" hidden="1" x14ac:dyDescent="0.2"/>
    <row r="5938" ht="12.75" hidden="1" x14ac:dyDescent="0.2"/>
    <row r="5939" ht="12.75" hidden="1" x14ac:dyDescent="0.2"/>
    <row r="5940" ht="12.75" hidden="1" x14ac:dyDescent="0.2"/>
    <row r="5941" ht="12.75" hidden="1" x14ac:dyDescent="0.2"/>
    <row r="5942" ht="12.75" hidden="1" x14ac:dyDescent="0.2"/>
    <row r="5943" ht="12.75" hidden="1" x14ac:dyDescent="0.2"/>
    <row r="5944" ht="12.75" hidden="1" x14ac:dyDescent="0.2"/>
    <row r="5945" ht="12.75" hidden="1" x14ac:dyDescent="0.2"/>
    <row r="5946" ht="12.75" hidden="1" x14ac:dyDescent="0.2"/>
    <row r="5947" ht="12.75" hidden="1" x14ac:dyDescent="0.2"/>
    <row r="5948" ht="12.75" hidden="1" x14ac:dyDescent="0.2"/>
    <row r="5949" ht="12.75" hidden="1" x14ac:dyDescent="0.2"/>
    <row r="5950" ht="12.75" hidden="1" x14ac:dyDescent="0.2"/>
    <row r="5951" ht="12.75" hidden="1" x14ac:dyDescent="0.2"/>
    <row r="5952" ht="12.75" hidden="1" x14ac:dyDescent="0.2"/>
    <row r="5953" ht="12.75" hidden="1" x14ac:dyDescent="0.2"/>
    <row r="5954" ht="12.75" hidden="1" x14ac:dyDescent="0.2"/>
    <row r="5955" ht="12.75" hidden="1" x14ac:dyDescent="0.2"/>
    <row r="5956" ht="12.75" hidden="1" x14ac:dyDescent="0.2"/>
    <row r="5957" ht="12.75" hidden="1" x14ac:dyDescent="0.2"/>
    <row r="5958" ht="12.75" hidden="1" x14ac:dyDescent="0.2"/>
    <row r="5959" ht="12.75" hidden="1" x14ac:dyDescent="0.2"/>
    <row r="5960" ht="12.75" hidden="1" x14ac:dyDescent="0.2"/>
    <row r="5961" ht="12.75" hidden="1" x14ac:dyDescent="0.2"/>
    <row r="5962" ht="12.75" hidden="1" x14ac:dyDescent="0.2"/>
    <row r="5963" ht="12.75" hidden="1" x14ac:dyDescent="0.2"/>
    <row r="5964" ht="12.75" hidden="1" x14ac:dyDescent="0.2"/>
    <row r="5965" ht="12.75" hidden="1" x14ac:dyDescent="0.2"/>
    <row r="5966" ht="12.75" hidden="1" x14ac:dyDescent="0.2"/>
    <row r="5967" ht="12.75" hidden="1" x14ac:dyDescent="0.2"/>
    <row r="5968" ht="12.75" hidden="1" x14ac:dyDescent="0.2"/>
    <row r="5969" ht="12.75" hidden="1" x14ac:dyDescent="0.2"/>
    <row r="5970" ht="12.75" hidden="1" x14ac:dyDescent="0.2"/>
    <row r="5971" ht="12.75" hidden="1" x14ac:dyDescent="0.2"/>
    <row r="5972" ht="12.75" hidden="1" x14ac:dyDescent="0.2"/>
    <row r="5973" ht="12.75" hidden="1" x14ac:dyDescent="0.2"/>
    <row r="5974" ht="12.75" hidden="1" x14ac:dyDescent="0.2"/>
    <row r="5975" ht="12.75" hidden="1" x14ac:dyDescent="0.2"/>
    <row r="5976" ht="12.75" hidden="1" x14ac:dyDescent="0.2"/>
    <row r="5977" ht="12.75" hidden="1" x14ac:dyDescent="0.2"/>
    <row r="5978" ht="12.75" hidden="1" x14ac:dyDescent="0.2"/>
    <row r="5979" ht="12.75" hidden="1" x14ac:dyDescent="0.2"/>
    <row r="5980" ht="12.75" hidden="1" x14ac:dyDescent="0.2"/>
    <row r="5981" ht="12.75" hidden="1" x14ac:dyDescent="0.2"/>
    <row r="5982" ht="12.75" hidden="1" x14ac:dyDescent="0.2"/>
    <row r="5983" ht="12.75" hidden="1" x14ac:dyDescent="0.2"/>
    <row r="5984" ht="12.75" hidden="1" x14ac:dyDescent="0.2"/>
    <row r="5985" ht="12.75" hidden="1" x14ac:dyDescent="0.2"/>
    <row r="5986" ht="12.75" hidden="1" x14ac:dyDescent="0.2"/>
    <row r="5987" ht="12.75" hidden="1" x14ac:dyDescent="0.2"/>
    <row r="5988" ht="12.75" hidden="1" x14ac:dyDescent="0.2"/>
    <row r="5989" ht="12.75" hidden="1" x14ac:dyDescent="0.2"/>
    <row r="5990" ht="12.75" hidden="1" x14ac:dyDescent="0.2"/>
    <row r="5991" ht="12.75" hidden="1" x14ac:dyDescent="0.2"/>
    <row r="5992" ht="12.75" hidden="1" x14ac:dyDescent="0.2"/>
    <row r="5993" ht="12.75" hidden="1" x14ac:dyDescent="0.2"/>
    <row r="5994" ht="12.75" hidden="1" x14ac:dyDescent="0.2"/>
    <row r="5995" ht="12.75" hidden="1" x14ac:dyDescent="0.2"/>
    <row r="5996" ht="12.75" hidden="1" x14ac:dyDescent="0.2"/>
    <row r="5997" ht="12.75" hidden="1" x14ac:dyDescent="0.2"/>
    <row r="5998" ht="12.75" hidden="1" x14ac:dyDescent="0.2"/>
    <row r="5999" ht="12.75" hidden="1" x14ac:dyDescent="0.2"/>
    <row r="6000" ht="12.75" hidden="1" x14ac:dyDescent="0.2"/>
    <row r="6001" ht="12.75" hidden="1" x14ac:dyDescent="0.2"/>
    <row r="6002" ht="12.75" hidden="1" x14ac:dyDescent="0.2"/>
    <row r="6003" ht="12.75" hidden="1" x14ac:dyDescent="0.2"/>
    <row r="6004" ht="12.75" hidden="1" x14ac:dyDescent="0.2"/>
    <row r="6005" ht="12.75" hidden="1" x14ac:dyDescent="0.2"/>
    <row r="6006" ht="12.75" hidden="1" x14ac:dyDescent="0.2"/>
    <row r="6007" ht="12.75" hidden="1" x14ac:dyDescent="0.2"/>
    <row r="6008" ht="12.75" hidden="1" x14ac:dyDescent="0.2"/>
    <row r="6009" ht="12.75" hidden="1" x14ac:dyDescent="0.2"/>
    <row r="6010" ht="12.75" hidden="1" x14ac:dyDescent="0.2"/>
    <row r="6011" ht="12.75" hidden="1" x14ac:dyDescent="0.2"/>
    <row r="6012" ht="12.75" hidden="1" x14ac:dyDescent="0.2"/>
    <row r="6013" ht="12.75" hidden="1" x14ac:dyDescent="0.2"/>
    <row r="6014" ht="12.75" hidden="1" x14ac:dyDescent="0.2"/>
    <row r="6015" ht="12.75" hidden="1" x14ac:dyDescent="0.2"/>
    <row r="6016" ht="12.75" hidden="1" x14ac:dyDescent="0.2"/>
    <row r="6017" ht="12.75" hidden="1" x14ac:dyDescent="0.2"/>
    <row r="6018" ht="12.75" hidden="1" x14ac:dyDescent="0.2"/>
    <row r="6019" ht="12.75" hidden="1" x14ac:dyDescent="0.2"/>
    <row r="6020" ht="12.75" hidden="1" x14ac:dyDescent="0.2"/>
    <row r="6021" ht="12.75" hidden="1" x14ac:dyDescent="0.2"/>
    <row r="6022" ht="12.75" hidden="1" x14ac:dyDescent="0.2"/>
    <row r="6023" ht="12.75" hidden="1" x14ac:dyDescent="0.2"/>
    <row r="6024" ht="12.75" hidden="1" x14ac:dyDescent="0.2"/>
    <row r="6025" ht="12.75" hidden="1" x14ac:dyDescent="0.2"/>
    <row r="6026" ht="12.75" hidden="1" x14ac:dyDescent="0.2"/>
    <row r="6027" ht="12.75" hidden="1" x14ac:dyDescent="0.2"/>
    <row r="6028" ht="12.75" hidden="1" x14ac:dyDescent="0.2"/>
    <row r="6029" ht="12.75" hidden="1" x14ac:dyDescent="0.2"/>
    <row r="6030" ht="12.75" hidden="1" x14ac:dyDescent="0.2"/>
    <row r="6031" ht="12.75" hidden="1" x14ac:dyDescent="0.2"/>
    <row r="6032" ht="12.75" hidden="1" x14ac:dyDescent="0.2"/>
    <row r="6033" ht="12.75" hidden="1" x14ac:dyDescent="0.2"/>
    <row r="6034" ht="12.75" hidden="1" x14ac:dyDescent="0.2"/>
    <row r="6035" ht="12.75" hidden="1" x14ac:dyDescent="0.2"/>
    <row r="6036" ht="12.75" hidden="1" x14ac:dyDescent="0.2"/>
    <row r="6037" ht="12.75" hidden="1" x14ac:dyDescent="0.2"/>
    <row r="6038" ht="12.75" hidden="1" x14ac:dyDescent="0.2"/>
    <row r="6039" ht="12.75" hidden="1" x14ac:dyDescent="0.2"/>
    <row r="6040" ht="12.75" hidden="1" x14ac:dyDescent="0.2"/>
    <row r="6041" ht="12.75" hidden="1" x14ac:dyDescent="0.2"/>
    <row r="6042" ht="12.75" hidden="1" x14ac:dyDescent="0.2"/>
    <row r="6043" ht="12.75" hidden="1" x14ac:dyDescent="0.2"/>
    <row r="6044" ht="12.75" hidden="1" x14ac:dyDescent="0.2"/>
    <row r="6045" ht="12.75" hidden="1" x14ac:dyDescent="0.2"/>
    <row r="6046" ht="12.75" hidden="1" x14ac:dyDescent="0.2"/>
    <row r="6047" ht="12.75" hidden="1" x14ac:dyDescent="0.2"/>
    <row r="6048" ht="12.75" hidden="1" x14ac:dyDescent="0.2"/>
    <row r="6049" ht="12.75" hidden="1" x14ac:dyDescent="0.2"/>
    <row r="6050" ht="12.75" hidden="1" x14ac:dyDescent="0.2"/>
    <row r="6051" ht="12.75" hidden="1" x14ac:dyDescent="0.2"/>
    <row r="6052" ht="12.75" hidden="1" x14ac:dyDescent="0.2"/>
    <row r="6053" ht="12.75" hidden="1" x14ac:dyDescent="0.2"/>
    <row r="6054" ht="12.75" hidden="1" x14ac:dyDescent="0.2"/>
    <row r="6055" ht="12.75" hidden="1" x14ac:dyDescent="0.2"/>
    <row r="6056" ht="12.75" hidden="1" x14ac:dyDescent="0.2"/>
    <row r="6057" ht="12.75" hidden="1" x14ac:dyDescent="0.2"/>
    <row r="6058" ht="12.75" hidden="1" x14ac:dyDescent="0.2"/>
    <row r="6059" ht="12.75" hidden="1" x14ac:dyDescent="0.2"/>
    <row r="6060" ht="12.75" hidden="1" x14ac:dyDescent="0.2"/>
    <row r="6061" ht="12.75" hidden="1" x14ac:dyDescent="0.2"/>
    <row r="6062" ht="12.75" hidden="1" x14ac:dyDescent="0.2"/>
    <row r="6063" ht="12.75" hidden="1" x14ac:dyDescent="0.2"/>
    <row r="6064" ht="12.75" hidden="1" x14ac:dyDescent="0.2"/>
    <row r="6065" ht="12.75" hidden="1" x14ac:dyDescent="0.2"/>
    <row r="6066" ht="12.75" hidden="1" x14ac:dyDescent="0.2"/>
    <row r="6067" ht="12.75" hidden="1" x14ac:dyDescent="0.2"/>
    <row r="6068" ht="12.75" hidden="1" x14ac:dyDescent="0.2"/>
    <row r="6069" ht="12.75" hidden="1" x14ac:dyDescent="0.2"/>
    <row r="6070" ht="12.75" hidden="1" x14ac:dyDescent="0.2"/>
    <row r="6071" ht="12.75" hidden="1" x14ac:dyDescent="0.2"/>
    <row r="6072" ht="12.75" hidden="1" x14ac:dyDescent="0.2"/>
    <row r="6073" ht="12.75" hidden="1" x14ac:dyDescent="0.2"/>
    <row r="6074" ht="12.75" hidden="1" x14ac:dyDescent="0.2"/>
    <row r="6075" ht="12.75" hidden="1" x14ac:dyDescent="0.2"/>
    <row r="6076" ht="12.75" hidden="1" x14ac:dyDescent="0.2"/>
    <row r="6077" ht="12.75" hidden="1" x14ac:dyDescent="0.2"/>
    <row r="6078" ht="12.75" hidden="1" x14ac:dyDescent="0.2"/>
    <row r="6079" ht="12.75" hidden="1" x14ac:dyDescent="0.2"/>
    <row r="6080" ht="12.75" hidden="1" x14ac:dyDescent="0.2"/>
    <row r="6081" ht="12.75" hidden="1" x14ac:dyDescent="0.2"/>
    <row r="6082" ht="12.75" hidden="1" x14ac:dyDescent="0.2"/>
    <row r="6083" ht="12.75" hidden="1" x14ac:dyDescent="0.2"/>
    <row r="6084" ht="12.75" hidden="1" x14ac:dyDescent="0.2"/>
    <row r="6085" ht="12.75" hidden="1" x14ac:dyDescent="0.2"/>
    <row r="6086" ht="12.75" hidden="1" x14ac:dyDescent="0.2"/>
    <row r="6087" ht="12.75" hidden="1" x14ac:dyDescent="0.2"/>
    <row r="6088" ht="12.75" hidden="1" x14ac:dyDescent="0.2"/>
    <row r="6089" ht="12.75" hidden="1" x14ac:dyDescent="0.2"/>
    <row r="6090" ht="12.75" hidden="1" x14ac:dyDescent="0.2"/>
    <row r="6091" ht="12.75" hidden="1" x14ac:dyDescent="0.2"/>
    <row r="6092" ht="12.75" hidden="1" x14ac:dyDescent="0.2"/>
    <row r="6093" ht="12.75" hidden="1" x14ac:dyDescent="0.2"/>
    <row r="6094" ht="12.75" hidden="1" x14ac:dyDescent="0.2"/>
    <row r="6095" ht="12.75" hidden="1" x14ac:dyDescent="0.2"/>
    <row r="6096" ht="12.75" hidden="1" x14ac:dyDescent="0.2"/>
    <row r="6097" ht="12.75" hidden="1" x14ac:dyDescent="0.2"/>
    <row r="6098" ht="12.75" hidden="1" x14ac:dyDescent="0.2"/>
    <row r="6099" ht="12.75" hidden="1" x14ac:dyDescent="0.2"/>
    <row r="6100" ht="12.75" hidden="1" x14ac:dyDescent="0.2"/>
    <row r="6101" ht="12.75" hidden="1" x14ac:dyDescent="0.2"/>
    <row r="6102" ht="12.75" hidden="1" x14ac:dyDescent="0.2"/>
    <row r="6103" ht="12.75" hidden="1" x14ac:dyDescent="0.2"/>
    <row r="6104" ht="12.75" hidden="1" x14ac:dyDescent="0.2"/>
    <row r="6105" ht="12.75" hidden="1" x14ac:dyDescent="0.2"/>
    <row r="6106" ht="12.75" hidden="1" x14ac:dyDescent="0.2"/>
    <row r="6107" ht="12.75" hidden="1" x14ac:dyDescent="0.2"/>
    <row r="6108" ht="12.75" hidden="1" x14ac:dyDescent="0.2"/>
    <row r="6109" ht="12.75" hidden="1" x14ac:dyDescent="0.2"/>
    <row r="6110" ht="12.75" hidden="1" x14ac:dyDescent="0.2"/>
    <row r="6111" ht="12.75" hidden="1" x14ac:dyDescent="0.2"/>
    <row r="6112" ht="12.75" hidden="1" x14ac:dyDescent="0.2"/>
    <row r="6113" ht="12.75" hidden="1" x14ac:dyDescent="0.2"/>
    <row r="6114" ht="12.75" hidden="1" x14ac:dyDescent="0.2"/>
    <row r="6115" ht="12.75" hidden="1" x14ac:dyDescent="0.2"/>
    <row r="6116" ht="12.75" hidden="1" x14ac:dyDescent="0.2"/>
    <row r="6117" ht="12.75" hidden="1" x14ac:dyDescent="0.2"/>
    <row r="6118" ht="12.75" hidden="1" x14ac:dyDescent="0.2"/>
    <row r="6119" ht="12.75" hidden="1" x14ac:dyDescent="0.2"/>
    <row r="6120" ht="12.75" hidden="1" x14ac:dyDescent="0.2"/>
    <row r="6121" ht="12.75" hidden="1" x14ac:dyDescent="0.2"/>
    <row r="6122" ht="12.75" hidden="1" x14ac:dyDescent="0.2"/>
    <row r="6123" ht="12.75" hidden="1" x14ac:dyDescent="0.2"/>
    <row r="6124" ht="12.75" hidden="1" x14ac:dyDescent="0.2"/>
    <row r="6125" ht="12.75" hidden="1" x14ac:dyDescent="0.2"/>
    <row r="6126" ht="12.75" hidden="1" x14ac:dyDescent="0.2"/>
    <row r="6127" ht="12.75" hidden="1" x14ac:dyDescent="0.2"/>
    <row r="6128" ht="12.75" hidden="1" x14ac:dyDescent="0.2"/>
    <row r="6129" ht="12.75" hidden="1" x14ac:dyDescent="0.2"/>
    <row r="6130" ht="12.75" hidden="1" x14ac:dyDescent="0.2"/>
    <row r="6131" ht="12.75" hidden="1" x14ac:dyDescent="0.2"/>
    <row r="6132" ht="12.75" hidden="1" x14ac:dyDescent="0.2"/>
    <row r="6133" ht="12.75" hidden="1" x14ac:dyDescent="0.2"/>
    <row r="6134" ht="12.75" hidden="1" x14ac:dyDescent="0.2"/>
    <row r="6135" ht="12.75" hidden="1" x14ac:dyDescent="0.2"/>
    <row r="6136" ht="12.75" hidden="1" x14ac:dyDescent="0.2"/>
    <row r="6137" ht="12.75" hidden="1" x14ac:dyDescent="0.2"/>
    <row r="6138" ht="12.75" hidden="1" x14ac:dyDescent="0.2"/>
    <row r="6139" ht="12.75" hidden="1" x14ac:dyDescent="0.2"/>
    <row r="6140" ht="12.75" hidden="1" x14ac:dyDescent="0.2"/>
    <row r="6141" ht="12.75" hidden="1" x14ac:dyDescent="0.2"/>
    <row r="6142" ht="12.75" hidden="1" x14ac:dyDescent="0.2"/>
    <row r="6143" ht="12.75" hidden="1" x14ac:dyDescent="0.2"/>
    <row r="6144" ht="12.75" hidden="1" x14ac:dyDescent="0.2"/>
    <row r="6145" ht="12.75" hidden="1" x14ac:dyDescent="0.2"/>
    <row r="6146" ht="12.75" hidden="1" x14ac:dyDescent="0.2"/>
    <row r="6147" ht="12.75" hidden="1" x14ac:dyDescent="0.2"/>
    <row r="6148" ht="12.75" hidden="1" x14ac:dyDescent="0.2"/>
    <row r="6149" ht="12.75" hidden="1" x14ac:dyDescent="0.2"/>
    <row r="6150" ht="12.75" hidden="1" x14ac:dyDescent="0.2"/>
    <row r="6151" ht="12.75" hidden="1" x14ac:dyDescent="0.2"/>
    <row r="6152" ht="12.75" hidden="1" x14ac:dyDescent="0.2"/>
    <row r="6153" ht="12.75" hidden="1" x14ac:dyDescent="0.2"/>
    <row r="6154" ht="12.75" hidden="1" x14ac:dyDescent="0.2"/>
    <row r="6155" ht="12.75" hidden="1" x14ac:dyDescent="0.2"/>
    <row r="6156" ht="12.75" hidden="1" x14ac:dyDescent="0.2"/>
    <row r="6157" ht="12.75" hidden="1" x14ac:dyDescent="0.2"/>
    <row r="6158" ht="12.75" hidden="1" x14ac:dyDescent="0.2"/>
    <row r="6159" ht="12.75" hidden="1" x14ac:dyDescent="0.2"/>
    <row r="6160" ht="12.75" hidden="1" x14ac:dyDescent="0.2"/>
    <row r="6161" ht="12.75" hidden="1" x14ac:dyDescent="0.2"/>
    <row r="6162" ht="12.75" hidden="1" x14ac:dyDescent="0.2"/>
    <row r="6163" ht="12.75" hidden="1" x14ac:dyDescent="0.2"/>
    <row r="6164" ht="12.75" hidden="1" x14ac:dyDescent="0.2"/>
    <row r="6165" ht="12.75" hidden="1" x14ac:dyDescent="0.2"/>
    <row r="6166" ht="12.75" hidden="1" x14ac:dyDescent="0.2"/>
    <row r="6167" ht="12.75" hidden="1" x14ac:dyDescent="0.2"/>
    <row r="6168" ht="12.75" hidden="1" x14ac:dyDescent="0.2"/>
    <row r="6169" ht="12.75" hidden="1" x14ac:dyDescent="0.2"/>
    <row r="6170" ht="12.75" hidden="1" x14ac:dyDescent="0.2"/>
    <row r="6171" ht="12.75" hidden="1" x14ac:dyDescent="0.2"/>
    <row r="6172" ht="12.75" hidden="1" x14ac:dyDescent="0.2"/>
    <row r="6173" ht="12.75" hidden="1" x14ac:dyDescent="0.2"/>
    <row r="6174" ht="12.75" hidden="1" x14ac:dyDescent="0.2"/>
    <row r="6175" ht="12.75" hidden="1" x14ac:dyDescent="0.2"/>
    <row r="6176" ht="12.75" hidden="1" x14ac:dyDescent="0.2"/>
    <row r="6177" ht="12.75" hidden="1" x14ac:dyDescent="0.2"/>
    <row r="6178" ht="12.75" hidden="1" x14ac:dyDescent="0.2"/>
    <row r="6179" ht="12.75" hidden="1" x14ac:dyDescent="0.2"/>
    <row r="6180" ht="12.75" hidden="1" x14ac:dyDescent="0.2"/>
    <row r="6181" ht="12.75" hidden="1" x14ac:dyDescent="0.2"/>
    <row r="6182" ht="12.75" hidden="1" x14ac:dyDescent="0.2"/>
    <row r="6183" ht="12.75" hidden="1" x14ac:dyDescent="0.2"/>
    <row r="6184" ht="12.75" hidden="1" x14ac:dyDescent="0.2"/>
    <row r="6185" ht="12.75" hidden="1" x14ac:dyDescent="0.2"/>
    <row r="6186" ht="12.75" hidden="1" x14ac:dyDescent="0.2"/>
    <row r="6187" ht="12.75" hidden="1" x14ac:dyDescent="0.2"/>
    <row r="6188" ht="12.75" hidden="1" x14ac:dyDescent="0.2"/>
    <row r="6189" ht="12.75" hidden="1" x14ac:dyDescent="0.2"/>
    <row r="6190" ht="12.75" hidden="1" x14ac:dyDescent="0.2"/>
    <row r="6191" ht="12.75" hidden="1" x14ac:dyDescent="0.2"/>
    <row r="6192" ht="12.75" hidden="1" x14ac:dyDescent="0.2"/>
    <row r="6193" ht="12.75" hidden="1" x14ac:dyDescent="0.2"/>
    <row r="6194" ht="12.75" hidden="1" x14ac:dyDescent="0.2"/>
    <row r="6195" ht="12.75" hidden="1" x14ac:dyDescent="0.2"/>
    <row r="6196" ht="12.75" hidden="1" x14ac:dyDescent="0.2"/>
    <row r="6197" ht="12.75" hidden="1" x14ac:dyDescent="0.2"/>
    <row r="6198" ht="12.75" hidden="1" x14ac:dyDescent="0.2"/>
    <row r="6199" ht="12.75" hidden="1" x14ac:dyDescent="0.2"/>
    <row r="6200" ht="12.75" hidden="1" x14ac:dyDescent="0.2"/>
    <row r="6201" ht="12.75" hidden="1" x14ac:dyDescent="0.2"/>
    <row r="6202" ht="12.75" hidden="1" x14ac:dyDescent="0.2"/>
    <row r="6203" ht="12.75" hidden="1" x14ac:dyDescent="0.2"/>
    <row r="6204" ht="12.75" hidden="1" x14ac:dyDescent="0.2"/>
    <row r="6205" ht="12.75" hidden="1" x14ac:dyDescent="0.2"/>
    <row r="6206" ht="12.75" hidden="1" x14ac:dyDescent="0.2"/>
    <row r="6207" ht="12.75" hidden="1" x14ac:dyDescent="0.2"/>
    <row r="6208" ht="12.75" hidden="1" x14ac:dyDescent="0.2"/>
    <row r="6209" ht="12.75" hidden="1" x14ac:dyDescent="0.2"/>
    <row r="6210" ht="12.75" hidden="1" x14ac:dyDescent="0.2"/>
    <row r="6211" ht="12.75" hidden="1" x14ac:dyDescent="0.2"/>
    <row r="6212" ht="12.75" hidden="1" x14ac:dyDescent="0.2"/>
    <row r="6213" ht="12.75" hidden="1" x14ac:dyDescent="0.2"/>
    <row r="6214" ht="12.75" hidden="1" x14ac:dyDescent="0.2"/>
    <row r="6215" ht="12.75" hidden="1" x14ac:dyDescent="0.2"/>
    <row r="6216" ht="12.75" hidden="1" x14ac:dyDescent="0.2"/>
    <row r="6217" ht="12.75" hidden="1" x14ac:dyDescent="0.2"/>
    <row r="6218" ht="12.75" hidden="1" x14ac:dyDescent="0.2"/>
    <row r="6219" ht="12.75" hidden="1" x14ac:dyDescent="0.2"/>
    <row r="6220" ht="12.75" hidden="1" x14ac:dyDescent="0.2"/>
    <row r="6221" ht="12.75" hidden="1" x14ac:dyDescent="0.2"/>
    <row r="6222" ht="12.75" hidden="1" x14ac:dyDescent="0.2"/>
    <row r="6223" ht="12.75" hidden="1" x14ac:dyDescent="0.2"/>
    <row r="6224" ht="12.75" hidden="1" x14ac:dyDescent="0.2"/>
    <row r="6225" ht="12.75" hidden="1" x14ac:dyDescent="0.2"/>
    <row r="6226" ht="12.75" hidden="1" x14ac:dyDescent="0.2"/>
    <row r="6227" ht="12.75" hidden="1" x14ac:dyDescent="0.2"/>
    <row r="6228" ht="12.75" hidden="1" x14ac:dyDescent="0.2"/>
    <row r="6229" ht="12.75" hidden="1" x14ac:dyDescent="0.2"/>
    <row r="6230" ht="12.75" hidden="1" x14ac:dyDescent="0.2"/>
    <row r="6231" ht="12.75" hidden="1" x14ac:dyDescent="0.2"/>
    <row r="6232" ht="12.75" hidden="1" x14ac:dyDescent="0.2"/>
    <row r="6233" ht="12.75" hidden="1" x14ac:dyDescent="0.2"/>
    <row r="6234" ht="12.75" hidden="1" x14ac:dyDescent="0.2"/>
    <row r="6235" ht="12.75" hidden="1" x14ac:dyDescent="0.2"/>
    <row r="6236" ht="12.75" hidden="1" x14ac:dyDescent="0.2"/>
    <row r="6237" ht="12.75" hidden="1" x14ac:dyDescent="0.2"/>
    <row r="6238" ht="12.75" hidden="1" x14ac:dyDescent="0.2"/>
    <row r="6239" ht="12.75" hidden="1" x14ac:dyDescent="0.2"/>
    <row r="6240" ht="12.75" hidden="1" x14ac:dyDescent="0.2"/>
    <row r="6241" ht="12.75" hidden="1" x14ac:dyDescent="0.2"/>
    <row r="6242" ht="12.75" hidden="1" x14ac:dyDescent="0.2"/>
    <row r="6243" ht="12.75" hidden="1" x14ac:dyDescent="0.2"/>
    <row r="6244" ht="12.75" hidden="1" x14ac:dyDescent="0.2"/>
    <row r="6245" ht="12.75" hidden="1" x14ac:dyDescent="0.2"/>
    <row r="6246" ht="12.75" hidden="1" x14ac:dyDescent="0.2"/>
    <row r="6247" ht="12.75" hidden="1" x14ac:dyDescent="0.2"/>
    <row r="6248" ht="12.75" hidden="1" x14ac:dyDescent="0.2"/>
    <row r="6249" ht="12.75" hidden="1" x14ac:dyDescent="0.2"/>
    <row r="6250" ht="12.75" hidden="1" x14ac:dyDescent="0.2"/>
    <row r="6251" ht="12.75" hidden="1" x14ac:dyDescent="0.2"/>
    <row r="6252" ht="12.75" hidden="1" x14ac:dyDescent="0.2"/>
    <row r="6253" ht="12.75" hidden="1" x14ac:dyDescent="0.2"/>
    <row r="6254" ht="12.75" hidden="1" x14ac:dyDescent="0.2"/>
    <row r="6255" ht="12.75" hidden="1" x14ac:dyDescent="0.2"/>
    <row r="6256" ht="12.75" hidden="1" x14ac:dyDescent="0.2"/>
    <row r="6257" ht="12.75" hidden="1" x14ac:dyDescent="0.2"/>
    <row r="6258" ht="12.75" hidden="1" x14ac:dyDescent="0.2"/>
    <row r="6259" ht="12.75" hidden="1" x14ac:dyDescent="0.2"/>
    <row r="6260" ht="12.75" hidden="1" x14ac:dyDescent="0.2"/>
    <row r="6261" ht="12.75" hidden="1" x14ac:dyDescent="0.2"/>
    <row r="6262" ht="12.75" hidden="1" x14ac:dyDescent="0.2"/>
    <row r="6263" ht="12.75" hidden="1" x14ac:dyDescent="0.2"/>
    <row r="6264" ht="12.75" hidden="1" x14ac:dyDescent="0.2"/>
    <row r="6265" ht="12.75" hidden="1" x14ac:dyDescent="0.2"/>
    <row r="6266" ht="12.75" hidden="1" x14ac:dyDescent="0.2"/>
    <row r="6267" ht="12.75" hidden="1" x14ac:dyDescent="0.2"/>
    <row r="6268" ht="12.75" hidden="1" x14ac:dyDescent="0.2"/>
    <row r="6269" ht="12.75" hidden="1" x14ac:dyDescent="0.2"/>
    <row r="6270" ht="12.75" hidden="1" x14ac:dyDescent="0.2"/>
    <row r="6271" ht="12.75" hidden="1" x14ac:dyDescent="0.2"/>
    <row r="6272" ht="12.75" hidden="1" x14ac:dyDescent="0.2"/>
    <row r="6273" ht="12.75" hidden="1" x14ac:dyDescent="0.2"/>
    <row r="6274" ht="12.75" hidden="1" x14ac:dyDescent="0.2"/>
    <row r="6275" ht="12.75" hidden="1" x14ac:dyDescent="0.2"/>
    <row r="6276" ht="12.75" hidden="1" x14ac:dyDescent="0.2"/>
    <row r="6277" ht="12.75" hidden="1" x14ac:dyDescent="0.2"/>
    <row r="6278" ht="12.75" hidden="1" x14ac:dyDescent="0.2"/>
    <row r="6279" ht="12.75" hidden="1" x14ac:dyDescent="0.2"/>
    <row r="6280" ht="12.75" hidden="1" x14ac:dyDescent="0.2"/>
    <row r="6281" ht="12.75" hidden="1" x14ac:dyDescent="0.2"/>
    <row r="6282" ht="12.75" hidden="1" x14ac:dyDescent="0.2"/>
    <row r="6283" ht="12.75" hidden="1" x14ac:dyDescent="0.2"/>
    <row r="6284" ht="12.75" hidden="1" x14ac:dyDescent="0.2"/>
    <row r="6285" ht="12.75" hidden="1" x14ac:dyDescent="0.2"/>
    <row r="6286" ht="12.75" hidden="1" x14ac:dyDescent="0.2"/>
    <row r="6287" ht="12.75" hidden="1" x14ac:dyDescent="0.2"/>
    <row r="6288" ht="12.75" hidden="1" x14ac:dyDescent="0.2"/>
    <row r="6289" ht="12.75" hidden="1" x14ac:dyDescent="0.2"/>
    <row r="6290" ht="12.75" hidden="1" x14ac:dyDescent="0.2"/>
    <row r="6291" ht="12.75" hidden="1" x14ac:dyDescent="0.2"/>
    <row r="6292" ht="12.75" hidden="1" x14ac:dyDescent="0.2"/>
    <row r="6293" ht="12.75" hidden="1" x14ac:dyDescent="0.2"/>
    <row r="6294" ht="12.75" hidden="1" x14ac:dyDescent="0.2"/>
    <row r="6295" ht="12.75" hidden="1" x14ac:dyDescent="0.2"/>
    <row r="6296" ht="12.75" hidden="1" x14ac:dyDescent="0.2"/>
    <row r="6297" ht="12.75" hidden="1" x14ac:dyDescent="0.2"/>
    <row r="6298" ht="12.75" hidden="1" x14ac:dyDescent="0.2"/>
    <row r="6299" ht="12.75" hidden="1" x14ac:dyDescent="0.2"/>
    <row r="6300" ht="12.75" hidden="1" x14ac:dyDescent="0.2"/>
    <row r="6301" ht="12.75" hidden="1" x14ac:dyDescent="0.2"/>
    <row r="6302" ht="12.75" hidden="1" x14ac:dyDescent="0.2"/>
    <row r="6303" ht="12.75" hidden="1" x14ac:dyDescent="0.2"/>
    <row r="6304" ht="12.75" hidden="1" x14ac:dyDescent="0.2"/>
    <row r="6305" ht="12.75" hidden="1" x14ac:dyDescent="0.2"/>
    <row r="6306" ht="12.75" hidden="1" x14ac:dyDescent="0.2"/>
    <row r="6307" ht="12.75" hidden="1" x14ac:dyDescent="0.2"/>
    <row r="6308" ht="12.75" hidden="1" x14ac:dyDescent="0.2"/>
    <row r="6309" ht="12.75" hidden="1" x14ac:dyDescent="0.2"/>
    <row r="6310" ht="12.75" hidden="1" x14ac:dyDescent="0.2"/>
    <row r="6311" ht="12.75" hidden="1" x14ac:dyDescent="0.2"/>
    <row r="6312" ht="12.75" hidden="1" x14ac:dyDescent="0.2"/>
    <row r="6313" ht="12.75" hidden="1" x14ac:dyDescent="0.2"/>
    <row r="6314" ht="12.75" hidden="1" x14ac:dyDescent="0.2"/>
    <row r="6315" ht="12.75" hidden="1" x14ac:dyDescent="0.2"/>
    <row r="6316" ht="12.75" hidden="1" x14ac:dyDescent="0.2"/>
    <row r="6317" ht="12.75" hidden="1" x14ac:dyDescent="0.2"/>
    <row r="6318" ht="12.75" hidden="1" x14ac:dyDescent="0.2"/>
    <row r="6319" ht="12.75" hidden="1" x14ac:dyDescent="0.2"/>
    <row r="6320" ht="12.75" hidden="1" x14ac:dyDescent="0.2"/>
    <row r="6321" ht="12.75" hidden="1" x14ac:dyDescent="0.2"/>
    <row r="6322" ht="12.75" hidden="1" x14ac:dyDescent="0.2"/>
    <row r="6323" ht="12.75" hidden="1" x14ac:dyDescent="0.2"/>
    <row r="6324" ht="12.75" hidden="1" x14ac:dyDescent="0.2"/>
    <row r="6325" ht="12.75" hidden="1" x14ac:dyDescent="0.2"/>
    <row r="6326" ht="12.75" hidden="1" x14ac:dyDescent="0.2"/>
    <row r="6327" ht="12.75" hidden="1" x14ac:dyDescent="0.2"/>
    <row r="6328" ht="12.75" hidden="1" x14ac:dyDescent="0.2"/>
    <row r="6329" ht="12.75" hidden="1" x14ac:dyDescent="0.2"/>
    <row r="6330" ht="12.75" hidden="1" x14ac:dyDescent="0.2"/>
    <row r="6331" ht="12.75" hidden="1" x14ac:dyDescent="0.2"/>
    <row r="6332" ht="12.75" hidden="1" x14ac:dyDescent="0.2"/>
    <row r="6333" ht="12.75" hidden="1" x14ac:dyDescent="0.2"/>
    <row r="6334" ht="12.75" hidden="1" x14ac:dyDescent="0.2"/>
    <row r="6335" ht="12.75" hidden="1" x14ac:dyDescent="0.2"/>
    <row r="6336" ht="12.75" hidden="1" x14ac:dyDescent="0.2"/>
    <row r="6337" ht="12.75" hidden="1" x14ac:dyDescent="0.2"/>
    <row r="6338" ht="12.75" hidden="1" x14ac:dyDescent="0.2"/>
    <row r="6339" ht="12.75" hidden="1" x14ac:dyDescent="0.2"/>
    <row r="6340" ht="12.75" hidden="1" x14ac:dyDescent="0.2"/>
    <row r="6341" ht="12.75" hidden="1" x14ac:dyDescent="0.2"/>
    <row r="6342" ht="12.75" hidden="1" x14ac:dyDescent="0.2"/>
    <row r="6343" ht="12.75" hidden="1" x14ac:dyDescent="0.2"/>
    <row r="6344" ht="12.75" hidden="1" x14ac:dyDescent="0.2"/>
    <row r="6345" ht="12.75" hidden="1" x14ac:dyDescent="0.2"/>
    <row r="6346" ht="12.75" hidden="1" x14ac:dyDescent="0.2"/>
    <row r="6347" ht="12.75" hidden="1" x14ac:dyDescent="0.2"/>
    <row r="6348" ht="12.75" hidden="1" x14ac:dyDescent="0.2"/>
    <row r="6349" ht="12.75" hidden="1" x14ac:dyDescent="0.2"/>
    <row r="6350" ht="12.75" hidden="1" x14ac:dyDescent="0.2"/>
    <row r="6351" ht="12.75" hidden="1" x14ac:dyDescent="0.2"/>
    <row r="6352" ht="12.75" hidden="1" x14ac:dyDescent="0.2"/>
    <row r="6353" ht="12.75" hidden="1" x14ac:dyDescent="0.2"/>
    <row r="6354" ht="12.75" hidden="1" x14ac:dyDescent="0.2"/>
    <row r="6355" ht="12.75" hidden="1" x14ac:dyDescent="0.2"/>
    <row r="6356" ht="12.75" hidden="1" x14ac:dyDescent="0.2"/>
    <row r="6357" ht="12.75" hidden="1" x14ac:dyDescent="0.2"/>
    <row r="6358" ht="12.75" hidden="1" x14ac:dyDescent="0.2"/>
    <row r="6359" ht="12.75" hidden="1" x14ac:dyDescent="0.2"/>
    <row r="6360" ht="12.75" hidden="1" x14ac:dyDescent="0.2"/>
    <row r="6361" ht="12.75" hidden="1" x14ac:dyDescent="0.2"/>
    <row r="6362" ht="12.75" hidden="1" x14ac:dyDescent="0.2"/>
    <row r="6363" ht="12.75" hidden="1" x14ac:dyDescent="0.2"/>
    <row r="6364" ht="12.75" hidden="1" x14ac:dyDescent="0.2"/>
    <row r="6365" ht="12.75" hidden="1" x14ac:dyDescent="0.2"/>
    <row r="6366" ht="12.75" hidden="1" x14ac:dyDescent="0.2"/>
    <row r="6367" ht="12.75" hidden="1" x14ac:dyDescent="0.2"/>
    <row r="6368" ht="12.75" hidden="1" x14ac:dyDescent="0.2"/>
    <row r="6369" ht="12.75" hidden="1" x14ac:dyDescent="0.2"/>
    <row r="6370" ht="12.75" hidden="1" x14ac:dyDescent="0.2"/>
    <row r="6371" ht="12.75" hidden="1" x14ac:dyDescent="0.2"/>
    <row r="6372" ht="12.75" hidden="1" x14ac:dyDescent="0.2"/>
    <row r="6373" ht="12.75" hidden="1" x14ac:dyDescent="0.2"/>
    <row r="6374" ht="12.75" hidden="1" x14ac:dyDescent="0.2"/>
    <row r="6375" ht="12.75" hidden="1" x14ac:dyDescent="0.2"/>
    <row r="6376" ht="12.75" hidden="1" x14ac:dyDescent="0.2"/>
    <row r="6377" ht="12.75" hidden="1" x14ac:dyDescent="0.2"/>
    <row r="6378" ht="12.75" hidden="1" x14ac:dyDescent="0.2"/>
    <row r="6379" ht="12.75" hidden="1" x14ac:dyDescent="0.2"/>
    <row r="6380" ht="12.75" hidden="1" x14ac:dyDescent="0.2"/>
    <row r="6381" ht="12.75" hidden="1" x14ac:dyDescent="0.2"/>
    <row r="6382" ht="12.75" hidden="1" x14ac:dyDescent="0.2"/>
    <row r="6383" ht="12.75" hidden="1" x14ac:dyDescent="0.2"/>
    <row r="6384" ht="12.75" hidden="1" x14ac:dyDescent="0.2"/>
    <row r="6385" ht="12.75" hidden="1" x14ac:dyDescent="0.2"/>
    <row r="6386" ht="12.75" hidden="1" x14ac:dyDescent="0.2"/>
    <row r="6387" ht="12.75" hidden="1" x14ac:dyDescent="0.2"/>
    <row r="6388" ht="12.75" hidden="1" x14ac:dyDescent="0.2"/>
    <row r="6389" ht="12.75" hidden="1" x14ac:dyDescent="0.2"/>
    <row r="6390" ht="12.75" hidden="1" x14ac:dyDescent="0.2"/>
    <row r="6391" ht="12.75" hidden="1" x14ac:dyDescent="0.2"/>
    <row r="6392" ht="12.75" hidden="1" x14ac:dyDescent="0.2"/>
    <row r="6393" ht="12.75" hidden="1" x14ac:dyDescent="0.2"/>
    <row r="6394" ht="12.75" hidden="1" x14ac:dyDescent="0.2"/>
    <row r="6395" ht="12.75" hidden="1" x14ac:dyDescent="0.2"/>
    <row r="6396" ht="12.75" hidden="1" x14ac:dyDescent="0.2"/>
    <row r="6397" ht="12.75" hidden="1" x14ac:dyDescent="0.2"/>
    <row r="6398" ht="12.75" hidden="1" x14ac:dyDescent="0.2"/>
    <row r="6399" ht="12.75" hidden="1" x14ac:dyDescent="0.2"/>
    <row r="6400" ht="12.75" hidden="1" x14ac:dyDescent="0.2"/>
    <row r="6401" ht="12.75" hidden="1" x14ac:dyDescent="0.2"/>
    <row r="6402" ht="12.75" hidden="1" x14ac:dyDescent="0.2"/>
    <row r="6403" ht="12.75" hidden="1" x14ac:dyDescent="0.2"/>
    <row r="6404" ht="12.75" hidden="1" x14ac:dyDescent="0.2"/>
    <row r="6405" ht="12.75" hidden="1" x14ac:dyDescent="0.2"/>
    <row r="6406" ht="12.75" hidden="1" x14ac:dyDescent="0.2"/>
    <row r="6407" ht="12.75" hidden="1" x14ac:dyDescent="0.2"/>
    <row r="6408" ht="12.75" hidden="1" x14ac:dyDescent="0.2"/>
    <row r="6409" ht="12.75" hidden="1" x14ac:dyDescent="0.2"/>
    <row r="6410" ht="12.75" hidden="1" x14ac:dyDescent="0.2"/>
    <row r="6411" ht="12.75" hidden="1" x14ac:dyDescent="0.2"/>
    <row r="6412" ht="12.75" hidden="1" x14ac:dyDescent="0.2"/>
    <row r="6413" ht="12.75" hidden="1" x14ac:dyDescent="0.2"/>
    <row r="6414" ht="12.75" hidden="1" x14ac:dyDescent="0.2"/>
    <row r="6415" ht="12.75" hidden="1" x14ac:dyDescent="0.2"/>
    <row r="6416" ht="12.75" hidden="1" x14ac:dyDescent="0.2"/>
    <row r="6417" ht="12.75" hidden="1" x14ac:dyDescent="0.2"/>
    <row r="6418" ht="12.75" hidden="1" x14ac:dyDescent="0.2"/>
    <row r="6419" ht="12.75" hidden="1" x14ac:dyDescent="0.2"/>
    <row r="6420" ht="12.75" hidden="1" x14ac:dyDescent="0.2"/>
    <row r="6421" ht="12.75" hidden="1" x14ac:dyDescent="0.2"/>
    <row r="6422" ht="12.75" hidden="1" x14ac:dyDescent="0.2"/>
    <row r="6423" ht="12.75" hidden="1" x14ac:dyDescent="0.2"/>
    <row r="6424" ht="12.75" hidden="1" x14ac:dyDescent="0.2"/>
    <row r="6425" ht="12.75" hidden="1" x14ac:dyDescent="0.2"/>
    <row r="6426" ht="12.75" hidden="1" x14ac:dyDescent="0.2"/>
    <row r="6427" ht="12.75" hidden="1" x14ac:dyDescent="0.2"/>
    <row r="6428" ht="12.75" hidden="1" x14ac:dyDescent="0.2"/>
    <row r="6429" ht="12.75" hidden="1" x14ac:dyDescent="0.2"/>
    <row r="6430" ht="12.75" hidden="1" x14ac:dyDescent="0.2"/>
    <row r="6431" ht="12.75" hidden="1" x14ac:dyDescent="0.2"/>
    <row r="6432" ht="12.75" hidden="1" x14ac:dyDescent="0.2"/>
    <row r="6433" ht="12.75" hidden="1" x14ac:dyDescent="0.2"/>
    <row r="6434" ht="12.75" hidden="1" x14ac:dyDescent="0.2"/>
    <row r="6435" ht="12.75" hidden="1" x14ac:dyDescent="0.2"/>
    <row r="6436" ht="12.75" hidden="1" x14ac:dyDescent="0.2"/>
    <row r="6437" ht="12.75" hidden="1" x14ac:dyDescent="0.2"/>
    <row r="6438" ht="12.75" hidden="1" x14ac:dyDescent="0.2"/>
    <row r="6439" ht="12.75" hidden="1" x14ac:dyDescent="0.2"/>
    <row r="6440" ht="12.75" hidden="1" x14ac:dyDescent="0.2"/>
    <row r="6441" ht="12.75" hidden="1" x14ac:dyDescent="0.2"/>
    <row r="6442" ht="12.75" hidden="1" x14ac:dyDescent="0.2"/>
    <row r="6443" ht="12.75" hidden="1" x14ac:dyDescent="0.2"/>
    <row r="6444" ht="12.75" hidden="1" x14ac:dyDescent="0.2"/>
    <row r="6445" ht="12.75" hidden="1" x14ac:dyDescent="0.2"/>
    <row r="6446" ht="12.75" hidden="1" x14ac:dyDescent="0.2"/>
    <row r="6447" ht="12.75" hidden="1" x14ac:dyDescent="0.2"/>
    <row r="6448" ht="12.75" hidden="1" x14ac:dyDescent="0.2"/>
    <row r="6449" ht="12.75" hidden="1" x14ac:dyDescent="0.2"/>
    <row r="6450" ht="12.75" hidden="1" x14ac:dyDescent="0.2"/>
    <row r="6451" ht="12.75" hidden="1" x14ac:dyDescent="0.2"/>
    <row r="6452" ht="12.75" hidden="1" x14ac:dyDescent="0.2"/>
    <row r="6453" ht="12.75" hidden="1" x14ac:dyDescent="0.2"/>
    <row r="6454" ht="12.75" hidden="1" x14ac:dyDescent="0.2"/>
    <row r="6455" ht="12.75" hidden="1" x14ac:dyDescent="0.2"/>
    <row r="6456" ht="12.75" hidden="1" x14ac:dyDescent="0.2"/>
    <row r="6457" ht="12.75" hidden="1" x14ac:dyDescent="0.2"/>
    <row r="6458" ht="12.75" hidden="1" x14ac:dyDescent="0.2"/>
    <row r="6459" ht="12.75" hidden="1" x14ac:dyDescent="0.2"/>
    <row r="6460" ht="12.75" hidden="1" x14ac:dyDescent="0.2"/>
    <row r="6461" ht="12.75" hidden="1" x14ac:dyDescent="0.2"/>
    <row r="6462" ht="12.75" hidden="1" x14ac:dyDescent="0.2"/>
    <row r="6463" ht="12.75" hidden="1" x14ac:dyDescent="0.2"/>
    <row r="6464" ht="12.75" hidden="1" x14ac:dyDescent="0.2"/>
    <row r="6465" ht="12.75" hidden="1" x14ac:dyDescent="0.2"/>
    <row r="6466" ht="12.75" hidden="1" x14ac:dyDescent="0.2"/>
    <row r="6467" ht="12.75" hidden="1" x14ac:dyDescent="0.2"/>
    <row r="6468" ht="12.75" hidden="1" x14ac:dyDescent="0.2"/>
    <row r="6469" ht="12.75" hidden="1" x14ac:dyDescent="0.2"/>
    <row r="6470" ht="12.75" hidden="1" x14ac:dyDescent="0.2"/>
    <row r="6471" ht="12.75" hidden="1" x14ac:dyDescent="0.2"/>
    <row r="6472" ht="12.75" hidden="1" x14ac:dyDescent="0.2"/>
    <row r="6473" ht="12.75" hidden="1" x14ac:dyDescent="0.2"/>
    <row r="6474" ht="12.75" hidden="1" x14ac:dyDescent="0.2"/>
    <row r="6475" ht="12.75" hidden="1" x14ac:dyDescent="0.2"/>
    <row r="6476" ht="12.75" hidden="1" x14ac:dyDescent="0.2"/>
    <row r="6477" ht="12.75" hidden="1" x14ac:dyDescent="0.2"/>
    <row r="6478" ht="12.75" hidden="1" x14ac:dyDescent="0.2"/>
    <row r="6479" ht="12.75" hidden="1" x14ac:dyDescent="0.2"/>
    <row r="6480" ht="12.75" hidden="1" x14ac:dyDescent="0.2"/>
    <row r="6481" ht="12.75" hidden="1" x14ac:dyDescent="0.2"/>
    <row r="6482" ht="12.75" hidden="1" x14ac:dyDescent="0.2"/>
    <row r="6483" ht="12.75" hidden="1" x14ac:dyDescent="0.2"/>
    <row r="6484" ht="12.75" hidden="1" x14ac:dyDescent="0.2"/>
    <row r="6485" ht="12.75" hidden="1" x14ac:dyDescent="0.2"/>
    <row r="6486" ht="12.75" hidden="1" x14ac:dyDescent="0.2"/>
    <row r="6487" ht="12.75" hidden="1" x14ac:dyDescent="0.2"/>
    <row r="6488" ht="12.75" hidden="1" x14ac:dyDescent="0.2"/>
    <row r="6489" ht="12.75" hidden="1" x14ac:dyDescent="0.2"/>
    <row r="6490" ht="12.75" hidden="1" x14ac:dyDescent="0.2"/>
    <row r="6491" ht="12.75" hidden="1" x14ac:dyDescent="0.2"/>
    <row r="6492" ht="12.75" hidden="1" x14ac:dyDescent="0.2"/>
    <row r="6493" ht="12.75" hidden="1" x14ac:dyDescent="0.2"/>
    <row r="6494" ht="12.75" hidden="1" x14ac:dyDescent="0.2"/>
    <row r="6495" ht="12.75" hidden="1" x14ac:dyDescent="0.2"/>
    <row r="6496" ht="12.75" hidden="1" x14ac:dyDescent="0.2"/>
    <row r="6497" ht="12.75" hidden="1" x14ac:dyDescent="0.2"/>
    <row r="6498" ht="12.75" hidden="1" x14ac:dyDescent="0.2"/>
    <row r="6499" ht="12.75" hidden="1" x14ac:dyDescent="0.2"/>
    <row r="6500" ht="12.75" hidden="1" x14ac:dyDescent="0.2"/>
    <row r="6501" ht="12.75" hidden="1" x14ac:dyDescent="0.2"/>
    <row r="6502" ht="12.75" hidden="1" x14ac:dyDescent="0.2"/>
    <row r="6503" ht="12.75" hidden="1" x14ac:dyDescent="0.2"/>
    <row r="6504" ht="12.75" hidden="1" x14ac:dyDescent="0.2"/>
    <row r="6505" ht="12.75" hidden="1" x14ac:dyDescent="0.2"/>
    <row r="6506" ht="12.75" hidden="1" x14ac:dyDescent="0.2"/>
    <row r="6507" ht="12.75" hidden="1" x14ac:dyDescent="0.2"/>
    <row r="6508" ht="12.75" hidden="1" x14ac:dyDescent="0.2"/>
    <row r="6509" ht="12.75" hidden="1" x14ac:dyDescent="0.2"/>
    <row r="6510" ht="12.75" hidden="1" x14ac:dyDescent="0.2"/>
    <row r="6511" ht="12.75" hidden="1" x14ac:dyDescent="0.2"/>
    <row r="6512" ht="12.75" hidden="1" x14ac:dyDescent="0.2"/>
    <row r="6513" ht="12.75" hidden="1" x14ac:dyDescent="0.2"/>
    <row r="6514" ht="12.75" hidden="1" x14ac:dyDescent="0.2"/>
    <row r="6515" ht="12.75" hidden="1" x14ac:dyDescent="0.2"/>
    <row r="6516" ht="12.75" hidden="1" x14ac:dyDescent="0.2"/>
    <row r="6517" ht="12.75" hidden="1" x14ac:dyDescent="0.2"/>
    <row r="6518" ht="12.75" hidden="1" x14ac:dyDescent="0.2"/>
    <row r="6519" ht="12.75" hidden="1" x14ac:dyDescent="0.2"/>
    <row r="6520" ht="12.75" hidden="1" x14ac:dyDescent="0.2"/>
    <row r="6521" ht="12.75" hidden="1" x14ac:dyDescent="0.2"/>
    <row r="6522" ht="12.75" hidden="1" x14ac:dyDescent="0.2"/>
    <row r="6523" ht="12.75" hidden="1" x14ac:dyDescent="0.2"/>
    <row r="6524" ht="12.75" hidden="1" x14ac:dyDescent="0.2"/>
    <row r="6525" ht="12.75" hidden="1" x14ac:dyDescent="0.2"/>
    <row r="6526" ht="12.75" hidden="1" x14ac:dyDescent="0.2"/>
    <row r="6527" ht="12.75" hidden="1" x14ac:dyDescent="0.2"/>
    <row r="6528" ht="12.75" hidden="1" x14ac:dyDescent="0.2"/>
    <row r="6529" ht="12.75" hidden="1" x14ac:dyDescent="0.2"/>
    <row r="6530" ht="12.75" hidden="1" x14ac:dyDescent="0.2"/>
    <row r="6531" ht="12.75" hidden="1" x14ac:dyDescent="0.2"/>
    <row r="6532" ht="12.75" hidden="1" x14ac:dyDescent="0.2"/>
    <row r="6533" ht="12.75" hidden="1" x14ac:dyDescent="0.2"/>
    <row r="6534" ht="12.75" hidden="1" x14ac:dyDescent="0.2"/>
    <row r="6535" ht="12.75" hidden="1" x14ac:dyDescent="0.2"/>
    <row r="6536" ht="12.75" hidden="1" x14ac:dyDescent="0.2"/>
    <row r="6537" ht="12.75" hidden="1" x14ac:dyDescent="0.2"/>
    <row r="6538" ht="12.75" hidden="1" x14ac:dyDescent="0.2"/>
    <row r="6539" ht="12.75" hidden="1" x14ac:dyDescent="0.2"/>
    <row r="6540" ht="12.75" hidden="1" x14ac:dyDescent="0.2"/>
    <row r="6541" ht="12.75" hidden="1" x14ac:dyDescent="0.2"/>
    <row r="6542" ht="12.75" hidden="1" x14ac:dyDescent="0.2"/>
    <row r="6543" ht="12.75" hidden="1" x14ac:dyDescent="0.2"/>
    <row r="6544" ht="12.75" hidden="1" x14ac:dyDescent="0.2"/>
    <row r="6545" ht="12.75" hidden="1" x14ac:dyDescent="0.2"/>
    <row r="6546" ht="12.75" hidden="1" x14ac:dyDescent="0.2"/>
    <row r="6547" ht="12.75" hidden="1" x14ac:dyDescent="0.2"/>
    <row r="6548" ht="12.75" hidden="1" x14ac:dyDescent="0.2"/>
    <row r="6549" ht="12.75" hidden="1" x14ac:dyDescent="0.2"/>
    <row r="6550" ht="12.75" hidden="1" x14ac:dyDescent="0.2"/>
    <row r="6551" ht="12.75" hidden="1" x14ac:dyDescent="0.2"/>
    <row r="6552" ht="12.75" hidden="1" x14ac:dyDescent="0.2"/>
    <row r="6553" ht="12.75" hidden="1" x14ac:dyDescent="0.2"/>
    <row r="6554" ht="12.75" hidden="1" x14ac:dyDescent="0.2"/>
    <row r="6555" ht="12.75" hidden="1" x14ac:dyDescent="0.2"/>
    <row r="6556" ht="12.75" hidden="1" x14ac:dyDescent="0.2"/>
    <row r="6557" ht="12.75" hidden="1" x14ac:dyDescent="0.2"/>
    <row r="6558" ht="12.75" hidden="1" x14ac:dyDescent="0.2"/>
    <row r="6559" ht="12.75" hidden="1" x14ac:dyDescent="0.2"/>
    <row r="6560" ht="12.75" hidden="1" x14ac:dyDescent="0.2"/>
    <row r="6561" ht="12.75" hidden="1" x14ac:dyDescent="0.2"/>
    <row r="6562" ht="12.75" hidden="1" x14ac:dyDescent="0.2"/>
    <row r="6563" ht="12.75" hidden="1" x14ac:dyDescent="0.2"/>
    <row r="6564" ht="12.75" hidden="1" x14ac:dyDescent="0.2"/>
    <row r="6565" ht="12.75" hidden="1" x14ac:dyDescent="0.2"/>
    <row r="6566" ht="12.75" hidden="1" x14ac:dyDescent="0.2"/>
    <row r="6567" ht="12.75" hidden="1" x14ac:dyDescent="0.2"/>
    <row r="6568" ht="12.75" hidden="1" x14ac:dyDescent="0.2"/>
    <row r="6569" ht="12.75" hidden="1" x14ac:dyDescent="0.2"/>
    <row r="6570" ht="12.75" hidden="1" x14ac:dyDescent="0.2"/>
    <row r="6571" ht="12.75" hidden="1" x14ac:dyDescent="0.2"/>
    <row r="6572" ht="12.75" hidden="1" x14ac:dyDescent="0.2"/>
    <row r="6573" ht="12.75" hidden="1" x14ac:dyDescent="0.2"/>
    <row r="6574" ht="12.75" hidden="1" x14ac:dyDescent="0.2"/>
    <row r="6575" ht="12.75" hidden="1" x14ac:dyDescent="0.2"/>
    <row r="6576" ht="12.75" hidden="1" x14ac:dyDescent="0.2"/>
    <row r="6577" ht="12.75" hidden="1" x14ac:dyDescent="0.2"/>
    <row r="6578" ht="12.75" hidden="1" x14ac:dyDescent="0.2"/>
    <row r="6579" ht="12.75" hidden="1" x14ac:dyDescent="0.2"/>
    <row r="6580" ht="12.75" hidden="1" x14ac:dyDescent="0.2"/>
    <row r="6581" ht="12.75" hidden="1" x14ac:dyDescent="0.2"/>
    <row r="6582" ht="12.75" hidden="1" x14ac:dyDescent="0.2"/>
    <row r="6583" ht="12.75" hidden="1" x14ac:dyDescent="0.2"/>
    <row r="6584" ht="12.75" hidden="1" x14ac:dyDescent="0.2"/>
    <row r="6585" ht="12.75" hidden="1" x14ac:dyDescent="0.2"/>
    <row r="6586" ht="12.75" hidden="1" x14ac:dyDescent="0.2"/>
    <row r="6587" ht="12.75" hidden="1" x14ac:dyDescent="0.2"/>
    <row r="6588" ht="12.75" hidden="1" x14ac:dyDescent="0.2"/>
    <row r="6589" ht="12.75" hidden="1" x14ac:dyDescent="0.2"/>
    <row r="6590" ht="12.75" hidden="1" x14ac:dyDescent="0.2"/>
    <row r="6591" ht="12.75" hidden="1" x14ac:dyDescent="0.2"/>
    <row r="6592" ht="12.75" hidden="1" x14ac:dyDescent="0.2"/>
    <row r="6593" ht="12.75" hidden="1" x14ac:dyDescent="0.2"/>
    <row r="6594" ht="12.75" hidden="1" x14ac:dyDescent="0.2"/>
    <row r="6595" ht="12.75" hidden="1" x14ac:dyDescent="0.2"/>
    <row r="6596" ht="12.75" hidden="1" x14ac:dyDescent="0.2"/>
    <row r="6597" ht="12.75" hidden="1" x14ac:dyDescent="0.2"/>
    <row r="6598" ht="12.75" hidden="1" x14ac:dyDescent="0.2"/>
    <row r="6599" ht="12.75" hidden="1" x14ac:dyDescent="0.2"/>
    <row r="6600" ht="12.75" hidden="1" x14ac:dyDescent="0.2"/>
    <row r="6601" ht="12.75" hidden="1" x14ac:dyDescent="0.2"/>
    <row r="6602" ht="12.75" hidden="1" x14ac:dyDescent="0.2"/>
    <row r="6603" ht="12.75" hidden="1" x14ac:dyDescent="0.2"/>
    <row r="6604" ht="12.75" hidden="1" x14ac:dyDescent="0.2"/>
    <row r="6605" ht="12.75" hidden="1" x14ac:dyDescent="0.2"/>
    <row r="6606" ht="12.75" hidden="1" x14ac:dyDescent="0.2"/>
    <row r="6607" ht="12.75" hidden="1" x14ac:dyDescent="0.2"/>
    <row r="6608" ht="12.75" hidden="1" x14ac:dyDescent="0.2"/>
    <row r="6609" ht="12.75" hidden="1" x14ac:dyDescent="0.2"/>
    <row r="6610" ht="12.75" hidden="1" x14ac:dyDescent="0.2"/>
    <row r="6611" ht="12.75" hidden="1" x14ac:dyDescent="0.2"/>
    <row r="6612" ht="12.75" hidden="1" x14ac:dyDescent="0.2"/>
    <row r="6613" ht="12.75" hidden="1" x14ac:dyDescent="0.2"/>
    <row r="6614" ht="12.75" hidden="1" x14ac:dyDescent="0.2"/>
    <row r="6615" ht="12.75" hidden="1" x14ac:dyDescent="0.2"/>
    <row r="6616" ht="12.75" hidden="1" x14ac:dyDescent="0.2"/>
    <row r="6617" ht="12.75" hidden="1" x14ac:dyDescent="0.2"/>
    <row r="6618" ht="12.75" hidden="1" x14ac:dyDescent="0.2"/>
    <row r="6619" ht="12.75" hidden="1" x14ac:dyDescent="0.2"/>
    <row r="6620" ht="12.75" hidden="1" x14ac:dyDescent="0.2"/>
    <row r="6621" ht="12.75" hidden="1" x14ac:dyDescent="0.2"/>
    <row r="6622" ht="12.75" hidden="1" x14ac:dyDescent="0.2"/>
    <row r="6623" ht="12.75" hidden="1" x14ac:dyDescent="0.2"/>
    <row r="6624" ht="12.75" hidden="1" x14ac:dyDescent="0.2"/>
    <row r="6625" ht="12.75" hidden="1" x14ac:dyDescent="0.2"/>
    <row r="6626" ht="12.75" hidden="1" x14ac:dyDescent="0.2"/>
    <row r="6627" ht="12.75" hidden="1" x14ac:dyDescent="0.2"/>
    <row r="6628" ht="12.75" hidden="1" x14ac:dyDescent="0.2"/>
    <row r="6629" ht="12.75" hidden="1" x14ac:dyDescent="0.2"/>
    <row r="6630" ht="12.75" hidden="1" x14ac:dyDescent="0.2"/>
    <row r="6631" ht="12.75" hidden="1" x14ac:dyDescent="0.2"/>
    <row r="6632" ht="12.75" hidden="1" x14ac:dyDescent="0.2"/>
    <row r="6633" ht="12.75" hidden="1" x14ac:dyDescent="0.2"/>
    <row r="6634" ht="12.75" hidden="1" x14ac:dyDescent="0.2"/>
    <row r="6635" ht="12.75" hidden="1" x14ac:dyDescent="0.2"/>
    <row r="6636" ht="12.75" hidden="1" x14ac:dyDescent="0.2"/>
    <row r="6637" ht="12.75" hidden="1" x14ac:dyDescent="0.2"/>
    <row r="6638" ht="12.75" hidden="1" x14ac:dyDescent="0.2"/>
    <row r="6639" ht="12.75" hidden="1" x14ac:dyDescent="0.2"/>
    <row r="6640" ht="12.75" hidden="1" x14ac:dyDescent="0.2"/>
    <row r="6641" ht="12.75" hidden="1" x14ac:dyDescent="0.2"/>
    <row r="6642" ht="12.75" hidden="1" x14ac:dyDescent="0.2"/>
    <row r="6643" ht="12.75" hidden="1" x14ac:dyDescent="0.2"/>
    <row r="6644" ht="12.75" hidden="1" x14ac:dyDescent="0.2"/>
    <row r="6645" ht="12.75" hidden="1" x14ac:dyDescent="0.2"/>
    <row r="6646" ht="12.75" hidden="1" x14ac:dyDescent="0.2"/>
    <row r="6647" ht="12.75" hidden="1" x14ac:dyDescent="0.2"/>
    <row r="6648" ht="12.75" hidden="1" x14ac:dyDescent="0.2"/>
    <row r="6649" ht="12.75" hidden="1" x14ac:dyDescent="0.2"/>
    <row r="6650" ht="12.75" hidden="1" x14ac:dyDescent="0.2"/>
    <row r="6651" ht="12.75" hidden="1" x14ac:dyDescent="0.2"/>
    <row r="6652" ht="12.75" hidden="1" x14ac:dyDescent="0.2"/>
    <row r="6653" ht="12.75" hidden="1" x14ac:dyDescent="0.2"/>
    <row r="6654" ht="12.75" hidden="1" x14ac:dyDescent="0.2"/>
    <row r="6655" ht="12.75" hidden="1" x14ac:dyDescent="0.2"/>
    <row r="6656" ht="12.75" hidden="1" x14ac:dyDescent="0.2"/>
    <row r="6657" ht="12.75" hidden="1" x14ac:dyDescent="0.2"/>
    <row r="6658" ht="12.75" hidden="1" x14ac:dyDescent="0.2"/>
    <row r="6659" ht="12.75" hidden="1" x14ac:dyDescent="0.2"/>
    <row r="6660" ht="12.75" hidden="1" x14ac:dyDescent="0.2"/>
    <row r="6661" ht="12.75" hidden="1" x14ac:dyDescent="0.2"/>
    <row r="6662" ht="12.75" hidden="1" x14ac:dyDescent="0.2"/>
    <row r="6663" ht="12.75" hidden="1" x14ac:dyDescent="0.2"/>
    <row r="6664" ht="12.75" hidden="1" x14ac:dyDescent="0.2"/>
    <row r="6665" ht="12.75" hidden="1" x14ac:dyDescent="0.2"/>
    <row r="6666" ht="12.75" hidden="1" x14ac:dyDescent="0.2"/>
    <row r="6667" ht="12.75" hidden="1" x14ac:dyDescent="0.2"/>
    <row r="6668" ht="12.75" hidden="1" x14ac:dyDescent="0.2"/>
    <row r="6669" ht="12.75" hidden="1" x14ac:dyDescent="0.2"/>
    <row r="6670" ht="12.75" hidden="1" x14ac:dyDescent="0.2"/>
    <row r="6671" ht="12.75" hidden="1" x14ac:dyDescent="0.2"/>
    <row r="6672" ht="12.75" hidden="1" x14ac:dyDescent="0.2"/>
    <row r="6673" ht="12.75" hidden="1" x14ac:dyDescent="0.2"/>
    <row r="6674" ht="12.75" hidden="1" x14ac:dyDescent="0.2"/>
    <row r="6675" ht="12.75" hidden="1" x14ac:dyDescent="0.2"/>
    <row r="6676" ht="12.75" hidden="1" x14ac:dyDescent="0.2"/>
    <row r="6677" ht="12.75" hidden="1" x14ac:dyDescent="0.2"/>
    <row r="6678" ht="12.75" hidden="1" x14ac:dyDescent="0.2"/>
    <row r="6679" ht="12.75" hidden="1" x14ac:dyDescent="0.2"/>
    <row r="6680" ht="12.75" hidden="1" x14ac:dyDescent="0.2"/>
    <row r="6681" ht="12.75" hidden="1" x14ac:dyDescent="0.2"/>
    <row r="6682" ht="12.75" hidden="1" x14ac:dyDescent="0.2"/>
    <row r="6683" ht="12.75" hidden="1" x14ac:dyDescent="0.2"/>
    <row r="6684" ht="12.75" hidden="1" x14ac:dyDescent="0.2"/>
    <row r="6685" ht="12.75" hidden="1" x14ac:dyDescent="0.2"/>
    <row r="6686" ht="12.75" hidden="1" x14ac:dyDescent="0.2"/>
    <row r="6687" ht="12.75" hidden="1" x14ac:dyDescent="0.2"/>
    <row r="6688" ht="12.75" hidden="1" x14ac:dyDescent="0.2"/>
    <row r="6689" ht="12.75" hidden="1" x14ac:dyDescent="0.2"/>
    <row r="6690" ht="12.75" hidden="1" x14ac:dyDescent="0.2"/>
    <row r="6691" ht="12.75" hidden="1" x14ac:dyDescent="0.2"/>
    <row r="6692" ht="12.75" hidden="1" x14ac:dyDescent="0.2"/>
    <row r="6693" ht="12.75" hidden="1" x14ac:dyDescent="0.2"/>
    <row r="6694" ht="12.75" hidden="1" x14ac:dyDescent="0.2"/>
    <row r="6695" ht="12.75" hidden="1" x14ac:dyDescent="0.2"/>
    <row r="6696" ht="12.75" hidden="1" x14ac:dyDescent="0.2"/>
    <row r="6697" ht="12.75" hidden="1" x14ac:dyDescent="0.2"/>
    <row r="6698" ht="12.75" hidden="1" x14ac:dyDescent="0.2"/>
    <row r="6699" ht="12.75" hidden="1" x14ac:dyDescent="0.2"/>
    <row r="6700" ht="12.75" hidden="1" x14ac:dyDescent="0.2"/>
    <row r="6701" ht="12.75" hidden="1" x14ac:dyDescent="0.2"/>
    <row r="6702" ht="12.75" hidden="1" x14ac:dyDescent="0.2"/>
    <row r="6703" ht="12.75" hidden="1" x14ac:dyDescent="0.2"/>
    <row r="6704" ht="12.75" hidden="1" x14ac:dyDescent="0.2"/>
    <row r="6705" ht="12.75" hidden="1" x14ac:dyDescent="0.2"/>
    <row r="6706" ht="12.75" hidden="1" x14ac:dyDescent="0.2"/>
    <row r="6707" ht="12.75" hidden="1" x14ac:dyDescent="0.2"/>
    <row r="6708" ht="12.75" hidden="1" x14ac:dyDescent="0.2"/>
    <row r="6709" ht="12.75" hidden="1" x14ac:dyDescent="0.2"/>
    <row r="6710" ht="12.75" hidden="1" x14ac:dyDescent="0.2"/>
    <row r="6711" ht="12.75" hidden="1" x14ac:dyDescent="0.2"/>
    <row r="6712" ht="12.75" hidden="1" x14ac:dyDescent="0.2"/>
    <row r="6713" ht="12.75" hidden="1" x14ac:dyDescent="0.2"/>
    <row r="6714" ht="12.75" hidden="1" x14ac:dyDescent="0.2"/>
    <row r="6715" ht="12.75" hidden="1" x14ac:dyDescent="0.2"/>
    <row r="6716" ht="12.75" hidden="1" x14ac:dyDescent="0.2"/>
    <row r="6717" ht="12.75" hidden="1" x14ac:dyDescent="0.2"/>
    <row r="6718" ht="12.75" hidden="1" x14ac:dyDescent="0.2"/>
    <row r="6719" ht="12.75" hidden="1" x14ac:dyDescent="0.2"/>
    <row r="6720" ht="12.75" hidden="1" x14ac:dyDescent="0.2"/>
    <row r="6721" ht="12.75" hidden="1" x14ac:dyDescent="0.2"/>
    <row r="6722" ht="12.75" hidden="1" x14ac:dyDescent="0.2"/>
    <row r="6723" ht="12.75" hidden="1" x14ac:dyDescent="0.2"/>
    <row r="6724" ht="12.75" hidden="1" x14ac:dyDescent="0.2"/>
    <row r="6725" ht="12.75" hidden="1" x14ac:dyDescent="0.2"/>
    <row r="6726" ht="12.75" hidden="1" x14ac:dyDescent="0.2"/>
    <row r="6727" ht="12.75" hidden="1" x14ac:dyDescent="0.2"/>
    <row r="6728" ht="12.75" hidden="1" x14ac:dyDescent="0.2"/>
    <row r="6729" ht="12.75" hidden="1" x14ac:dyDescent="0.2"/>
    <row r="6730" ht="12.75" hidden="1" x14ac:dyDescent="0.2"/>
    <row r="6731" ht="12.75" hidden="1" x14ac:dyDescent="0.2"/>
    <row r="6732" ht="12.75" hidden="1" x14ac:dyDescent="0.2"/>
    <row r="6733" ht="12.75" hidden="1" x14ac:dyDescent="0.2"/>
    <row r="6734" ht="12.75" hidden="1" x14ac:dyDescent="0.2"/>
    <row r="6735" ht="12.75" hidden="1" x14ac:dyDescent="0.2"/>
    <row r="6736" ht="12.75" hidden="1" x14ac:dyDescent="0.2"/>
    <row r="6737" ht="12.75" hidden="1" x14ac:dyDescent="0.2"/>
    <row r="6738" ht="12.75" hidden="1" x14ac:dyDescent="0.2"/>
    <row r="6739" ht="12.75" hidden="1" x14ac:dyDescent="0.2"/>
    <row r="6740" ht="12.75" hidden="1" x14ac:dyDescent="0.2"/>
    <row r="6741" ht="12.75" hidden="1" x14ac:dyDescent="0.2"/>
    <row r="6742" ht="12.75" hidden="1" x14ac:dyDescent="0.2"/>
    <row r="6743" ht="12.75" hidden="1" x14ac:dyDescent="0.2"/>
    <row r="6744" ht="12.75" hidden="1" x14ac:dyDescent="0.2"/>
    <row r="6745" ht="12.75" hidden="1" x14ac:dyDescent="0.2"/>
    <row r="6746" ht="12.75" hidden="1" x14ac:dyDescent="0.2"/>
    <row r="6747" ht="12.75" hidden="1" x14ac:dyDescent="0.2"/>
    <row r="6748" ht="12.75" hidden="1" x14ac:dyDescent="0.2"/>
    <row r="6749" ht="12.75" hidden="1" x14ac:dyDescent="0.2"/>
    <row r="6750" ht="12.75" hidden="1" x14ac:dyDescent="0.2"/>
    <row r="6751" ht="12.75" hidden="1" x14ac:dyDescent="0.2"/>
    <row r="6752" ht="12.75" hidden="1" x14ac:dyDescent="0.2"/>
    <row r="6753" ht="12.75" hidden="1" x14ac:dyDescent="0.2"/>
    <row r="6754" ht="12.75" hidden="1" x14ac:dyDescent="0.2"/>
    <row r="6755" ht="12.75" hidden="1" x14ac:dyDescent="0.2"/>
    <row r="6756" ht="12.75" hidden="1" x14ac:dyDescent="0.2"/>
    <row r="6757" ht="12.75" hidden="1" x14ac:dyDescent="0.2"/>
    <row r="6758" ht="12.75" hidden="1" x14ac:dyDescent="0.2"/>
    <row r="6759" ht="12.75" hidden="1" x14ac:dyDescent="0.2"/>
    <row r="6760" ht="12.75" hidden="1" x14ac:dyDescent="0.2"/>
    <row r="6761" ht="12.75" hidden="1" x14ac:dyDescent="0.2"/>
    <row r="6762" ht="12.75" hidden="1" x14ac:dyDescent="0.2"/>
    <row r="6763" ht="12.75" hidden="1" x14ac:dyDescent="0.2"/>
    <row r="6764" ht="12.75" hidden="1" x14ac:dyDescent="0.2"/>
    <row r="6765" ht="12.75" hidden="1" x14ac:dyDescent="0.2"/>
    <row r="6766" ht="12.75" hidden="1" x14ac:dyDescent="0.2"/>
    <row r="6767" ht="12.75" hidden="1" x14ac:dyDescent="0.2"/>
    <row r="6768" ht="12.75" hidden="1" x14ac:dyDescent="0.2"/>
    <row r="6769" ht="12.75" hidden="1" x14ac:dyDescent="0.2"/>
    <row r="6770" ht="12.75" hidden="1" x14ac:dyDescent="0.2"/>
    <row r="6771" ht="12.75" hidden="1" x14ac:dyDescent="0.2"/>
    <row r="6772" ht="12.75" hidden="1" x14ac:dyDescent="0.2"/>
    <row r="6773" ht="12.75" hidden="1" x14ac:dyDescent="0.2"/>
    <row r="6774" ht="12.75" hidden="1" x14ac:dyDescent="0.2"/>
    <row r="6775" ht="12.75" hidden="1" x14ac:dyDescent="0.2"/>
    <row r="6776" ht="12.75" hidden="1" x14ac:dyDescent="0.2"/>
    <row r="6777" ht="12.75" hidden="1" x14ac:dyDescent="0.2"/>
    <row r="6778" ht="12.75" hidden="1" x14ac:dyDescent="0.2"/>
    <row r="6779" ht="12.75" hidden="1" x14ac:dyDescent="0.2"/>
    <row r="6780" ht="12.75" hidden="1" x14ac:dyDescent="0.2"/>
    <row r="6781" ht="12.75" hidden="1" x14ac:dyDescent="0.2"/>
    <row r="6782" ht="12.75" hidden="1" x14ac:dyDescent="0.2"/>
    <row r="6783" ht="12.75" hidden="1" x14ac:dyDescent="0.2"/>
    <row r="6784" ht="12.75" hidden="1" x14ac:dyDescent="0.2"/>
    <row r="6785" ht="12.75" hidden="1" x14ac:dyDescent="0.2"/>
    <row r="6786" ht="12.75" hidden="1" x14ac:dyDescent="0.2"/>
    <row r="6787" ht="12.75" hidden="1" x14ac:dyDescent="0.2"/>
    <row r="6788" ht="12.75" hidden="1" x14ac:dyDescent="0.2"/>
    <row r="6789" ht="12.75" hidden="1" x14ac:dyDescent="0.2"/>
    <row r="6790" ht="12.75" hidden="1" x14ac:dyDescent="0.2"/>
    <row r="6791" ht="12.75" hidden="1" x14ac:dyDescent="0.2"/>
    <row r="6792" ht="12.75" hidden="1" x14ac:dyDescent="0.2"/>
    <row r="6793" ht="12.75" hidden="1" x14ac:dyDescent="0.2"/>
    <row r="6794" ht="12.75" hidden="1" x14ac:dyDescent="0.2"/>
    <row r="6795" ht="12.75" hidden="1" x14ac:dyDescent="0.2"/>
    <row r="6796" ht="12.75" hidden="1" x14ac:dyDescent="0.2"/>
    <row r="6797" ht="12.75" hidden="1" x14ac:dyDescent="0.2"/>
    <row r="6798" ht="12.75" hidden="1" x14ac:dyDescent="0.2"/>
    <row r="6799" ht="12.75" hidden="1" x14ac:dyDescent="0.2"/>
    <row r="6800" ht="12.75" hidden="1" x14ac:dyDescent="0.2"/>
    <row r="6801" ht="12.75" hidden="1" x14ac:dyDescent="0.2"/>
    <row r="6802" ht="12.75" hidden="1" x14ac:dyDescent="0.2"/>
    <row r="6803" ht="12.75" hidden="1" x14ac:dyDescent="0.2"/>
    <row r="6804" ht="12.75" hidden="1" x14ac:dyDescent="0.2"/>
    <row r="6805" ht="12.75" hidden="1" x14ac:dyDescent="0.2"/>
    <row r="6806" ht="12.75" hidden="1" x14ac:dyDescent="0.2"/>
    <row r="6807" ht="12.75" hidden="1" x14ac:dyDescent="0.2"/>
    <row r="6808" ht="12.75" hidden="1" x14ac:dyDescent="0.2"/>
    <row r="6809" ht="12.75" hidden="1" x14ac:dyDescent="0.2"/>
    <row r="6810" ht="12.75" hidden="1" x14ac:dyDescent="0.2"/>
    <row r="6811" ht="12.75" hidden="1" x14ac:dyDescent="0.2"/>
    <row r="6812" ht="12.75" hidden="1" x14ac:dyDescent="0.2"/>
    <row r="6813" ht="12.75" hidden="1" x14ac:dyDescent="0.2"/>
    <row r="6814" ht="12.75" hidden="1" x14ac:dyDescent="0.2"/>
    <row r="6815" ht="12.75" hidden="1" x14ac:dyDescent="0.2"/>
    <row r="6816" ht="12.75" hidden="1" x14ac:dyDescent="0.2"/>
    <row r="6817" ht="12.75" hidden="1" x14ac:dyDescent="0.2"/>
    <row r="6818" ht="12.75" hidden="1" x14ac:dyDescent="0.2"/>
    <row r="6819" ht="12.75" hidden="1" x14ac:dyDescent="0.2"/>
    <row r="6820" ht="12.75" hidden="1" x14ac:dyDescent="0.2"/>
    <row r="6821" ht="12.75" hidden="1" x14ac:dyDescent="0.2"/>
    <row r="6822" ht="12.75" hidden="1" x14ac:dyDescent="0.2"/>
    <row r="6823" ht="12.75" hidden="1" x14ac:dyDescent="0.2"/>
    <row r="6824" ht="12.75" hidden="1" x14ac:dyDescent="0.2"/>
    <row r="6825" ht="12.75" hidden="1" x14ac:dyDescent="0.2"/>
    <row r="6826" ht="12.75" hidden="1" x14ac:dyDescent="0.2"/>
    <row r="6827" ht="12.75" hidden="1" x14ac:dyDescent="0.2"/>
    <row r="6828" ht="12.75" hidden="1" x14ac:dyDescent="0.2"/>
    <row r="6829" ht="12.75" hidden="1" x14ac:dyDescent="0.2"/>
    <row r="6830" ht="12.75" hidden="1" x14ac:dyDescent="0.2"/>
    <row r="6831" ht="12.75" hidden="1" x14ac:dyDescent="0.2"/>
    <row r="6832" ht="12.75" hidden="1" x14ac:dyDescent="0.2"/>
    <row r="6833" ht="12.75" hidden="1" x14ac:dyDescent="0.2"/>
    <row r="6834" ht="12.75" hidden="1" x14ac:dyDescent="0.2"/>
    <row r="6835" ht="12.75" hidden="1" x14ac:dyDescent="0.2"/>
    <row r="6836" ht="12.75" hidden="1" x14ac:dyDescent="0.2"/>
    <row r="6837" ht="12.75" hidden="1" x14ac:dyDescent="0.2"/>
    <row r="6838" ht="12.75" hidden="1" x14ac:dyDescent="0.2"/>
    <row r="6839" ht="12.75" hidden="1" x14ac:dyDescent="0.2"/>
    <row r="6840" ht="12.75" hidden="1" x14ac:dyDescent="0.2"/>
    <row r="6841" ht="12.75" hidden="1" x14ac:dyDescent="0.2"/>
    <row r="6842" ht="12.75" hidden="1" x14ac:dyDescent="0.2"/>
    <row r="6843" ht="12.75" hidden="1" x14ac:dyDescent="0.2"/>
    <row r="6844" ht="12.75" hidden="1" x14ac:dyDescent="0.2"/>
    <row r="6845" ht="12.75" hidden="1" x14ac:dyDescent="0.2"/>
    <row r="6846" ht="12.75" hidden="1" x14ac:dyDescent="0.2"/>
    <row r="6847" ht="12.75" hidden="1" x14ac:dyDescent="0.2"/>
    <row r="6848" ht="12.75" hidden="1" x14ac:dyDescent="0.2"/>
    <row r="6849" ht="12.75" hidden="1" x14ac:dyDescent="0.2"/>
    <row r="6850" ht="12.75" hidden="1" x14ac:dyDescent="0.2"/>
    <row r="6851" ht="12.75" hidden="1" x14ac:dyDescent="0.2"/>
    <row r="6852" ht="12.75" hidden="1" x14ac:dyDescent="0.2"/>
    <row r="6853" ht="12.75" hidden="1" x14ac:dyDescent="0.2"/>
    <row r="6854" ht="12.75" hidden="1" x14ac:dyDescent="0.2"/>
    <row r="6855" ht="12.75" hidden="1" x14ac:dyDescent="0.2"/>
    <row r="6856" ht="12.75" hidden="1" x14ac:dyDescent="0.2"/>
    <row r="6857" ht="12.75" hidden="1" x14ac:dyDescent="0.2"/>
    <row r="6858" ht="12.75" hidden="1" x14ac:dyDescent="0.2"/>
    <row r="6859" ht="12.75" hidden="1" x14ac:dyDescent="0.2"/>
    <row r="6860" ht="12.75" hidden="1" x14ac:dyDescent="0.2"/>
    <row r="6861" ht="12.75" hidden="1" x14ac:dyDescent="0.2"/>
    <row r="6862" ht="12.75" hidden="1" x14ac:dyDescent="0.2"/>
    <row r="6863" ht="12.75" hidden="1" x14ac:dyDescent="0.2"/>
    <row r="6864" ht="12.75" hidden="1" x14ac:dyDescent="0.2"/>
    <row r="6865" ht="12.75" hidden="1" x14ac:dyDescent="0.2"/>
    <row r="6866" ht="12.75" hidden="1" x14ac:dyDescent="0.2"/>
    <row r="6867" ht="12.75" hidden="1" x14ac:dyDescent="0.2"/>
    <row r="6868" ht="12.75" hidden="1" x14ac:dyDescent="0.2"/>
    <row r="6869" ht="12.75" hidden="1" x14ac:dyDescent="0.2"/>
    <row r="6870" ht="12.75" hidden="1" x14ac:dyDescent="0.2"/>
    <row r="6871" ht="12.75" hidden="1" x14ac:dyDescent="0.2"/>
    <row r="6872" ht="12.75" hidden="1" x14ac:dyDescent="0.2"/>
    <row r="6873" ht="12.75" hidden="1" x14ac:dyDescent="0.2"/>
    <row r="6874" ht="12.75" hidden="1" x14ac:dyDescent="0.2"/>
    <row r="6875" ht="12.75" hidden="1" x14ac:dyDescent="0.2"/>
    <row r="6876" ht="12.75" hidden="1" x14ac:dyDescent="0.2"/>
    <row r="6877" ht="12.75" hidden="1" x14ac:dyDescent="0.2"/>
    <row r="6878" ht="12.75" hidden="1" x14ac:dyDescent="0.2"/>
    <row r="6879" ht="12.75" hidden="1" x14ac:dyDescent="0.2"/>
    <row r="6880" ht="12.75" hidden="1" x14ac:dyDescent="0.2"/>
    <row r="6881" ht="12.75" hidden="1" x14ac:dyDescent="0.2"/>
    <row r="6882" ht="12.75" hidden="1" x14ac:dyDescent="0.2"/>
    <row r="6883" ht="12.75" hidden="1" x14ac:dyDescent="0.2"/>
    <row r="6884" ht="12.75" hidden="1" x14ac:dyDescent="0.2"/>
    <row r="6885" ht="12.75" hidden="1" x14ac:dyDescent="0.2"/>
    <row r="6886" ht="12.75" hidden="1" x14ac:dyDescent="0.2"/>
    <row r="6887" ht="12.75" hidden="1" x14ac:dyDescent="0.2"/>
    <row r="6888" ht="12.75" hidden="1" x14ac:dyDescent="0.2"/>
    <row r="6889" ht="12.75" hidden="1" x14ac:dyDescent="0.2"/>
    <row r="6890" ht="12.75" hidden="1" x14ac:dyDescent="0.2"/>
    <row r="6891" ht="12.75" hidden="1" x14ac:dyDescent="0.2"/>
    <row r="6892" ht="12.75" hidden="1" x14ac:dyDescent="0.2"/>
    <row r="6893" ht="12.75" hidden="1" x14ac:dyDescent="0.2"/>
    <row r="6894" ht="12.75" hidden="1" x14ac:dyDescent="0.2"/>
    <row r="6895" ht="12.75" hidden="1" x14ac:dyDescent="0.2"/>
    <row r="6896" ht="12.75" hidden="1" x14ac:dyDescent="0.2"/>
    <row r="6897" ht="12.75" hidden="1" x14ac:dyDescent="0.2"/>
    <row r="6898" ht="12.75" hidden="1" x14ac:dyDescent="0.2"/>
    <row r="6899" ht="12.75" hidden="1" x14ac:dyDescent="0.2"/>
    <row r="6900" ht="12.75" hidden="1" x14ac:dyDescent="0.2"/>
    <row r="6901" ht="12.75" hidden="1" x14ac:dyDescent="0.2"/>
    <row r="6902" ht="12.75" hidden="1" x14ac:dyDescent="0.2"/>
    <row r="6903" ht="12.75" hidden="1" x14ac:dyDescent="0.2"/>
    <row r="6904" ht="12.75" hidden="1" x14ac:dyDescent="0.2"/>
    <row r="6905" ht="12.75" hidden="1" x14ac:dyDescent="0.2"/>
    <row r="6906" ht="12.75" hidden="1" x14ac:dyDescent="0.2"/>
    <row r="6907" ht="12.75" hidden="1" x14ac:dyDescent="0.2"/>
    <row r="6908" ht="12.75" hidden="1" x14ac:dyDescent="0.2"/>
    <row r="6909" ht="12.75" hidden="1" x14ac:dyDescent="0.2"/>
    <row r="6910" ht="12.75" hidden="1" x14ac:dyDescent="0.2"/>
    <row r="6911" ht="12.75" hidden="1" x14ac:dyDescent="0.2"/>
    <row r="6912" ht="12.75" hidden="1" x14ac:dyDescent="0.2"/>
    <row r="6913" ht="12.75" hidden="1" x14ac:dyDescent="0.2"/>
    <row r="6914" ht="12.75" hidden="1" x14ac:dyDescent="0.2"/>
    <row r="6915" ht="12.75" hidden="1" x14ac:dyDescent="0.2"/>
    <row r="6916" ht="12.75" hidden="1" x14ac:dyDescent="0.2"/>
    <row r="6917" ht="12.75" hidden="1" x14ac:dyDescent="0.2"/>
    <row r="6918" ht="12.75" hidden="1" x14ac:dyDescent="0.2"/>
    <row r="6919" ht="12.75" hidden="1" x14ac:dyDescent="0.2"/>
    <row r="6920" ht="12.75" hidden="1" x14ac:dyDescent="0.2"/>
    <row r="6921" ht="12.75" hidden="1" x14ac:dyDescent="0.2"/>
    <row r="6922" ht="12.75" hidden="1" x14ac:dyDescent="0.2"/>
    <row r="6923" ht="12.75" hidden="1" x14ac:dyDescent="0.2"/>
    <row r="6924" ht="12.75" hidden="1" x14ac:dyDescent="0.2"/>
    <row r="6925" ht="12.75" hidden="1" x14ac:dyDescent="0.2"/>
    <row r="6926" ht="12.75" hidden="1" x14ac:dyDescent="0.2"/>
    <row r="6927" ht="12.75" hidden="1" x14ac:dyDescent="0.2"/>
    <row r="6928" ht="12.75" hidden="1" x14ac:dyDescent="0.2"/>
    <row r="6929" ht="12.75" hidden="1" x14ac:dyDescent="0.2"/>
    <row r="6930" ht="12.75" hidden="1" x14ac:dyDescent="0.2"/>
    <row r="6931" ht="12.75" hidden="1" x14ac:dyDescent="0.2"/>
    <row r="6932" ht="12.75" hidden="1" x14ac:dyDescent="0.2"/>
    <row r="6933" ht="12.75" hidden="1" x14ac:dyDescent="0.2"/>
    <row r="6934" ht="12.75" hidden="1" x14ac:dyDescent="0.2"/>
    <row r="6935" ht="12.75" hidden="1" x14ac:dyDescent="0.2"/>
    <row r="6936" ht="12.75" hidden="1" x14ac:dyDescent="0.2"/>
    <row r="6937" ht="12.75" hidden="1" x14ac:dyDescent="0.2"/>
    <row r="6938" ht="12.75" hidden="1" x14ac:dyDescent="0.2"/>
    <row r="6939" ht="12.75" hidden="1" x14ac:dyDescent="0.2"/>
    <row r="6940" ht="12.75" hidden="1" x14ac:dyDescent="0.2"/>
    <row r="6941" ht="12.75" hidden="1" x14ac:dyDescent="0.2"/>
    <row r="6942" ht="12.75" hidden="1" x14ac:dyDescent="0.2"/>
    <row r="6943" ht="12.75" hidden="1" x14ac:dyDescent="0.2"/>
    <row r="6944" ht="12.75" hidden="1" x14ac:dyDescent="0.2"/>
    <row r="6945" ht="12.75" hidden="1" x14ac:dyDescent="0.2"/>
    <row r="6946" ht="12.75" hidden="1" x14ac:dyDescent="0.2"/>
    <row r="6947" ht="12.75" hidden="1" x14ac:dyDescent="0.2"/>
    <row r="6948" ht="12.75" hidden="1" x14ac:dyDescent="0.2"/>
    <row r="6949" ht="12.75" hidden="1" x14ac:dyDescent="0.2"/>
    <row r="6950" ht="12.75" hidden="1" x14ac:dyDescent="0.2"/>
    <row r="6951" ht="12.75" hidden="1" x14ac:dyDescent="0.2"/>
    <row r="6952" ht="12.75" hidden="1" x14ac:dyDescent="0.2"/>
    <row r="6953" ht="12.75" hidden="1" x14ac:dyDescent="0.2"/>
    <row r="6954" ht="12.75" hidden="1" x14ac:dyDescent="0.2"/>
    <row r="6955" ht="12.75" hidden="1" x14ac:dyDescent="0.2"/>
    <row r="6956" ht="12.75" hidden="1" x14ac:dyDescent="0.2"/>
    <row r="6957" ht="12.75" hidden="1" x14ac:dyDescent="0.2"/>
    <row r="6958" ht="12.75" hidden="1" x14ac:dyDescent="0.2"/>
    <row r="6959" ht="12.75" hidden="1" x14ac:dyDescent="0.2"/>
    <row r="6960" ht="12.75" hidden="1" x14ac:dyDescent="0.2"/>
    <row r="6961" ht="12.75" hidden="1" x14ac:dyDescent="0.2"/>
    <row r="6962" ht="12.75" hidden="1" x14ac:dyDescent="0.2"/>
    <row r="6963" ht="12.75" hidden="1" x14ac:dyDescent="0.2"/>
    <row r="6964" ht="12.75" hidden="1" x14ac:dyDescent="0.2"/>
    <row r="6965" ht="12.75" hidden="1" x14ac:dyDescent="0.2"/>
    <row r="6966" ht="12.75" hidden="1" x14ac:dyDescent="0.2"/>
    <row r="6967" ht="12.75" hidden="1" x14ac:dyDescent="0.2"/>
    <row r="6968" ht="12.75" hidden="1" x14ac:dyDescent="0.2"/>
    <row r="6969" ht="12.75" hidden="1" x14ac:dyDescent="0.2"/>
    <row r="6970" ht="12.75" hidden="1" x14ac:dyDescent="0.2"/>
    <row r="6971" ht="12.75" hidden="1" x14ac:dyDescent="0.2"/>
    <row r="6972" ht="12.75" hidden="1" x14ac:dyDescent="0.2"/>
    <row r="6973" ht="12.75" hidden="1" x14ac:dyDescent="0.2"/>
    <row r="6974" ht="12.75" hidden="1" x14ac:dyDescent="0.2"/>
    <row r="6975" ht="12.75" hidden="1" x14ac:dyDescent="0.2"/>
    <row r="6976" ht="12.75" hidden="1" x14ac:dyDescent="0.2"/>
    <row r="6977" ht="12.75" hidden="1" x14ac:dyDescent="0.2"/>
    <row r="6978" ht="12.75" hidden="1" x14ac:dyDescent="0.2"/>
    <row r="6979" ht="12.75" hidden="1" x14ac:dyDescent="0.2"/>
    <row r="6980" ht="12.75" hidden="1" x14ac:dyDescent="0.2"/>
    <row r="6981" ht="12.75" hidden="1" x14ac:dyDescent="0.2"/>
    <row r="6982" ht="12.75" hidden="1" x14ac:dyDescent="0.2"/>
    <row r="6983" ht="12.75" hidden="1" x14ac:dyDescent="0.2"/>
    <row r="6984" ht="12.75" hidden="1" x14ac:dyDescent="0.2"/>
    <row r="6985" ht="12.75" hidden="1" x14ac:dyDescent="0.2"/>
    <row r="6986" ht="12.75" hidden="1" x14ac:dyDescent="0.2"/>
    <row r="6987" ht="12.75" hidden="1" x14ac:dyDescent="0.2"/>
    <row r="6988" ht="12.75" hidden="1" x14ac:dyDescent="0.2"/>
    <row r="6989" ht="12.75" hidden="1" x14ac:dyDescent="0.2"/>
    <row r="6990" ht="12.75" hidden="1" x14ac:dyDescent="0.2"/>
    <row r="6991" ht="12.75" hidden="1" x14ac:dyDescent="0.2"/>
    <row r="6992" ht="12.75" hidden="1" x14ac:dyDescent="0.2"/>
    <row r="6993" ht="12.75" hidden="1" x14ac:dyDescent="0.2"/>
    <row r="6994" ht="12.75" hidden="1" x14ac:dyDescent="0.2"/>
    <row r="6995" ht="12.75" hidden="1" x14ac:dyDescent="0.2"/>
    <row r="6996" ht="12.75" hidden="1" x14ac:dyDescent="0.2"/>
    <row r="6997" ht="12.75" hidden="1" x14ac:dyDescent="0.2"/>
    <row r="6998" ht="12.75" hidden="1" x14ac:dyDescent="0.2"/>
    <row r="6999" ht="12.75" hidden="1" x14ac:dyDescent="0.2"/>
    <row r="7000" ht="12.75" hidden="1" x14ac:dyDescent="0.2"/>
    <row r="7001" ht="12.75" hidden="1" x14ac:dyDescent="0.2"/>
    <row r="7002" ht="12.75" hidden="1" x14ac:dyDescent="0.2"/>
    <row r="7003" ht="12.75" hidden="1" x14ac:dyDescent="0.2"/>
    <row r="7004" ht="12.75" hidden="1" x14ac:dyDescent="0.2"/>
    <row r="7005" ht="12.75" hidden="1" x14ac:dyDescent="0.2"/>
    <row r="7006" ht="12.75" hidden="1" x14ac:dyDescent="0.2"/>
    <row r="7007" ht="12.75" hidden="1" x14ac:dyDescent="0.2"/>
    <row r="7008" ht="12.75" hidden="1" x14ac:dyDescent="0.2"/>
    <row r="7009" ht="12.75" hidden="1" x14ac:dyDescent="0.2"/>
    <row r="7010" ht="12.75" hidden="1" x14ac:dyDescent="0.2"/>
    <row r="7011" ht="12.75" hidden="1" x14ac:dyDescent="0.2"/>
    <row r="7012" ht="12.75" hidden="1" x14ac:dyDescent="0.2"/>
    <row r="7013" ht="12.75" hidden="1" x14ac:dyDescent="0.2"/>
    <row r="7014" ht="12.75" hidden="1" x14ac:dyDescent="0.2"/>
    <row r="7015" ht="12.75" hidden="1" x14ac:dyDescent="0.2"/>
    <row r="7016" ht="12.75" hidden="1" x14ac:dyDescent="0.2"/>
    <row r="7017" ht="12.75" hidden="1" x14ac:dyDescent="0.2"/>
    <row r="7018" ht="12.75" hidden="1" x14ac:dyDescent="0.2"/>
    <row r="7019" ht="12.75" hidden="1" x14ac:dyDescent="0.2"/>
    <row r="7020" ht="12.75" hidden="1" x14ac:dyDescent="0.2"/>
    <row r="7021" ht="12.75" hidden="1" x14ac:dyDescent="0.2"/>
    <row r="7022" ht="12.75" hidden="1" x14ac:dyDescent="0.2"/>
    <row r="7023" ht="12.75" hidden="1" x14ac:dyDescent="0.2"/>
    <row r="7024" ht="12.75" hidden="1" x14ac:dyDescent="0.2"/>
    <row r="7025" ht="12.75" hidden="1" x14ac:dyDescent="0.2"/>
    <row r="7026" ht="12.75" hidden="1" x14ac:dyDescent="0.2"/>
    <row r="7027" ht="12.75" hidden="1" x14ac:dyDescent="0.2"/>
    <row r="7028" ht="12.75" hidden="1" x14ac:dyDescent="0.2"/>
    <row r="7029" ht="12.75" hidden="1" x14ac:dyDescent="0.2"/>
    <row r="7030" ht="12.75" hidden="1" x14ac:dyDescent="0.2"/>
    <row r="7031" ht="12.75" hidden="1" x14ac:dyDescent="0.2"/>
    <row r="7032" ht="12.75" hidden="1" x14ac:dyDescent="0.2"/>
    <row r="7033" ht="12.75" hidden="1" x14ac:dyDescent="0.2"/>
    <row r="7034" ht="12.75" hidden="1" x14ac:dyDescent="0.2"/>
    <row r="7035" ht="12.75" hidden="1" x14ac:dyDescent="0.2"/>
    <row r="7036" ht="12.75" hidden="1" x14ac:dyDescent="0.2"/>
    <row r="7037" ht="12.75" hidden="1" x14ac:dyDescent="0.2"/>
    <row r="7038" ht="12.75" hidden="1" x14ac:dyDescent="0.2"/>
    <row r="7039" ht="12.75" hidden="1" x14ac:dyDescent="0.2"/>
    <row r="7040" ht="12.75" hidden="1" x14ac:dyDescent="0.2"/>
    <row r="7041" ht="12.75" hidden="1" x14ac:dyDescent="0.2"/>
    <row r="7042" ht="12.75" hidden="1" x14ac:dyDescent="0.2"/>
    <row r="7043" ht="12.75" hidden="1" x14ac:dyDescent="0.2"/>
    <row r="7044" ht="12.75" hidden="1" x14ac:dyDescent="0.2"/>
    <row r="7045" ht="12.75" hidden="1" x14ac:dyDescent="0.2"/>
    <row r="7046" ht="12.75" hidden="1" x14ac:dyDescent="0.2"/>
    <row r="7047" ht="12.75" hidden="1" x14ac:dyDescent="0.2"/>
    <row r="7048" ht="12.75" hidden="1" x14ac:dyDescent="0.2"/>
    <row r="7049" ht="12.75" hidden="1" x14ac:dyDescent="0.2"/>
    <row r="7050" ht="12.75" hidden="1" x14ac:dyDescent="0.2"/>
    <row r="7051" ht="12.75" hidden="1" x14ac:dyDescent="0.2"/>
    <row r="7052" ht="12.75" hidden="1" x14ac:dyDescent="0.2"/>
    <row r="7053" ht="12.75" hidden="1" x14ac:dyDescent="0.2"/>
    <row r="7054" ht="12.75" hidden="1" x14ac:dyDescent="0.2"/>
    <row r="7055" ht="12.75" hidden="1" x14ac:dyDescent="0.2"/>
    <row r="7056" ht="12.75" hidden="1" x14ac:dyDescent="0.2"/>
    <row r="7057" ht="12.75" hidden="1" x14ac:dyDescent="0.2"/>
    <row r="7058" ht="12.75" hidden="1" x14ac:dyDescent="0.2"/>
    <row r="7059" ht="12.75" hidden="1" x14ac:dyDescent="0.2"/>
    <row r="7060" ht="12.75" hidden="1" x14ac:dyDescent="0.2"/>
    <row r="7061" ht="12.75" hidden="1" x14ac:dyDescent="0.2"/>
    <row r="7062" ht="12.75" hidden="1" x14ac:dyDescent="0.2"/>
    <row r="7063" ht="12.75" hidden="1" x14ac:dyDescent="0.2"/>
    <row r="7064" ht="12.75" hidden="1" x14ac:dyDescent="0.2"/>
    <row r="7065" ht="12.75" hidden="1" x14ac:dyDescent="0.2"/>
    <row r="7066" ht="12.75" hidden="1" x14ac:dyDescent="0.2"/>
    <row r="7067" ht="12.75" hidden="1" x14ac:dyDescent="0.2"/>
    <row r="7068" ht="12.75" hidden="1" x14ac:dyDescent="0.2"/>
    <row r="7069" ht="12.75" hidden="1" x14ac:dyDescent="0.2"/>
    <row r="7070" ht="12.75" hidden="1" x14ac:dyDescent="0.2"/>
    <row r="7071" ht="12.75" hidden="1" x14ac:dyDescent="0.2"/>
    <row r="7072" ht="12.75" hidden="1" x14ac:dyDescent="0.2"/>
    <row r="7073" ht="12.75" hidden="1" x14ac:dyDescent="0.2"/>
    <row r="7074" ht="12.75" hidden="1" x14ac:dyDescent="0.2"/>
    <row r="7075" ht="12.75" hidden="1" x14ac:dyDescent="0.2"/>
    <row r="7076" ht="12.75" hidden="1" x14ac:dyDescent="0.2"/>
    <row r="7077" ht="12.75" hidden="1" x14ac:dyDescent="0.2"/>
    <row r="7078" ht="12.75" hidden="1" x14ac:dyDescent="0.2"/>
    <row r="7079" ht="12.75" hidden="1" x14ac:dyDescent="0.2"/>
    <row r="7080" ht="12.75" hidden="1" x14ac:dyDescent="0.2"/>
    <row r="7081" ht="12.75" hidden="1" x14ac:dyDescent="0.2"/>
    <row r="7082" ht="12.75" hidden="1" x14ac:dyDescent="0.2"/>
    <row r="7083" ht="12.75" hidden="1" x14ac:dyDescent="0.2"/>
    <row r="7084" ht="12.75" hidden="1" x14ac:dyDescent="0.2"/>
    <row r="7085" ht="12.75" hidden="1" x14ac:dyDescent="0.2"/>
    <row r="7086" ht="12.75" hidden="1" x14ac:dyDescent="0.2"/>
    <row r="7087" ht="12.75" hidden="1" x14ac:dyDescent="0.2"/>
    <row r="7088" ht="12.75" hidden="1" x14ac:dyDescent="0.2"/>
    <row r="7089" ht="12.75" hidden="1" x14ac:dyDescent="0.2"/>
    <row r="7090" ht="12.75" hidden="1" x14ac:dyDescent="0.2"/>
    <row r="7091" ht="12.75" hidden="1" x14ac:dyDescent="0.2"/>
    <row r="7092" ht="12.75" hidden="1" x14ac:dyDescent="0.2"/>
    <row r="7093" ht="12.75" hidden="1" x14ac:dyDescent="0.2"/>
    <row r="7094" ht="12.75" hidden="1" x14ac:dyDescent="0.2"/>
    <row r="7095" ht="12.75" hidden="1" x14ac:dyDescent="0.2"/>
    <row r="7096" ht="12.75" hidden="1" x14ac:dyDescent="0.2"/>
    <row r="7097" ht="12.75" hidden="1" x14ac:dyDescent="0.2"/>
    <row r="7098" ht="12.75" hidden="1" x14ac:dyDescent="0.2"/>
    <row r="7099" ht="12.75" hidden="1" x14ac:dyDescent="0.2"/>
    <row r="7100" ht="12.75" hidden="1" x14ac:dyDescent="0.2"/>
    <row r="7101" ht="12.75" hidden="1" x14ac:dyDescent="0.2"/>
    <row r="7102" ht="12.75" hidden="1" x14ac:dyDescent="0.2"/>
    <row r="7103" ht="12.75" hidden="1" x14ac:dyDescent="0.2"/>
    <row r="7104" ht="12.75" hidden="1" x14ac:dyDescent="0.2"/>
    <row r="7105" ht="12.75" hidden="1" x14ac:dyDescent="0.2"/>
    <row r="7106" ht="12.75" hidden="1" x14ac:dyDescent="0.2"/>
    <row r="7107" ht="12.75" hidden="1" x14ac:dyDescent="0.2"/>
    <row r="7108" ht="12.75" hidden="1" x14ac:dyDescent="0.2"/>
    <row r="7109" ht="12.75" hidden="1" x14ac:dyDescent="0.2"/>
    <row r="7110" ht="12.75" hidden="1" x14ac:dyDescent="0.2"/>
    <row r="7111" ht="12.75" hidden="1" x14ac:dyDescent="0.2"/>
    <row r="7112" ht="12.75" hidden="1" x14ac:dyDescent="0.2"/>
    <row r="7113" ht="12.75" hidden="1" x14ac:dyDescent="0.2"/>
    <row r="7114" ht="12.75" hidden="1" x14ac:dyDescent="0.2"/>
    <row r="7115" ht="12.75" hidden="1" x14ac:dyDescent="0.2"/>
    <row r="7116" ht="12.75" hidden="1" x14ac:dyDescent="0.2"/>
    <row r="7117" ht="12.75" hidden="1" x14ac:dyDescent="0.2"/>
    <row r="7118" ht="12.75" hidden="1" x14ac:dyDescent="0.2"/>
    <row r="7119" ht="12.75" hidden="1" x14ac:dyDescent="0.2"/>
    <row r="7120" ht="12.75" hidden="1" x14ac:dyDescent="0.2"/>
    <row r="7121" ht="12.75" hidden="1" x14ac:dyDescent="0.2"/>
    <row r="7122" ht="12.75" hidden="1" x14ac:dyDescent="0.2"/>
    <row r="7123" ht="12.75" hidden="1" x14ac:dyDescent="0.2"/>
    <row r="7124" ht="12.75" hidden="1" x14ac:dyDescent="0.2"/>
    <row r="7125" ht="12.75" hidden="1" x14ac:dyDescent="0.2"/>
    <row r="7126" ht="12.75" hidden="1" x14ac:dyDescent="0.2"/>
    <row r="7127" ht="12.75" hidden="1" x14ac:dyDescent="0.2"/>
    <row r="7128" ht="12.75" hidden="1" x14ac:dyDescent="0.2"/>
    <row r="7129" ht="12.75" hidden="1" x14ac:dyDescent="0.2"/>
    <row r="7130" ht="12.75" hidden="1" x14ac:dyDescent="0.2"/>
    <row r="7131" ht="12.75" hidden="1" x14ac:dyDescent="0.2"/>
    <row r="7132" ht="12.75" hidden="1" x14ac:dyDescent="0.2"/>
    <row r="7133" ht="12.75" hidden="1" x14ac:dyDescent="0.2"/>
    <row r="7134" ht="12.75" hidden="1" x14ac:dyDescent="0.2"/>
    <row r="7135" ht="12.75" hidden="1" x14ac:dyDescent="0.2"/>
    <row r="7136" ht="12.75" hidden="1" x14ac:dyDescent="0.2"/>
    <row r="7137" ht="12.75" hidden="1" x14ac:dyDescent="0.2"/>
    <row r="7138" ht="12.75" hidden="1" x14ac:dyDescent="0.2"/>
    <row r="7139" ht="12.75" hidden="1" x14ac:dyDescent="0.2"/>
    <row r="7140" ht="12.75" hidden="1" x14ac:dyDescent="0.2"/>
    <row r="7141" ht="12.75" hidden="1" x14ac:dyDescent="0.2"/>
    <row r="7142" ht="12.75" hidden="1" x14ac:dyDescent="0.2"/>
    <row r="7143" ht="12.75" hidden="1" x14ac:dyDescent="0.2"/>
    <row r="7144" ht="12.75" hidden="1" x14ac:dyDescent="0.2"/>
    <row r="7145" ht="12.75" hidden="1" x14ac:dyDescent="0.2"/>
    <row r="7146" ht="12.75" hidden="1" x14ac:dyDescent="0.2"/>
    <row r="7147" ht="12.75" hidden="1" x14ac:dyDescent="0.2"/>
    <row r="7148" ht="12.75" hidden="1" x14ac:dyDescent="0.2"/>
    <row r="7149" ht="12.75" hidden="1" x14ac:dyDescent="0.2"/>
    <row r="7150" ht="12.75" hidden="1" x14ac:dyDescent="0.2"/>
    <row r="7151" ht="12.75" hidden="1" x14ac:dyDescent="0.2"/>
    <row r="7152" ht="12.75" hidden="1" x14ac:dyDescent="0.2"/>
    <row r="7153" ht="12.75" hidden="1" x14ac:dyDescent="0.2"/>
    <row r="7154" ht="12.75" hidden="1" x14ac:dyDescent="0.2"/>
    <row r="7155" ht="12.75" hidden="1" x14ac:dyDescent="0.2"/>
    <row r="7156" ht="12.75" hidden="1" x14ac:dyDescent="0.2"/>
    <row r="7157" ht="12.75" hidden="1" x14ac:dyDescent="0.2"/>
    <row r="7158" ht="12.75" hidden="1" x14ac:dyDescent="0.2"/>
    <row r="7159" ht="12.75" hidden="1" x14ac:dyDescent="0.2"/>
    <row r="7160" ht="12.75" hidden="1" x14ac:dyDescent="0.2"/>
    <row r="7161" ht="12.75" hidden="1" x14ac:dyDescent="0.2"/>
    <row r="7162" ht="12.75" hidden="1" x14ac:dyDescent="0.2"/>
    <row r="7163" ht="12.75" hidden="1" x14ac:dyDescent="0.2"/>
    <row r="7164" ht="12.75" hidden="1" x14ac:dyDescent="0.2"/>
    <row r="7165" ht="12.75" hidden="1" x14ac:dyDescent="0.2"/>
    <row r="7166" ht="12.75" hidden="1" x14ac:dyDescent="0.2"/>
    <row r="7167" ht="12.75" hidden="1" x14ac:dyDescent="0.2"/>
    <row r="7168" ht="12.75" hidden="1" x14ac:dyDescent="0.2"/>
    <row r="7169" ht="12.75" hidden="1" x14ac:dyDescent="0.2"/>
    <row r="7170" ht="12.75" hidden="1" x14ac:dyDescent="0.2"/>
    <row r="7171" ht="12.75" hidden="1" x14ac:dyDescent="0.2"/>
    <row r="7172" ht="12.75" hidden="1" x14ac:dyDescent="0.2"/>
    <row r="7173" ht="12.75" hidden="1" x14ac:dyDescent="0.2"/>
    <row r="7174" ht="12.75" hidden="1" x14ac:dyDescent="0.2"/>
    <row r="7175" ht="12.75" hidden="1" x14ac:dyDescent="0.2"/>
    <row r="7176" ht="12.75" hidden="1" x14ac:dyDescent="0.2"/>
    <row r="7177" ht="12.75" hidden="1" x14ac:dyDescent="0.2"/>
    <row r="7178" ht="12.75" hidden="1" x14ac:dyDescent="0.2"/>
    <row r="7179" ht="12.75" hidden="1" x14ac:dyDescent="0.2"/>
    <row r="7180" ht="12.75" hidden="1" x14ac:dyDescent="0.2"/>
    <row r="7181" ht="12.75" hidden="1" x14ac:dyDescent="0.2"/>
    <row r="7182" ht="12.75" hidden="1" x14ac:dyDescent="0.2"/>
    <row r="7183" ht="12.75" hidden="1" x14ac:dyDescent="0.2"/>
    <row r="7184" ht="12.75" hidden="1" x14ac:dyDescent="0.2"/>
    <row r="7185" ht="12.75" hidden="1" x14ac:dyDescent="0.2"/>
    <row r="7186" ht="12.75" hidden="1" x14ac:dyDescent="0.2"/>
    <row r="7187" ht="12.75" hidden="1" x14ac:dyDescent="0.2"/>
    <row r="7188" ht="12.75" hidden="1" x14ac:dyDescent="0.2"/>
    <row r="7189" ht="12.75" hidden="1" x14ac:dyDescent="0.2"/>
    <row r="7190" ht="12.75" hidden="1" x14ac:dyDescent="0.2"/>
    <row r="7191" ht="12.75" hidden="1" x14ac:dyDescent="0.2"/>
    <row r="7192" ht="12.75" hidden="1" x14ac:dyDescent="0.2"/>
    <row r="7193" ht="12.75" hidden="1" x14ac:dyDescent="0.2"/>
    <row r="7194" ht="12.75" hidden="1" x14ac:dyDescent="0.2"/>
    <row r="7195" ht="12.75" hidden="1" x14ac:dyDescent="0.2"/>
    <row r="7196" ht="12.75" hidden="1" x14ac:dyDescent="0.2"/>
    <row r="7197" ht="12.75" hidden="1" x14ac:dyDescent="0.2"/>
    <row r="7198" ht="12.75" hidden="1" x14ac:dyDescent="0.2"/>
    <row r="7199" ht="12.75" hidden="1" x14ac:dyDescent="0.2"/>
    <row r="7200" ht="12.75" hidden="1" x14ac:dyDescent="0.2"/>
    <row r="7201" ht="12.75" hidden="1" x14ac:dyDescent="0.2"/>
    <row r="7202" ht="12.75" hidden="1" x14ac:dyDescent="0.2"/>
    <row r="7203" ht="12.75" hidden="1" x14ac:dyDescent="0.2"/>
    <row r="7204" ht="12.75" hidden="1" x14ac:dyDescent="0.2"/>
    <row r="7205" ht="12.75" hidden="1" x14ac:dyDescent="0.2"/>
    <row r="7206" ht="12.75" hidden="1" x14ac:dyDescent="0.2"/>
    <row r="7207" ht="12.75" hidden="1" x14ac:dyDescent="0.2"/>
    <row r="7208" ht="12.75" hidden="1" x14ac:dyDescent="0.2"/>
    <row r="7209" ht="12.75" hidden="1" x14ac:dyDescent="0.2"/>
    <row r="7210" ht="12.75" hidden="1" x14ac:dyDescent="0.2"/>
    <row r="7211" ht="12.75" hidden="1" x14ac:dyDescent="0.2"/>
    <row r="7212" ht="12.75" hidden="1" x14ac:dyDescent="0.2"/>
    <row r="7213" ht="12.75" hidden="1" x14ac:dyDescent="0.2"/>
    <row r="7214" ht="12.75" hidden="1" x14ac:dyDescent="0.2"/>
    <row r="7215" ht="12.75" hidden="1" x14ac:dyDescent="0.2"/>
    <row r="7216" ht="12.75" hidden="1" x14ac:dyDescent="0.2"/>
    <row r="7217" ht="12.75" hidden="1" x14ac:dyDescent="0.2"/>
    <row r="7218" ht="12.75" hidden="1" x14ac:dyDescent="0.2"/>
    <row r="7219" ht="12.75" hidden="1" x14ac:dyDescent="0.2"/>
    <row r="7220" ht="12.75" hidden="1" x14ac:dyDescent="0.2"/>
    <row r="7221" ht="12.75" hidden="1" x14ac:dyDescent="0.2"/>
    <row r="7222" ht="12.75" hidden="1" x14ac:dyDescent="0.2"/>
    <row r="7223" ht="12.75" hidden="1" x14ac:dyDescent="0.2"/>
    <row r="7224" ht="12.75" hidden="1" x14ac:dyDescent="0.2"/>
    <row r="7225" ht="12.75" hidden="1" x14ac:dyDescent="0.2"/>
    <row r="7226" ht="12.75" hidden="1" x14ac:dyDescent="0.2"/>
    <row r="7227" ht="12.75" hidden="1" x14ac:dyDescent="0.2"/>
    <row r="7228" ht="12.75" hidden="1" x14ac:dyDescent="0.2"/>
    <row r="7229" ht="12.75" hidden="1" x14ac:dyDescent="0.2"/>
    <row r="7230" ht="12.75" hidden="1" x14ac:dyDescent="0.2"/>
    <row r="7231" ht="12.75" hidden="1" x14ac:dyDescent="0.2"/>
    <row r="7232" ht="12.75" hidden="1" x14ac:dyDescent="0.2"/>
    <row r="7233" ht="12.75" hidden="1" x14ac:dyDescent="0.2"/>
    <row r="7234" ht="12.75" hidden="1" x14ac:dyDescent="0.2"/>
    <row r="7235" ht="12.75" hidden="1" x14ac:dyDescent="0.2"/>
    <row r="7236" ht="12.75" hidden="1" x14ac:dyDescent="0.2"/>
    <row r="7237" ht="12.75" hidden="1" x14ac:dyDescent="0.2"/>
    <row r="7238" ht="12.75" hidden="1" x14ac:dyDescent="0.2"/>
    <row r="7239" ht="12.75" hidden="1" x14ac:dyDescent="0.2"/>
    <row r="7240" ht="12.75" hidden="1" x14ac:dyDescent="0.2"/>
    <row r="7241" ht="12.75" hidden="1" x14ac:dyDescent="0.2"/>
    <row r="7242" ht="12.75" hidden="1" x14ac:dyDescent="0.2"/>
    <row r="7243" ht="12.75" hidden="1" x14ac:dyDescent="0.2"/>
    <row r="7244" ht="12.75" hidden="1" x14ac:dyDescent="0.2"/>
    <row r="7245" ht="12.75" hidden="1" x14ac:dyDescent="0.2"/>
    <row r="7246" ht="12.75" hidden="1" x14ac:dyDescent="0.2"/>
    <row r="7247" ht="12.75" hidden="1" x14ac:dyDescent="0.2"/>
    <row r="7248" ht="12.75" hidden="1" x14ac:dyDescent="0.2"/>
    <row r="7249" ht="12.75" hidden="1" x14ac:dyDescent="0.2"/>
    <row r="7250" ht="12.75" hidden="1" x14ac:dyDescent="0.2"/>
    <row r="7251" ht="12.75" hidden="1" x14ac:dyDescent="0.2"/>
    <row r="7252" ht="12.75" hidden="1" x14ac:dyDescent="0.2"/>
    <row r="7253" ht="12.75" hidden="1" x14ac:dyDescent="0.2"/>
    <row r="7254" ht="12.75" hidden="1" x14ac:dyDescent="0.2"/>
    <row r="7255" ht="12.75" hidden="1" x14ac:dyDescent="0.2"/>
    <row r="7256" ht="12.75" hidden="1" x14ac:dyDescent="0.2"/>
    <row r="7257" ht="12.75" hidden="1" x14ac:dyDescent="0.2"/>
    <row r="7258" ht="12.75" hidden="1" x14ac:dyDescent="0.2"/>
    <row r="7259" ht="12.75" hidden="1" x14ac:dyDescent="0.2"/>
    <row r="7260" ht="12.75" hidden="1" x14ac:dyDescent="0.2"/>
    <row r="7261" ht="12.75" hidden="1" x14ac:dyDescent="0.2"/>
    <row r="7262" ht="12.75" hidden="1" x14ac:dyDescent="0.2"/>
    <row r="7263" ht="12.75" hidden="1" x14ac:dyDescent="0.2"/>
    <row r="7264" ht="12.75" hidden="1" x14ac:dyDescent="0.2"/>
    <row r="7265" ht="12.75" hidden="1" x14ac:dyDescent="0.2"/>
    <row r="7266" ht="12.75" hidden="1" x14ac:dyDescent="0.2"/>
    <row r="7267" ht="12.75" hidden="1" x14ac:dyDescent="0.2"/>
    <row r="7268" ht="12.75" hidden="1" x14ac:dyDescent="0.2"/>
    <row r="7269" ht="12.75" hidden="1" x14ac:dyDescent="0.2"/>
    <row r="7270" ht="12.75" hidden="1" x14ac:dyDescent="0.2"/>
    <row r="7271" ht="12.75" hidden="1" x14ac:dyDescent="0.2"/>
    <row r="7272" ht="12.75" hidden="1" x14ac:dyDescent="0.2"/>
    <row r="7273" ht="12.75" hidden="1" x14ac:dyDescent="0.2"/>
    <row r="7274" ht="12.75" hidden="1" x14ac:dyDescent="0.2"/>
    <row r="7275" ht="12.75" hidden="1" x14ac:dyDescent="0.2"/>
    <row r="7276" ht="12.75" hidden="1" x14ac:dyDescent="0.2"/>
    <row r="7277" ht="12.75" hidden="1" x14ac:dyDescent="0.2"/>
    <row r="7278" ht="12.75" hidden="1" x14ac:dyDescent="0.2"/>
    <row r="7279" ht="12.75" hidden="1" x14ac:dyDescent="0.2"/>
    <row r="7280" ht="12.75" hidden="1" x14ac:dyDescent="0.2"/>
    <row r="7281" ht="12.75" hidden="1" x14ac:dyDescent="0.2"/>
    <row r="7282" ht="12.75" hidden="1" x14ac:dyDescent="0.2"/>
    <row r="7283" ht="12.75" hidden="1" x14ac:dyDescent="0.2"/>
    <row r="7284" ht="12.75" hidden="1" x14ac:dyDescent="0.2"/>
    <row r="7285" ht="12.75" hidden="1" x14ac:dyDescent="0.2"/>
    <row r="7286" ht="12.75" hidden="1" x14ac:dyDescent="0.2"/>
    <row r="7287" ht="12.75" hidden="1" x14ac:dyDescent="0.2"/>
    <row r="7288" ht="12.75" hidden="1" x14ac:dyDescent="0.2"/>
    <row r="7289" ht="12.75" hidden="1" x14ac:dyDescent="0.2"/>
    <row r="7290" ht="12.75" hidden="1" x14ac:dyDescent="0.2"/>
    <row r="7291" ht="12.75" hidden="1" x14ac:dyDescent="0.2"/>
    <row r="7292" ht="12.75" hidden="1" x14ac:dyDescent="0.2"/>
    <row r="7293" ht="12.75" hidden="1" x14ac:dyDescent="0.2"/>
    <row r="7294" ht="12.75" hidden="1" x14ac:dyDescent="0.2"/>
    <row r="7295" ht="12.75" hidden="1" x14ac:dyDescent="0.2"/>
    <row r="7296" ht="12.75" hidden="1" x14ac:dyDescent="0.2"/>
    <row r="7297" ht="12.75" hidden="1" x14ac:dyDescent="0.2"/>
    <row r="7298" ht="12.75" hidden="1" x14ac:dyDescent="0.2"/>
    <row r="7299" ht="12.75" hidden="1" x14ac:dyDescent="0.2"/>
    <row r="7300" ht="12.75" hidden="1" x14ac:dyDescent="0.2"/>
    <row r="7301" ht="12.75" hidden="1" x14ac:dyDescent="0.2"/>
    <row r="7302" ht="12.75" hidden="1" x14ac:dyDescent="0.2"/>
    <row r="7303" ht="12.75" hidden="1" x14ac:dyDescent="0.2"/>
    <row r="7304" ht="12.75" hidden="1" x14ac:dyDescent="0.2"/>
    <row r="7305" ht="12.75" hidden="1" x14ac:dyDescent="0.2"/>
    <row r="7306" ht="12.75" hidden="1" x14ac:dyDescent="0.2"/>
    <row r="7307" ht="12.75" hidden="1" x14ac:dyDescent="0.2"/>
    <row r="7308" ht="12.75" hidden="1" x14ac:dyDescent="0.2"/>
    <row r="7309" ht="12.75" hidden="1" x14ac:dyDescent="0.2"/>
    <row r="7310" ht="12.75" hidden="1" x14ac:dyDescent="0.2"/>
    <row r="7311" ht="12.75" hidden="1" x14ac:dyDescent="0.2"/>
    <row r="7312" ht="12.75" hidden="1" x14ac:dyDescent="0.2"/>
    <row r="7313" ht="12.75" hidden="1" x14ac:dyDescent="0.2"/>
    <row r="7314" ht="12.75" hidden="1" x14ac:dyDescent="0.2"/>
    <row r="7315" ht="12.75" hidden="1" x14ac:dyDescent="0.2"/>
    <row r="7316" ht="12.75" hidden="1" x14ac:dyDescent="0.2"/>
    <row r="7317" ht="12.75" hidden="1" x14ac:dyDescent="0.2"/>
    <row r="7318" ht="12.75" hidden="1" x14ac:dyDescent="0.2"/>
    <row r="7319" ht="12.75" hidden="1" x14ac:dyDescent="0.2"/>
    <row r="7320" ht="12.75" hidden="1" x14ac:dyDescent="0.2"/>
    <row r="7321" ht="12.75" hidden="1" x14ac:dyDescent="0.2"/>
    <row r="7322" ht="12.75" hidden="1" x14ac:dyDescent="0.2"/>
    <row r="7323" ht="12.75" hidden="1" x14ac:dyDescent="0.2"/>
    <row r="7324" ht="12.75" hidden="1" x14ac:dyDescent="0.2"/>
    <row r="7325" ht="12.75" hidden="1" x14ac:dyDescent="0.2"/>
    <row r="7326" ht="12.75" hidden="1" x14ac:dyDescent="0.2"/>
    <row r="7327" ht="12.75" hidden="1" x14ac:dyDescent="0.2"/>
    <row r="7328" ht="12.75" hidden="1" x14ac:dyDescent="0.2"/>
    <row r="7329" ht="12.75" hidden="1" x14ac:dyDescent="0.2"/>
    <row r="7330" ht="12.75" hidden="1" x14ac:dyDescent="0.2"/>
    <row r="7331" ht="12.75" hidden="1" x14ac:dyDescent="0.2"/>
    <row r="7332" ht="12.75" hidden="1" x14ac:dyDescent="0.2"/>
    <row r="7333" ht="12.75" hidden="1" x14ac:dyDescent="0.2"/>
    <row r="7334" ht="12.75" hidden="1" x14ac:dyDescent="0.2"/>
    <row r="7335" ht="12.75" hidden="1" x14ac:dyDescent="0.2"/>
    <row r="7336" ht="12.75" hidden="1" x14ac:dyDescent="0.2"/>
    <row r="7337" ht="12.75" hidden="1" x14ac:dyDescent="0.2"/>
    <row r="7338" ht="12.75" hidden="1" x14ac:dyDescent="0.2"/>
    <row r="7339" ht="12.75" hidden="1" x14ac:dyDescent="0.2"/>
    <row r="7340" ht="12.75" hidden="1" x14ac:dyDescent="0.2"/>
    <row r="7341" ht="12.75" hidden="1" x14ac:dyDescent="0.2"/>
    <row r="7342" ht="12.75" hidden="1" x14ac:dyDescent="0.2"/>
    <row r="7343" ht="12.75" hidden="1" x14ac:dyDescent="0.2"/>
    <row r="7344" ht="12.75" hidden="1" x14ac:dyDescent="0.2"/>
    <row r="7345" ht="12.75" hidden="1" x14ac:dyDescent="0.2"/>
    <row r="7346" ht="12.75" hidden="1" x14ac:dyDescent="0.2"/>
    <row r="7347" ht="12.75" hidden="1" x14ac:dyDescent="0.2"/>
    <row r="7348" ht="12.75" hidden="1" x14ac:dyDescent="0.2"/>
    <row r="7349" ht="12.75" hidden="1" x14ac:dyDescent="0.2"/>
    <row r="7350" ht="12.75" hidden="1" x14ac:dyDescent="0.2"/>
    <row r="7351" ht="12.75" hidden="1" x14ac:dyDescent="0.2"/>
    <row r="7352" ht="12.75" hidden="1" x14ac:dyDescent="0.2"/>
    <row r="7353" ht="12.75" hidden="1" x14ac:dyDescent="0.2"/>
    <row r="7354" ht="12.75" hidden="1" x14ac:dyDescent="0.2"/>
    <row r="7355" ht="12.75" hidden="1" x14ac:dyDescent="0.2"/>
    <row r="7356" ht="12.75" hidden="1" x14ac:dyDescent="0.2"/>
    <row r="7357" ht="12.75" hidden="1" x14ac:dyDescent="0.2"/>
    <row r="7358" ht="12.75" hidden="1" x14ac:dyDescent="0.2"/>
    <row r="7359" ht="12.75" hidden="1" x14ac:dyDescent="0.2"/>
    <row r="7360" ht="12.75" hidden="1" x14ac:dyDescent="0.2"/>
    <row r="7361" ht="12.75" hidden="1" x14ac:dyDescent="0.2"/>
    <row r="7362" ht="12.75" hidden="1" x14ac:dyDescent="0.2"/>
    <row r="7363" ht="12.75" hidden="1" x14ac:dyDescent="0.2"/>
    <row r="7364" ht="12.75" hidden="1" x14ac:dyDescent="0.2"/>
    <row r="7365" ht="12.75" hidden="1" x14ac:dyDescent="0.2"/>
    <row r="7366" ht="12.75" hidden="1" x14ac:dyDescent="0.2"/>
    <row r="7367" ht="12.75" hidden="1" x14ac:dyDescent="0.2"/>
    <row r="7368" ht="12.75" hidden="1" x14ac:dyDescent="0.2"/>
    <row r="7369" ht="12.75" hidden="1" x14ac:dyDescent="0.2"/>
    <row r="7370" ht="12.75" hidden="1" x14ac:dyDescent="0.2"/>
    <row r="7371" ht="12.75" hidden="1" x14ac:dyDescent="0.2"/>
    <row r="7372" ht="12.75" hidden="1" x14ac:dyDescent="0.2"/>
    <row r="7373" ht="12.75" hidden="1" x14ac:dyDescent="0.2"/>
    <row r="7374" ht="12.75" hidden="1" x14ac:dyDescent="0.2"/>
    <row r="7375" ht="12.75" hidden="1" x14ac:dyDescent="0.2"/>
    <row r="7376" ht="12.75" hidden="1" x14ac:dyDescent="0.2"/>
    <row r="7377" ht="12.75" hidden="1" x14ac:dyDescent="0.2"/>
    <row r="7378" ht="12.75" hidden="1" x14ac:dyDescent="0.2"/>
    <row r="7379" ht="12.75" hidden="1" x14ac:dyDescent="0.2"/>
    <row r="7380" ht="12.75" hidden="1" x14ac:dyDescent="0.2"/>
    <row r="7381" ht="12.75" hidden="1" x14ac:dyDescent="0.2"/>
    <row r="7382" ht="12.75" hidden="1" x14ac:dyDescent="0.2"/>
    <row r="7383" ht="12.75" hidden="1" x14ac:dyDescent="0.2"/>
    <row r="7384" ht="12.75" hidden="1" x14ac:dyDescent="0.2"/>
    <row r="7385" ht="12.75" hidden="1" x14ac:dyDescent="0.2"/>
    <row r="7386" ht="12.75" hidden="1" x14ac:dyDescent="0.2"/>
    <row r="7387" ht="12.75" hidden="1" x14ac:dyDescent="0.2"/>
    <row r="7388" ht="12.75" hidden="1" x14ac:dyDescent="0.2"/>
    <row r="7389" ht="12.75" hidden="1" x14ac:dyDescent="0.2"/>
    <row r="7390" ht="12.75" hidden="1" x14ac:dyDescent="0.2"/>
    <row r="7391" ht="12.75" hidden="1" x14ac:dyDescent="0.2"/>
    <row r="7392" ht="12.75" hidden="1" x14ac:dyDescent="0.2"/>
    <row r="7393" ht="12.75" hidden="1" x14ac:dyDescent="0.2"/>
    <row r="7394" ht="12.75" hidden="1" x14ac:dyDescent="0.2"/>
    <row r="7395" ht="12.75" hidden="1" x14ac:dyDescent="0.2"/>
    <row r="7396" ht="12.75" hidden="1" x14ac:dyDescent="0.2"/>
    <row r="7397" ht="12.75" hidden="1" x14ac:dyDescent="0.2"/>
    <row r="7398" ht="12.75" hidden="1" x14ac:dyDescent="0.2"/>
    <row r="7399" ht="12.75" hidden="1" x14ac:dyDescent="0.2"/>
    <row r="7400" ht="12.75" hidden="1" x14ac:dyDescent="0.2"/>
    <row r="7401" ht="12.75" hidden="1" x14ac:dyDescent="0.2"/>
    <row r="7402" ht="12.75" hidden="1" x14ac:dyDescent="0.2"/>
    <row r="7403" ht="12.75" hidden="1" x14ac:dyDescent="0.2"/>
    <row r="7404" ht="12.75" hidden="1" x14ac:dyDescent="0.2"/>
    <row r="7405" ht="12.75" hidden="1" x14ac:dyDescent="0.2"/>
    <row r="7406" ht="12.75" hidden="1" x14ac:dyDescent="0.2"/>
    <row r="7407" ht="12.75" hidden="1" x14ac:dyDescent="0.2"/>
    <row r="7408" ht="12.75" hidden="1" x14ac:dyDescent="0.2"/>
    <row r="7409" ht="12.75" hidden="1" x14ac:dyDescent="0.2"/>
    <row r="7410" ht="12.75" hidden="1" x14ac:dyDescent="0.2"/>
    <row r="7411" ht="12.75" hidden="1" x14ac:dyDescent="0.2"/>
    <row r="7412" ht="12.75" hidden="1" x14ac:dyDescent="0.2"/>
    <row r="7413" ht="12.75" hidden="1" x14ac:dyDescent="0.2"/>
    <row r="7414" ht="12.75" hidden="1" x14ac:dyDescent="0.2"/>
    <row r="7415" ht="12.75" hidden="1" x14ac:dyDescent="0.2"/>
    <row r="7416" ht="12.75" hidden="1" x14ac:dyDescent="0.2"/>
    <row r="7417" ht="12.75" hidden="1" x14ac:dyDescent="0.2"/>
    <row r="7418" ht="12.75" hidden="1" x14ac:dyDescent="0.2"/>
    <row r="7419" ht="12.75" hidden="1" x14ac:dyDescent="0.2"/>
    <row r="7420" ht="12.75" hidden="1" x14ac:dyDescent="0.2"/>
    <row r="7421" ht="12.75" hidden="1" x14ac:dyDescent="0.2"/>
    <row r="7422" ht="12.75" hidden="1" x14ac:dyDescent="0.2"/>
    <row r="7423" ht="12.75" hidden="1" x14ac:dyDescent="0.2"/>
    <row r="7424" ht="12.75" hidden="1" x14ac:dyDescent="0.2"/>
    <row r="7425" ht="12.75" hidden="1" x14ac:dyDescent="0.2"/>
    <row r="7426" ht="12.75" hidden="1" x14ac:dyDescent="0.2"/>
    <row r="7427" ht="12.75" hidden="1" x14ac:dyDescent="0.2"/>
    <row r="7428" ht="12.75" hidden="1" x14ac:dyDescent="0.2"/>
    <row r="7429" ht="12.75" hidden="1" x14ac:dyDescent="0.2"/>
    <row r="7430" ht="12.75" hidden="1" x14ac:dyDescent="0.2"/>
    <row r="7431" ht="12.75" hidden="1" x14ac:dyDescent="0.2"/>
    <row r="7432" ht="12.75" hidden="1" x14ac:dyDescent="0.2"/>
    <row r="7433" ht="12.75" hidden="1" x14ac:dyDescent="0.2"/>
    <row r="7434" ht="12.75" hidden="1" x14ac:dyDescent="0.2"/>
    <row r="7435" ht="12.75" hidden="1" x14ac:dyDescent="0.2"/>
    <row r="7436" ht="12.75" hidden="1" x14ac:dyDescent="0.2"/>
    <row r="7437" ht="12.75" hidden="1" x14ac:dyDescent="0.2"/>
    <row r="7438" ht="12.75" hidden="1" x14ac:dyDescent="0.2"/>
    <row r="7439" ht="12.75" hidden="1" x14ac:dyDescent="0.2"/>
    <row r="7440" ht="12.75" hidden="1" x14ac:dyDescent="0.2"/>
    <row r="7441" ht="12.75" hidden="1" x14ac:dyDescent="0.2"/>
    <row r="7442" ht="12.75" hidden="1" x14ac:dyDescent="0.2"/>
    <row r="7443" ht="12.75" hidden="1" x14ac:dyDescent="0.2"/>
    <row r="7444" ht="12.75" hidden="1" x14ac:dyDescent="0.2"/>
    <row r="7445" ht="12.75" hidden="1" x14ac:dyDescent="0.2"/>
    <row r="7446" ht="12.75" hidden="1" x14ac:dyDescent="0.2"/>
    <row r="7447" ht="12.75" hidden="1" x14ac:dyDescent="0.2"/>
    <row r="7448" ht="12.75" hidden="1" x14ac:dyDescent="0.2"/>
    <row r="7449" ht="12.75" hidden="1" x14ac:dyDescent="0.2"/>
    <row r="7450" ht="12.75" hidden="1" x14ac:dyDescent="0.2"/>
    <row r="7451" ht="12.75" hidden="1" x14ac:dyDescent="0.2"/>
    <row r="7452" ht="12.75" hidden="1" x14ac:dyDescent="0.2"/>
    <row r="7453" ht="12.75" hidden="1" x14ac:dyDescent="0.2"/>
    <row r="7454" ht="12.75" hidden="1" x14ac:dyDescent="0.2"/>
    <row r="7455" ht="12.75" hidden="1" x14ac:dyDescent="0.2"/>
    <row r="7456" ht="12.75" hidden="1" x14ac:dyDescent="0.2"/>
    <row r="7457" ht="12.75" hidden="1" x14ac:dyDescent="0.2"/>
    <row r="7458" ht="12.75" hidden="1" x14ac:dyDescent="0.2"/>
    <row r="7459" ht="12.75" hidden="1" x14ac:dyDescent="0.2"/>
    <row r="7460" ht="12.75" hidden="1" x14ac:dyDescent="0.2"/>
    <row r="7461" ht="12.75" hidden="1" x14ac:dyDescent="0.2"/>
    <row r="7462" ht="12.75" hidden="1" x14ac:dyDescent="0.2"/>
    <row r="7463" ht="12.75" hidden="1" x14ac:dyDescent="0.2"/>
    <row r="7464" ht="12.75" hidden="1" x14ac:dyDescent="0.2"/>
    <row r="7465" ht="12.75" hidden="1" x14ac:dyDescent="0.2"/>
    <row r="7466" ht="12.75" hidden="1" x14ac:dyDescent="0.2"/>
    <row r="7467" ht="12.75" hidden="1" x14ac:dyDescent="0.2"/>
    <row r="7468" ht="12.75" hidden="1" x14ac:dyDescent="0.2"/>
    <row r="7469" ht="12.75" hidden="1" x14ac:dyDescent="0.2"/>
    <row r="7470" ht="12.75" hidden="1" x14ac:dyDescent="0.2"/>
    <row r="7471" ht="12.75" hidden="1" x14ac:dyDescent="0.2"/>
    <row r="7472" ht="12.75" hidden="1" x14ac:dyDescent="0.2"/>
    <row r="7473" ht="12.75" hidden="1" x14ac:dyDescent="0.2"/>
    <row r="7474" ht="12.75" hidden="1" x14ac:dyDescent="0.2"/>
    <row r="7475" ht="12.75" hidden="1" x14ac:dyDescent="0.2"/>
    <row r="7476" ht="12.75" hidden="1" x14ac:dyDescent="0.2"/>
    <row r="7477" ht="12.75" hidden="1" x14ac:dyDescent="0.2"/>
    <row r="7478" ht="12.75" hidden="1" x14ac:dyDescent="0.2"/>
    <row r="7479" ht="12.75" hidden="1" x14ac:dyDescent="0.2"/>
    <row r="7480" ht="12.75" hidden="1" x14ac:dyDescent="0.2"/>
    <row r="7481" ht="12.75" hidden="1" x14ac:dyDescent="0.2"/>
    <row r="7482" ht="12.75" hidden="1" x14ac:dyDescent="0.2"/>
    <row r="7483" ht="12.75" hidden="1" x14ac:dyDescent="0.2"/>
    <row r="7484" ht="12.75" hidden="1" x14ac:dyDescent="0.2"/>
    <row r="7485" ht="12.75" hidden="1" x14ac:dyDescent="0.2"/>
    <row r="7486" ht="12.75" hidden="1" x14ac:dyDescent="0.2"/>
    <row r="7487" ht="12.75" hidden="1" x14ac:dyDescent="0.2"/>
    <row r="7488" ht="12.75" hidden="1" x14ac:dyDescent="0.2"/>
    <row r="7489" ht="12.75" hidden="1" x14ac:dyDescent="0.2"/>
    <row r="7490" ht="12.75" hidden="1" x14ac:dyDescent="0.2"/>
    <row r="7491" ht="12.75" hidden="1" x14ac:dyDescent="0.2"/>
    <row r="7492" ht="12.75" hidden="1" x14ac:dyDescent="0.2"/>
    <row r="7493" ht="12.75" hidden="1" x14ac:dyDescent="0.2"/>
    <row r="7494" ht="12.75" hidden="1" x14ac:dyDescent="0.2"/>
    <row r="7495" ht="12.75" hidden="1" x14ac:dyDescent="0.2"/>
    <row r="7496" ht="12.75" hidden="1" x14ac:dyDescent="0.2"/>
    <row r="7497" ht="12.75" hidden="1" x14ac:dyDescent="0.2"/>
    <row r="7498" ht="12.75" hidden="1" x14ac:dyDescent="0.2"/>
    <row r="7499" ht="12.75" hidden="1" x14ac:dyDescent="0.2"/>
    <row r="7500" ht="12.75" hidden="1" x14ac:dyDescent="0.2"/>
    <row r="7501" ht="12.75" hidden="1" x14ac:dyDescent="0.2"/>
    <row r="7502" ht="12.75" hidden="1" x14ac:dyDescent="0.2"/>
    <row r="7503" ht="12.75" hidden="1" x14ac:dyDescent="0.2"/>
    <row r="7504" ht="12.75" hidden="1" x14ac:dyDescent="0.2"/>
    <row r="7505" ht="12.75" hidden="1" x14ac:dyDescent="0.2"/>
    <row r="7506" ht="12.75" hidden="1" x14ac:dyDescent="0.2"/>
    <row r="7507" ht="12.75" hidden="1" x14ac:dyDescent="0.2"/>
    <row r="7508" ht="12.75" hidden="1" x14ac:dyDescent="0.2"/>
    <row r="7509" ht="12.75" hidden="1" x14ac:dyDescent="0.2"/>
    <row r="7510" ht="12.75" hidden="1" x14ac:dyDescent="0.2"/>
    <row r="7511" ht="12.75" hidden="1" x14ac:dyDescent="0.2"/>
    <row r="7512" ht="12.75" hidden="1" x14ac:dyDescent="0.2"/>
    <row r="7513" ht="12.75" hidden="1" x14ac:dyDescent="0.2"/>
    <row r="7514" ht="12.75" hidden="1" x14ac:dyDescent="0.2"/>
    <row r="7515" ht="12.75" hidden="1" x14ac:dyDescent="0.2"/>
    <row r="7516" ht="12.75" hidden="1" x14ac:dyDescent="0.2"/>
    <row r="7517" ht="12.75" hidden="1" x14ac:dyDescent="0.2"/>
    <row r="7518" ht="12.75" hidden="1" x14ac:dyDescent="0.2"/>
    <row r="7519" ht="12.75" hidden="1" x14ac:dyDescent="0.2"/>
    <row r="7520" ht="12.75" hidden="1" x14ac:dyDescent="0.2"/>
    <row r="7521" ht="12.75" hidden="1" x14ac:dyDescent="0.2"/>
    <row r="7522" ht="12.75" hidden="1" x14ac:dyDescent="0.2"/>
    <row r="7523" ht="12.75" hidden="1" x14ac:dyDescent="0.2"/>
    <row r="7524" ht="12.75" hidden="1" x14ac:dyDescent="0.2"/>
    <row r="7525" ht="12.75" hidden="1" x14ac:dyDescent="0.2"/>
    <row r="7526" ht="12.75" hidden="1" x14ac:dyDescent="0.2"/>
    <row r="7527" ht="12.75" hidden="1" x14ac:dyDescent="0.2"/>
    <row r="7528" ht="12.75" hidden="1" x14ac:dyDescent="0.2"/>
    <row r="7529" ht="12.75" hidden="1" x14ac:dyDescent="0.2"/>
    <row r="7530" ht="12.75" hidden="1" x14ac:dyDescent="0.2"/>
    <row r="7531" ht="12.75" hidden="1" x14ac:dyDescent="0.2"/>
    <row r="7532" ht="12.75" hidden="1" x14ac:dyDescent="0.2"/>
    <row r="7533" ht="12.75" hidden="1" x14ac:dyDescent="0.2"/>
    <row r="7534" ht="12.75" hidden="1" x14ac:dyDescent="0.2"/>
    <row r="7535" ht="12.75" hidden="1" x14ac:dyDescent="0.2"/>
    <row r="7536" ht="12.75" hidden="1" x14ac:dyDescent="0.2"/>
    <row r="7537" ht="12.75" hidden="1" x14ac:dyDescent="0.2"/>
    <row r="7538" ht="12.75" hidden="1" x14ac:dyDescent="0.2"/>
    <row r="7539" ht="12.75" hidden="1" x14ac:dyDescent="0.2"/>
    <row r="7540" ht="12.75" hidden="1" x14ac:dyDescent="0.2"/>
    <row r="7541" ht="12.75" hidden="1" x14ac:dyDescent="0.2"/>
    <row r="7542" ht="12.75" hidden="1" x14ac:dyDescent="0.2"/>
    <row r="7543" ht="12.75" hidden="1" x14ac:dyDescent="0.2"/>
    <row r="7544" ht="12.75" hidden="1" x14ac:dyDescent="0.2"/>
    <row r="7545" ht="12.75" hidden="1" x14ac:dyDescent="0.2"/>
    <row r="7546" ht="12.75" hidden="1" x14ac:dyDescent="0.2"/>
    <row r="7547" ht="12.75" hidden="1" x14ac:dyDescent="0.2"/>
    <row r="7548" ht="12.75" hidden="1" x14ac:dyDescent="0.2"/>
    <row r="7549" ht="12.75" hidden="1" x14ac:dyDescent="0.2"/>
    <row r="7550" ht="12.75" hidden="1" x14ac:dyDescent="0.2"/>
    <row r="7551" ht="12.75" hidden="1" x14ac:dyDescent="0.2"/>
    <row r="7552" ht="12.75" hidden="1" x14ac:dyDescent="0.2"/>
    <row r="7553" ht="12.75" hidden="1" x14ac:dyDescent="0.2"/>
    <row r="7554" ht="12.75" hidden="1" x14ac:dyDescent="0.2"/>
    <row r="7555" ht="12.75" hidden="1" x14ac:dyDescent="0.2"/>
    <row r="7556" ht="12.75" hidden="1" x14ac:dyDescent="0.2"/>
    <row r="7557" ht="12.75" hidden="1" x14ac:dyDescent="0.2"/>
    <row r="7558" ht="12.75" hidden="1" x14ac:dyDescent="0.2"/>
    <row r="7559" ht="12.75" hidden="1" x14ac:dyDescent="0.2"/>
    <row r="7560" ht="12.75" hidden="1" x14ac:dyDescent="0.2"/>
    <row r="7561" ht="12.75" hidden="1" x14ac:dyDescent="0.2"/>
    <row r="7562" ht="12.75" hidden="1" x14ac:dyDescent="0.2"/>
    <row r="7563" ht="12.75" hidden="1" x14ac:dyDescent="0.2"/>
    <row r="7564" ht="12.75" hidden="1" x14ac:dyDescent="0.2"/>
    <row r="7565" ht="12.75" hidden="1" x14ac:dyDescent="0.2"/>
    <row r="7566" ht="12.75" hidden="1" x14ac:dyDescent="0.2"/>
    <row r="7567" ht="12.75" hidden="1" x14ac:dyDescent="0.2"/>
    <row r="7568" ht="12.75" hidden="1" x14ac:dyDescent="0.2"/>
    <row r="7569" ht="12.75" hidden="1" x14ac:dyDescent="0.2"/>
    <row r="7570" ht="12.75" hidden="1" x14ac:dyDescent="0.2"/>
    <row r="7571" ht="12.75" hidden="1" x14ac:dyDescent="0.2"/>
    <row r="7572" ht="12.75" hidden="1" x14ac:dyDescent="0.2"/>
    <row r="7573" ht="12.75" hidden="1" x14ac:dyDescent="0.2"/>
    <row r="7574" ht="12.75" hidden="1" x14ac:dyDescent="0.2"/>
    <row r="7575" ht="12.75" hidden="1" x14ac:dyDescent="0.2"/>
    <row r="7576" ht="12.75" hidden="1" x14ac:dyDescent="0.2"/>
    <row r="7577" ht="12.75" hidden="1" x14ac:dyDescent="0.2"/>
    <row r="7578" ht="12.75" hidden="1" x14ac:dyDescent="0.2"/>
    <row r="7579" ht="12.75" hidden="1" x14ac:dyDescent="0.2"/>
    <row r="7580" ht="12.75" hidden="1" x14ac:dyDescent="0.2"/>
    <row r="7581" ht="12.75" hidden="1" x14ac:dyDescent="0.2"/>
    <row r="7582" ht="12.75" hidden="1" x14ac:dyDescent="0.2"/>
    <row r="7583" ht="12.75" hidden="1" x14ac:dyDescent="0.2"/>
    <row r="7584" ht="12.75" hidden="1" x14ac:dyDescent="0.2"/>
    <row r="7585" ht="12.75" hidden="1" x14ac:dyDescent="0.2"/>
    <row r="7586" ht="12.75" hidden="1" x14ac:dyDescent="0.2"/>
    <row r="7587" ht="12.75" hidden="1" x14ac:dyDescent="0.2"/>
    <row r="7588" ht="12.75" hidden="1" x14ac:dyDescent="0.2"/>
    <row r="7589" ht="12.75" hidden="1" x14ac:dyDescent="0.2"/>
    <row r="7590" ht="12.75" hidden="1" x14ac:dyDescent="0.2"/>
    <row r="7591" ht="12.75" hidden="1" x14ac:dyDescent="0.2"/>
    <row r="7592" ht="12.75" hidden="1" x14ac:dyDescent="0.2"/>
    <row r="7593" ht="12.75" hidden="1" x14ac:dyDescent="0.2"/>
    <row r="7594" ht="12.75" hidden="1" x14ac:dyDescent="0.2"/>
    <row r="7595" ht="12.75" hidden="1" x14ac:dyDescent="0.2"/>
    <row r="7596" ht="12.75" hidden="1" x14ac:dyDescent="0.2"/>
    <row r="7597" ht="12.75" hidden="1" x14ac:dyDescent="0.2"/>
    <row r="7598" ht="12.75" hidden="1" x14ac:dyDescent="0.2"/>
    <row r="7599" ht="12.75" hidden="1" x14ac:dyDescent="0.2"/>
    <row r="7600" ht="12.75" hidden="1" x14ac:dyDescent="0.2"/>
    <row r="7601" ht="12.75" hidden="1" x14ac:dyDescent="0.2"/>
    <row r="7602" ht="12.75" hidden="1" x14ac:dyDescent="0.2"/>
    <row r="7603" ht="12.75" hidden="1" x14ac:dyDescent="0.2"/>
    <row r="7604" ht="12.75" hidden="1" x14ac:dyDescent="0.2"/>
    <row r="7605" ht="12.75" hidden="1" x14ac:dyDescent="0.2"/>
    <row r="7606" ht="12.75" hidden="1" x14ac:dyDescent="0.2"/>
    <row r="7607" ht="12.75" hidden="1" x14ac:dyDescent="0.2"/>
    <row r="7608" ht="12.75" hidden="1" x14ac:dyDescent="0.2"/>
    <row r="7609" ht="12.75" hidden="1" x14ac:dyDescent="0.2"/>
    <row r="7610" ht="12.75" hidden="1" x14ac:dyDescent="0.2"/>
    <row r="7611" ht="12.75" hidden="1" x14ac:dyDescent="0.2"/>
    <row r="7612" ht="12.75" hidden="1" x14ac:dyDescent="0.2"/>
    <row r="7613" ht="12.75" hidden="1" x14ac:dyDescent="0.2"/>
    <row r="7614" ht="12.75" hidden="1" x14ac:dyDescent="0.2"/>
    <row r="7615" ht="12.75" hidden="1" x14ac:dyDescent="0.2"/>
    <row r="7616" ht="12.75" hidden="1" x14ac:dyDescent="0.2"/>
    <row r="7617" ht="12.75" hidden="1" x14ac:dyDescent="0.2"/>
    <row r="7618" ht="12.75" hidden="1" x14ac:dyDescent="0.2"/>
    <row r="7619" ht="12.75" hidden="1" x14ac:dyDescent="0.2"/>
    <row r="7620" ht="12.75" hidden="1" x14ac:dyDescent="0.2"/>
    <row r="7621" ht="12.75" hidden="1" x14ac:dyDescent="0.2"/>
    <row r="7622" ht="12.75" hidden="1" x14ac:dyDescent="0.2"/>
    <row r="7623" ht="12.75" hidden="1" x14ac:dyDescent="0.2"/>
    <row r="7624" ht="12.75" hidden="1" x14ac:dyDescent="0.2"/>
    <row r="7625" ht="12.75" hidden="1" x14ac:dyDescent="0.2"/>
    <row r="7626" ht="12.75" hidden="1" x14ac:dyDescent="0.2"/>
    <row r="7627" ht="12.75" hidden="1" x14ac:dyDescent="0.2"/>
    <row r="7628" ht="12.75" hidden="1" x14ac:dyDescent="0.2"/>
    <row r="7629" ht="12.75" hidden="1" x14ac:dyDescent="0.2"/>
    <row r="7630" ht="12.75" hidden="1" x14ac:dyDescent="0.2"/>
    <row r="7631" ht="12.75" hidden="1" x14ac:dyDescent="0.2"/>
    <row r="7632" ht="12.75" hidden="1" x14ac:dyDescent="0.2"/>
    <row r="7633" ht="12.75" hidden="1" x14ac:dyDescent="0.2"/>
    <row r="7634" ht="12.75" hidden="1" x14ac:dyDescent="0.2"/>
    <row r="7635" ht="12.75" hidden="1" x14ac:dyDescent="0.2"/>
    <row r="7636" ht="12.75" hidden="1" x14ac:dyDescent="0.2"/>
    <row r="7637" ht="12.75" hidden="1" x14ac:dyDescent="0.2"/>
    <row r="7638" ht="12.75" hidden="1" x14ac:dyDescent="0.2"/>
    <row r="7639" ht="12.75" hidden="1" x14ac:dyDescent="0.2"/>
    <row r="7640" ht="12.75" hidden="1" x14ac:dyDescent="0.2"/>
    <row r="7641" ht="12.75" hidden="1" x14ac:dyDescent="0.2"/>
    <row r="7642" ht="12.75" hidden="1" x14ac:dyDescent="0.2"/>
    <row r="7643" ht="12.75" hidden="1" x14ac:dyDescent="0.2"/>
    <row r="7644" ht="12.75" hidden="1" x14ac:dyDescent="0.2"/>
    <row r="7645" ht="12.75" hidden="1" x14ac:dyDescent="0.2"/>
    <row r="7646" ht="12.75" hidden="1" x14ac:dyDescent="0.2"/>
    <row r="7647" ht="12.75" hidden="1" x14ac:dyDescent="0.2"/>
    <row r="7648" ht="12.75" hidden="1" x14ac:dyDescent="0.2"/>
    <row r="7649" ht="12.75" hidden="1" x14ac:dyDescent="0.2"/>
    <row r="7650" ht="12.75" hidden="1" x14ac:dyDescent="0.2"/>
    <row r="7651" ht="12.75" hidden="1" x14ac:dyDescent="0.2"/>
    <row r="7652" ht="12.75" hidden="1" x14ac:dyDescent="0.2"/>
    <row r="7653" ht="12.75" hidden="1" x14ac:dyDescent="0.2"/>
    <row r="7654" ht="12.75" hidden="1" x14ac:dyDescent="0.2"/>
    <row r="7655" ht="12.75" hidden="1" x14ac:dyDescent="0.2"/>
    <row r="7656" ht="12.75" hidden="1" x14ac:dyDescent="0.2"/>
    <row r="7657" ht="12.75" hidden="1" x14ac:dyDescent="0.2"/>
    <row r="7658" ht="12.75" hidden="1" x14ac:dyDescent="0.2"/>
    <row r="7659" ht="12.75" hidden="1" x14ac:dyDescent="0.2"/>
    <row r="7660" ht="12.75" hidden="1" x14ac:dyDescent="0.2"/>
    <row r="7661" ht="12.75" hidden="1" x14ac:dyDescent="0.2"/>
    <row r="7662" ht="12.75" hidden="1" x14ac:dyDescent="0.2"/>
    <row r="7663" ht="12.75" hidden="1" x14ac:dyDescent="0.2"/>
    <row r="7664" ht="12.75" hidden="1" x14ac:dyDescent="0.2"/>
    <row r="7665" ht="12.75" hidden="1" x14ac:dyDescent="0.2"/>
    <row r="7666" ht="12.75" hidden="1" x14ac:dyDescent="0.2"/>
    <row r="7667" ht="12.75" hidden="1" x14ac:dyDescent="0.2"/>
    <row r="7668" ht="12.75" hidden="1" x14ac:dyDescent="0.2"/>
    <row r="7669" ht="12.75" hidden="1" x14ac:dyDescent="0.2"/>
    <row r="7670" ht="12.75" hidden="1" x14ac:dyDescent="0.2"/>
    <row r="7671" ht="12.75" hidden="1" x14ac:dyDescent="0.2"/>
    <row r="7672" ht="12.75" hidden="1" x14ac:dyDescent="0.2"/>
    <row r="7673" ht="12.75" hidden="1" x14ac:dyDescent="0.2"/>
    <row r="7674" ht="12.75" hidden="1" x14ac:dyDescent="0.2"/>
    <row r="7675" ht="12.75" hidden="1" x14ac:dyDescent="0.2"/>
    <row r="7676" ht="12.75" hidden="1" x14ac:dyDescent="0.2"/>
    <row r="7677" ht="12.75" hidden="1" x14ac:dyDescent="0.2"/>
    <row r="7678" ht="12.75" hidden="1" x14ac:dyDescent="0.2"/>
    <row r="7679" ht="12.75" hidden="1" x14ac:dyDescent="0.2"/>
    <row r="7680" ht="12.75" hidden="1" x14ac:dyDescent="0.2"/>
    <row r="7681" ht="12.75" hidden="1" x14ac:dyDescent="0.2"/>
    <row r="7682" ht="12.75" hidden="1" x14ac:dyDescent="0.2"/>
    <row r="7683" ht="12.75" hidden="1" x14ac:dyDescent="0.2"/>
    <row r="7684" ht="12.75" hidden="1" x14ac:dyDescent="0.2"/>
    <row r="7685" ht="12.75" hidden="1" x14ac:dyDescent="0.2"/>
    <row r="7686" ht="12.75" hidden="1" x14ac:dyDescent="0.2"/>
    <row r="7687" ht="12.75" hidden="1" x14ac:dyDescent="0.2"/>
    <row r="7688" ht="12.75" hidden="1" x14ac:dyDescent="0.2"/>
    <row r="7689" ht="12.75" hidden="1" x14ac:dyDescent="0.2"/>
    <row r="7690" ht="12.75" hidden="1" x14ac:dyDescent="0.2"/>
    <row r="7691" ht="12.75" hidden="1" x14ac:dyDescent="0.2"/>
    <row r="7692" ht="12.75" hidden="1" x14ac:dyDescent="0.2"/>
    <row r="7693" ht="12.75" hidden="1" x14ac:dyDescent="0.2"/>
    <row r="7694" ht="12.75" hidden="1" x14ac:dyDescent="0.2"/>
    <row r="7695" ht="12.75" hidden="1" x14ac:dyDescent="0.2"/>
    <row r="7696" ht="12.75" hidden="1" x14ac:dyDescent="0.2"/>
    <row r="7697" ht="12.75" hidden="1" x14ac:dyDescent="0.2"/>
    <row r="7698" ht="12.75" hidden="1" x14ac:dyDescent="0.2"/>
    <row r="7699" ht="12.75" hidden="1" x14ac:dyDescent="0.2"/>
    <row r="7700" ht="12.75" hidden="1" x14ac:dyDescent="0.2"/>
    <row r="7701" ht="12.75" hidden="1" x14ac:dyDescent="0.2"/>
    <row r="7702" ht="12.75" hidden="1" x14ac:dyDescent="0.2"/>
    <row r="7703" ht="12.75" hidden="1" x14ac:dyDescent="0.2"/>
    <row r="7704" ht="12.75" hidden="1" x14ac:dyDescent="0.2"/>
    <row r="7705" ht="12.75" hidden="1" x14ac:dyDescent="0.2"/>
    <row r="7706" ht="12.75" hidden="1" x14ac:dyDescent="0.2"/>
    <row r="7707" ht="12.75" hidden="1" x14ac:dyDescent="0.2"/>
    <row r="7708" ht="12.75" hidden="1" x14ac:dyDescent="0.2"/>
    <row r="7709" ht="12.75" hidden="1" x14ac:dyDescent="0.2"/>
    <row r="7710" ht="12.75" hidden="1" x14ac:dyDescent="0.2"/>
    <row r="7711" ht="12.75" hidden="1" x14ac:dyDescent="0.2"/>
    <row r="7712" ht="12.75" hidden="1" x14ac:dyDescent="0.2"/>
    <row r="7713" ht="12.75" hidden="1" x14ac:dyDescent="0.2"/>
    <row r="7714" ht="12.75" hidden="1" x14ac:dyDescent="0.2"/>
    <row r="7715" ht="12.75" hidden="1" x14ac:dyDescent="0.2"/>
    <row r="7716" ht="12.75" hidden="1" x14ac:dyDescent="0.2"/>
    <row r="7717" ht="12.75" hidden="1" x14ac:dyDescent="0.2"/>
    <row r="7718" ht="12.75" hidden="1" x14ac:dyDescent="0.2"/>
    <row r="7719" ht="12.75" hidden="1" x14ac:dyDescent="0.2"/>
    <row r="7720" ht="12.75" hidden="1" x14ac:dyDescent="0.2"/>
    <row r="7721" ht="12.75" hidden="1" x14ac:dyDescent="0.2"/>
    <row r="7722" ht="12.75" hidden="1" x14ac:dyDescent="0.2"/>
    <row r="7723" ht="12.75" hidden="1" x14ac:dyDescent="0.2"/>
    <row r="7724" ht="12.75" hidden="1" x14ac:dyDescent="0.2"/>
    <row r="7725" ht="12.75" hidden="1" x14ac:dyDescent="0.2"/>
    <row r="7726" ht="12.75" hidden="1" x14ac:dyDescent="0.2"/>
    <row r="7727" ht="12.75" hidden="1" x14ac:dyDescent="0.2"/>
    <row r="7728" ht="12.75" hidden="1" x14ac:dyDescent="0.2"/>
    <row r="7729" ht="12.75" hidden="1" x14ac:dyDescent="0.2"/>
    <row r="7730" ht="12.75" hidden="1" x14ac:dyDescent="0.2"/>
    <row r="7731" ht="12.75" hidden="1" x14ac:dyDescent="0.2"/>
    <row r="7732" ht="12.75" hidden="1" x14ac:dyDescent="0.2"/>
    <row r="7733" ht="12.75" hidden="1" x14ac:dyDescent="0.2"/>
    <row r="7734" ht="12.75" hidden="1" x14ac:dyDescent="0.2"/>
    <row r="7735" ht="12.75" hidden="1" x14ac:dyDescent="0.2"/>
    <row r="7736" ht="12.75" hidden="1" x14ac:dyDescent="0.2"/>
    <row r="7737" ht="12.75" hidden="1" x14ac:dyDescent="0.2"/>
    <row r="7738" ht="12.75" hidden="1" x14ac:dyDescent="0.2"/>
    <row r="7739" ht="12.75" hidden="1" x14ac:dyDescent="0.2"/>
    <row r="7740" ht="12.75" hidden="1" x14ac:dyDescent="0.2"/>
    <row r="7741" ht="12.75" hidden="1" x14ac:dyDescent="0.2"/>
    <row r="7742" ht="12.75" hidden="1" x14ac:dyDescent="0.2"/>
    <row r="7743" ht="12.75" hidden="1" x14ac:dyDescent="0.2"/>
    <row r="7744" ht="12.75" hidden="1" x14ac:dyDescent="0.2"/>
    <row r="7745" ht="12.75" hidden="1" x14ac:dyDescent="0.2"/>
    <row r="7746" ht="12.75" hidden="1" x14ac:dyDescent="0.2"/>
    <row r="7747" ht="12.75" hidden="1" x14ac:dyDescent="0.2"/>
    <row r="7748" ht="12.75" hidden="1" x14ac:dyDescent="0.2"/>
    <row r="7749" ht="12.75" hidden="1" x14ac:dyDescent="0.2"/>
    <row r="7750" ht="12.75" hidden="1" x14ac:dyDescent="0.2"/>
    <row r="7751" ht="12.75" hidden="1" x14ac:dyDescent="0.2"/>
    <row r="7752" ht="12.75" hidden="1" x14ac:dyDescent="0.2"/>
    <row r="7753" ht="12.75" hidden="1" x14ac:dyDescent="0.2"/>
    <row r="7754" ht="12.75" hidden="1" x14ac:dyDescent="0.2"/>
    <row r="7755" ht="12.75" hidden="1" x14ac:dyDescent="0.2"/>
    <row r="7756" ht="12.75" hidden="1" x14ac:dyDescent="0.2"/>
    <row r="7757" ht="12.75" hidden="1" x14ac:dyDescent="0.2"/>
    <row r="7758" ht="12.75" hidden="1" x14ac:dyDescent="0.2"/>
    <row r="7759" ht="12.75" hidden="1" x14ac:dyDescent="0.2"/>
    <row r="7760" ht="12.75" hidden="1" x14ac:dyDescent="0.2"/>
    <row r="7761" ht="12.75" hidden="1" x14ac:dyDescent="0.2"/>
    <row r="7762" ht="12.75" hidden="1" x14ac:dyDescent="0.2"/>
    <row r="7763" ht="12.75" hidden="1" x14ac:dyDescent="0.2"/>
    <row r="7764" ht="12.75" hidden="1" x14ac:dyDescent="0.2"/>
    <row r="7765" ht="12.75" hidden="1" x14ac:dyDescent="0.2"/>
    <row r="7766" ht="12.75" hidden="1" x14ac:dyDescent="0.2"/>
    <row r="7767" ht="12.75" hidden="1" x14ac:dyDescent="0.2"/>
    <row r="7768" ht="12.75" hidden="1" x14ac:dyDescent="0.2"/>
    <row r="7769" ht="12.75" hidden="1" x14ac:dyDescent="0.2"/>
    <row r="7770" ht="12.75" hidden="1" x14ac:dyDescent="0.2"/>
    <row r="7771" ht="12.75" hidden="1" x14ac:dyDescent="0.2"/>
    <row r="7772" ht="12.75" hidden="1" x14ac:dyDescent="0.2"/>
    <row r="7773" ht="12.75" hidden="1" x14ac:dyDescent="0.2"/>
    <row r="7774" ht="12.75" hidden="1" x14ac:dyDescent="0.2"/>
    <row r="7775" ht="12.75" hidden="1" x14ac:dyDescent="0.2"/>
    <row r="7776" ht="12.75" hidden="1" x14ac:dyDescent="0.2"/>
    <row r="7777" ht="12.75" hidden="1" x14ac:dyDescent="0.2"/>
    <row r="7778" ht="12.75" hidden="1" x14ac:dyDescent="0.2"/>
    <row r="7779" ht="12.75" hidden="1" x14ac:dyDescent="0.2"/>
    <row r="7780" ht="12.75" hidden="1" x14ac:dyDescent="0.2"/>
    <row r="7781" ht="12.75" hidden="1" x14ac:dyDescent="0.2"/>
    <row r="7782" ht="12.75" hidden="1" x14ac:dyDescent="0.2"/>
    <row r="7783" ht="12.75" hidden="1" x14ac:dyDescent="0.2"/>
    <row r="7784" ht="12.75" hidden="1" x14ac:dyDescent="0.2"/>
    <row r="7785" ht="12.75" hidden="1" x14ac:dyDescent="0.2"/>
    <row r="7786" ht="12.75" hidden="1" x14ac:dyDescent="0.2"/>
    <row r="7787" ht="12.75" hidden="1" x14ac:dyDescent="0.2"/>
    <row r="7788" ht="12.75" hidden="1" x14ac:dyDescent="0.2"/>
    <row r="7789" ht="12.75" hidden="1" x14ac:dyDescent="0.2"/>
    <row r="7790" ht="12.75" hidden="1" x14ac:dyDescent="0.2"/>
    <row r="7791" ht="12.75" hidden="1" x14ac:dyDescent="0.2"/>
    <row r="7792" ht="12.75" hidden="1" x14ac:dyDescent="0.2"/>
    <row r="7793" ht="12.75" hidden="1" x14ac:dyDescent="0.2"/>
    <row r="7794" ht="12.75" hidden="1" x14ac:dyDescent="0.2"/>
    <row r="7795" ht="12.75" hidden="1" x14ac:dyDescent="0.2"/>
    <row r="7796" ht="12.75" hidden="1" x14ac:dyDescent="0.2"/>
    <row r="7797" ht="12.75" hidden="1" x14ac:dyDescent="0.2"/>
    <row r="7798" ht="12.75" hidden="1" x14ac:dyDescent="0.2"/>
    <row r="7799" ht="12.75" hidden="1" x14ac:dyDescent="0.2"/>
    <row r="7800" ht="12.75" hidden="1" x14ac:dyDescent="0.2"/>
    <row r="7801" ht="12.75" hidden="1" x14ac:dyDescent="0.2"/>
    <row r="7802" ht="12.75" hidden="1" x14ac:dyDescent="0.2"/>
    <row r="7803" ht="12.75" hidden="1" x14ac:dyDescent="0.2"/>
    <row r="7804" ht="12.75" hidden="1" x14ac:dyDescent="0.2"/>
    <row r="7805" ht="12.75" hidden="1" x14ac:dyDescent="0.2"/>
    <row r="7806" ht="12.75" hidden="1" x14ac:dyDescent="0.2"/>
    <row r="7807" ht="12.75" hidden="1" x14ac:dyDescent="0.2"/>
    <row r="7808" ht="12.75" hidden="1" x14ac:dyDescent="0.2"/>
    <row r="7809" ht="12.75" hidden="1" x14ac:dyDescent="0.2"/>
    <row r="7810" ht="12.75" hidden="1" x14ac:dyDescent="0.2"/>
    <row r="7811" ht="12.75" hidden="1" x14ac:dyDescent="0.2"/>
    <row r="7812" ht="12.75" hidden="1" x14ac:dyDescent="0.2"/>
    <row r="7813" ht="12.75" hidden="1" x14ac:dyDescent="0.2"/>
    <row r="7814" ht="12.75" hidden="1" x14ac:dyDescent="0.2"/>
    <row r="7815" ht="12.75" hidden="1" x14ac:dyDescent="0.2"/>
    <row r="7816" ht="12.75" hidden="1" x14ac:dyDescent="0.2"/>
    <row r="7817" ht="12.75" hidden="1" x14ac:dyDescent="0.2"/>
    <row r="7818" ht="12.75" hidden="1" x14ac:dyDescent="0.2"/>
    <row r="7819" ht="12.75" hidden="1" x14ac:dyDescent="0.2"/>
    <row r="7820" ht="12.75" hidden="1" x14ac:dyDescent="0.2"/>
    <row r="7821" ht="12.75" hidden="1" x14ac:dyDescent="0.2"/>
    <row r="7822" ht="12.75" hidden="1" x14ac:dyDescent="0.2"/>
    <row r="7823" ht="12.75" hidden="1" x14ac:dyDescent="0.2"/>
    <row r="7824" ht="12.75" hidden="1" x14ac:dyDescent="0.2"/>
    <row r="7825" ht="12.75" hidden="1" x14ac:dyDescent="0.2"/>
    <row r="7826" ht="12.75" hidden="1" x14ac:dyDescent="0.2"/>
    <row r="7827" ht="12.75" hidden="1" x14ac:dyDescent="0.2"/>
    <row r="7828" ht="12.75" hidden="1" x14ac:dyDescent="0.2"/>
    <row r="7829" ht="12.75" hidden="1" x14ac:dyDescent="0.2"/>
    <row r="7830" ht="12.75" hidden="1" x14ac:dyDescent="0.2"/>
    <row r="7831" ht="12.75" hidden="1" x14ac:dyDescent="0.2"/>
    <row r="7832" ht="12.75" hidden="1" x14ac:dyDescent="0.2"/>
    <row r="7833" ht="12.75" hidden="1" x14ac:dyDescent="0.2"/>
    <row r="7834" ht="12.75" hidden="1" x14ac:dyDescent="0.2"/>
    <row r="7835" ht="12.75" hidden="1" x14ac:dyDescent="0.2"/>
    <row r="7836" ht="12.75" hidden="1" x14ac:dyDescent="0.2"/>
    <row r="7837" ht="12.75" hidden="1" x14ac:dyDescent="0.2"/>
    <row r="7838" ht="12.75" hidden="1" x14ac:dyDescent="0.2"/>
    <row r="7839" ht="12.75" hidden="1" x14ac:dyDescent="0.2"/>
    <row r="7840" ht="12.75" hidden="1" x14ac:dyDescent="0.2"/>
    <row r="7841" ht="12.75" hidden="1" x14ac:dyDescent="0.2"/>
    <row r="7842" ht="12.75" hidden="1" x14ac:dyDescent="0.2"/>
    <row r="7843" ht="12.75" hidden="1" x14ac:dyDescent="0.2"/>
    <row r="7844" ht="12.75" hidden="1" x14ac:dyDescent="0.2"/>
    <row r="7845" ht="12.75" hidden="1" x14ac:dyDescent="0.2"/>
    <row r="7846" ht="12.75" hidden="1" x14ac:dyDescent="0.2"/>
    <row r="7847" ht="12.75" hidden="1" x14ac:dyDescent="0.2"/>
    <row r="7848" ht="12.75" hidden="1" x14ac:dyDescent="0.2"/>
    <row r="7849" ht="12.75" hidden="1" x14ac:dyDescent="0.2"/>
    <row r="7850" ht="12.75" hidden="1" x14ac:dyDescent="0.2"/>
    <row r="7851" ht="12.75" hidden="1" x14ac:dyDescent="0.2"/>
    <row r="7852" ht="12.75" hidden="1" x14ac:dyDescent="0.2"/>
    <row r="7853" ht="12.75" hidden="1" x14ac:dyDescent="0.2"/>
    <row r="7854" ht="12.75" hidden="1" x14ac:dyDescent="0.2"/>
    <row r="7855" ht="12.75" hidden="1" x14ac:dyDescent="0.2"/>
    <row r="7856" ht="12.75" hidden="1" x14ac:dyDescent="0.2"/>
    <row r="7857" ht="12.75" hidden="1" x14ac:dyDescent="0.2"/>
    <row r="7858" ht="12.75" hidden="1" x14ac:dyDescent="0.2"/>
    <row r="7859" ht="12.75" hidden="1" x14ac:dyDescent="0.2"/>
    <row r="7860" ht="12.75" hidden="1" x14ac:dyDescent="0.2"/>
    <row r="7861" ht="12.75" hidden="1" x14ac:dyDescent="0.2"/>
    <row r="7862" ht="12.75" hidden="1" x14ac:dyDescent="0.2"/>
    <row r="7863" ht="12.75" hidden="1" x14ac:dyDescent="0.2"/>
    <row r="7864" ht="12.75" hidden="1" x14ac:dyDescent="0.2"/>
    <row r="7865" ht="12.75" hidden="1" x14ac:dyDescent="0.2"/>
    <row r="7866" ht="12.75" hidden="1" x14ac:dyDescent="0.2"/>
    <row r="7867" ht="12.75" hidden="1" x14ac:dyDescent="0.2"/>
    <row r="7868" ht="12.75" hidden="1" x14ac:dyDescent="0.2"/>
    <row r="7869" ht="12.75" hidden="1" x14ac:dyDescent="0.2"/>
    <row r="7870" ht="12.75" hidden="1" x14ac:dyDescent="0.2"/>
    <row r="7871" ht="12.75" hidden="1" x14ac:dyDescent="0.2"/>
    <row r="7872" ht="12.75" hidden="1" x14ac:dyDescent="0.2"/>
    <row r="7873" ht="12.75" hidden="1" x14ac:dyDescent="0.2"/>
    <row r="7874" ht="12.75" hidden="1" x14ac:dyDescent="0.2"/>
    <row r="7875" ht="12.75" hidden="1" x14ac:dyDescent="0.2"/>
    <row r="7876" ht="12.75" hidden="1" x14ac:dyDescent="0.2"/>
    <row r="7877" ht="12.75" hidden="1" x14ac:dyDescent="0.2"/>
    <row r="7878" ht="12.75" hidden="1" x14ac:dyDescent="0.2"/>
    <row r="7879" ht="12.75" hidden="1" x14ac:dyDescent="0.2"/>
    <row r="7880" ht="12.75" hidden="1" x14ac:dyDescent="0.2"/>
    <row r="7881" ht="12.75" hidden="1" x14ac:dyDescent="0.2"/>
    <row r="7882" ht="12.75" hidden="1" x14ac:dyDescent="0.2"/>
    <row r="7883" ht="12.75" hidden="1" x14ac:dyDescent="0.2"/>
    <row r="7884" ht="12.75" hidden="1" x14ac:dyDescent="0.2"/>
    <row r="7885" ht="12.75" hidden="1" x14ac:dyDescent="0.2"/>
    <row r="7886" ht="12.75" hidden="1" x14ac:dyDescent="0.2"/>
    <row r="7887" ht="12.75" hidden="1" x14ac:dyDescent="0.2"/>
    <row r="7888" ht="12.75" hidden="1" x14ac:dyDescent="0.2"/>
    <row r="7889" ht="12.75" hidden="1" x14ac:dyDescent="0.2"/>
    <row r="7890" ht="12.75" hidden="1" x14ac:dyDescent="0.2"/>
    <row r="7891" ht="12.75" hidden="1" x14ac:dyDescent="0.2"/>
    <row r="7892" ht="12.75" hidden="1" x14ac:dyDescent="0.2"/>
    <row r="7893" ht="12.75" hidden="1" x14ac:dyDescent="0.2"/>
    <row r="7894" ht="12.75" hidden="1" x14ac:dyDescent="0.2"/>
    <row r="7895" ht="12.75" hidden="1" x14ac:dyDescent="0.2"/>
    <row r="7896" ht="12.75" hidden="1" x14ac:dyDescent="0.2"/>
    <row r="7897" ht="12.75" hidden="1" x14ac:dyDescent="0.2"/>
    <row r="7898" ht="12.75" hidden="1" x14ac:dyDescent="0.2"/>
    <row r="7899" ht="12.75" hidden="1" x14ac:dyDescent="0.2"/>
    <row r="7900" ht="12.75" hidden="1" x14ac:dyDescent="0.2"/>
    <row r="7901" ht="12.75" hidden="1" x14ac:dyDescent="0.2"/>
    <row r="7902" ht="12.75" hidden="1" x14ac:dyDescent="0.2"/>
    <row r="7903" ht="12.75" hidden="1" x14ac:dyDescent="0.2"/>
    <row r="7904" ht="12.75" hidden="1" x14ac:dyDescent="0.2"/>
    <row r="7905" ht="12.75" hidden="1" x14ac:dyDescent="0.2"/>
    <row r="7906" ht="12.75" hidden="1" x14ac:dyDescent="0.2"/>
    <row r="7907" ht="12.75" hidden="1" x14ac:dyDescent="0.2"/>
    <row r="7908" ht="12.75" hidden="1" x14ac:dyDescent="0.2"/>
    <row r="7909" ht="12.75" hidden="1" x14ac:dyDescent="0.2"/>
    <row r="7910" ht="12.75" hidden="1" x14ac:dyDescent="0.2"/>
    <row r="7911" ht="12.75" hidden="1" x14ac:dyDescent="0.2"/>
    <row r="7912" ht="12.75" hidden="1" x14ac:dyDescent="0.2"/>
    <row r="7913" ht="12.75" hidden="1" x14ac:dyDescent="0.2"/>
    <row r="7914" ht="12.75" hidden="1" x14ac:dyDescent="0.2"/>
    <row r="7915" ht="12.75" hidden="1" x14ac:dyDescent="0.2"/>
    <row r="7916" ht="12.75" hidden="1" x14ac:dyDescent="0.2"/>
    <row r="7917" ht="12.75" hidden="1" x14ac:dyDescent="0.2"/>
    <row r="7918" ht="12.75" hidden="1" x14ac:dyDescent="0.2"/>
    <row r="7919" ht="12.75" hidden="1" x14ac:dyDescent="0.2"/>
    <row r="7920" ht="12.75" hidden="1" x14ac:dyDescent="0.2"/>
    <row r="7921" ht="12.75" hidden="1" x14ac:dyDescent="0.2"/>
    <row r="7922" ht="12.75" hidden="1" x14ac:dyDescent="0.2"/>
    <row r="7923" ht="12.75" hidden="1" x14ac:dyDescent="0.2"/>
    <row r="7924" ht="12.75" hidden="1" x14ac:dyDescent="0.2"/>
    <row r="7925" ht="12.75" hidden="1" x14ac:dyDescent="0.2"/>
    <row r="7926" ht="12.75" hidden="1" x14ac:dyDescent="0.2"/>
    <row r="7927" ht="12.75" hidden="1" x14ac:dyDescent="0.2"/>
    <row r="7928" ht="12.75" hidden="1" x14ac:dyDescent="0.2"/>
    <row r="7929" ht="12.75" hidden="1" x14ac:dyDescent="0.2"/>
    <row r="7930" ht="12.75" hidden="1" x14ac:dyDescent="0.2"/>
    <row r="7931" ht="12.75" hidden="1" x14ac:dyDescent="0.2"/>
    <row r="7932" ht="12.75" hidden="1" x14ac:dyDescent="0.2"/>
    <row r="7933" ht="12.75" hidden="1" x14ac:dyDescent="0.2"/>
    <row r="7934" ht="12.75" hidden="1" x14ac:dyDescent="0.2"/>
    <row r="7935" ht="12.75" hidden="1" x14ac:dyDescent="0.2"/>
    <row r="7936" ht="12.75" hidden="1" x14ac:dyDescent="0.2"/>
    <row r="7937" ht="12.75" hidden="1" x14ac:dyDescent="0.2"/>
    <row r="7938" ht="12.75" hidden="1" x14ac:dyDescent="0.2"/>
    <row r="7939" ht="12.75" hidden="1" x14ac:dyDescent="0.2"/>
    <row r="7940" ht="12.75" hidden="1" x14ac:dyDescent="0.2"/>
    <row r="7941" ht="12.75" hidden="1" x14ac:dyDescent="0.2"/>
    <row r="7942" ht="12.75" hidden="1" x14ac:dyDescent="0.2"/>
    <row r="7943" ht="12.75" hidden="1" x14ac:dyDescent="0.2"/>
    <row r="7944" ht="12.75" hidden="1" x14ac:dyDescent="0.2"/>
    <row r="7945" ht="12.75" hidden="1" x14ac:dyDescent="0.2"/>
    <row r="7946" ht="12.75" hidden="1" x14ac:dyDescent="0.2"/>
    <row r="7947" ht="12.75" hidden="1" x14ac:dyDescent="0.2"/>
    <row r="7948" ht="12.75" hidden="1" x14ac:dyDescent="0.2"/>
    <row r="7949" ht="12.75" hidden="1" x14ac:dyDescent="0.2"/>
    <row r="7950" ht="12.75" hidden="1" x14ac:dyDescent="0.2"/>
    <row r="7951" ht="12.75" hidden="1" x14ac:dyDescent="0.2"/>
    <row r="7952" ht="12.75" hidden="1" x14ac:dyDescent="0.2"/>
    <row r="7953" ht="12.75" hidden="1" x14ac:dyDescent="0.2"/>
    <row r="7954" ht="12.75" hidden="1" x14ac:dyDescent="0.2"/>
    <row r="7955" ht="12.75" hidden="1" x14ac:dyDescent="0.2"/>
    <row r="7956" ht="12.75" hidden="1" x14ac:dyDescent="0.2"/>
    <row r="7957" ht="12.75" hidden="1" x14ac:dyDescent="0.2"/>
    <row r="7958" ht="12.75" hidden="1" x14ac:dyDescent="0.2"/>
    <row r="7959" ht="12.75" hidden="1" x14ac:dyDescent="0.2"/>
    <row r="7960" ht="12.75" hidden="1" x14ac:dyDescent="0.2"/>
    <row r="7961" ht="12.75" hidden="1" x14ac:dyDescent="0.2"/>
    <row r="7962" ht="12.75" hidden="1" x14ac:dyDescent="0.2"/>
    <row r="7963" ht="12.75" hidden="1" x14ac:dyDescent="0.2"/>
    <row r="7964" ht="12.75" hidden="1" x14ac:dyDescent="0.2"/>
    <row r="7965" ht="12.75" hidden="1" x14ac:dyDescent="0.2"/>
    <row r="7966" ht="12.75" hidden="1" x14ac:dyDescent="0.2"/>
    <row r="7967" ht="12.75" hidden="1" x14ac:dyDescent="0.2"/>
    <row r="7968" ht="12.75" hidden="1" x14ac:dyDescent="0.2"/>
    <row r="7969" ht="12.75" hidden="1" x14ac:dyDescent="0.2"/>
    <row r="7970" ht="12.75" hidden="1" x14ac:dyDescent="0.2"/>
    <row r="7971" ht="12.75" hidden="1" x14ac:dyDescent="0.2"/>
    <row r="7972" ht="12.75" hidden="1" x14ac:dyDescent="0.2"/>
    <row r="7973" ht="12.75" hidden="1" x14ac:dyDescent="0.2"/>
    <row r="7974" ht="12.75" hidden="1" x14ac:dyDescent="0.2"/>
    <row r="7975" ht="12.75" hidden="1" x14ac:dyDescent="0.2"/>
    <row r="7976" ht="12.75" hidden="1" x14ac:dyDescent="0.2"/>
    <row r="7977" ht="12.75" hidden="1" x14ac:dyDescent="0.2"/>
    <row r="7978" ht="12.75" hidden="1" x14ac:dyDescent="0.2"/>
    <row r="7979" ht="12.75" hidden="1" x14ac:dyDescent="0.2"/>
    <row r="7980" ht="12.75" hidden="1" x14ac:dyDescent="0.2"/>
    <row r="7981" ht="12.75" hidden="1" x14ac:dyDescent="0.2"/>
    <row r="7982" ht="12.75" hidden="1" x14ac:dyDescent="0.2"/>
    <row r="7983" ht="12.75" hidden="1" x14ac:dyDescent="0.2"/>
    <row r="7984" ht="12.75" hidden="1" x14ac:dyDescent="0.2"/>
    <row r="7985" ht="12.75" hidden="1" x14ac:dyDescent="0.2"/>
    <row r="7986" ht="12.75" hidden="1" x14ac:dyDescent="0.2"/>
    <row r="7987" ht="12.75" hidden="1" x14ac:dyDescent="0.2"/>
    <row r="7988" ht="12.75" hidden="1" x14ac:dyDescent="0.2"/>
    <row r="7989" ht="12.75" hidden="1" x14ac:dyDescent="0.2"/>
    <row r="7990" ht="12.75" hidden="1" x14ac:dyDescent="0.2"/>
    <row r="7991" ht="12.75" hidden="1" x14ac:dyDescent="0.2"/>
    <row r="7992" ht="12.75" hidden="1" x14ac:dyDescent="0.2"/>
    <row r="7993" ht="12.75" hidden="1" x14ac:dyDescent="0.2"/>
    <row r="7994" ht="12.75" hidden="1" x14ac:dyDescent="0.2"/>
    <row r="7995" ht="12.75" hidden="1" x14ac:dyDescent="0.2"/>
    <row r="7996" ht="12.75" hidden="1" x14ac:dyDescent="0.2"/>
    <row r="7997" ht="12.75" hidden="1" x14ac:dyDescent="0.2"/>
    <row r="7998" ht="12.75" hidden="1" x14ac:dyDescent="0.2"/>
    <row r="7999" ht="12.75" hidden="1" x14ac:dyDescent="0.2"/>
    <row r="8000" ht="12.75" hidden="1" x14ac:dyDescent="0.2"/>
    <row r="8001" ht="12.75" hidden="1" x14ac:dyDescent="0.2"/>
    <row r="8002" ht="12.75" hidden="1" x14ac:dyDescent="0.2"/>
    <row r="8003" ht="12.75" hidden="1" x14ac:dyDescent="0.2"/>
    <row r="8004" ht="12.75" hidden="1" x14ac:dyDescent="0.2"/>
    <row r="8005" ht="12.75" hidden="1" x14ac:dyDescent="0.2"/>
    <row r="8006" ht="12.75" hidden="1" x14ac:dyDescent="0.2"/>
    <row r="8007" ht="12.75" hidden="1" x14ac:dyDescent="0.2"/>
    <row r="8008" ht="12.75" hidden="1" x14ac:dyDescent="0.2"/>
    <row r="8009" ht="12.75" hidden="1" x14ac:dyDescent="0.2"/>
    <row r="8010" ht="12.75" hidden="1" x14ac:dyDescent="0.2"/>
    <row r="8011" ht="12.75" hidden="1" x14ac:dyDescent="0.2"/>
    <row r="8012" ht="12.75" hidden="1" x14ac:dyDescent="0.2"/>
    <row r="8013" ht="12.75" hidden="1" x14ac:dyDescent="0.2"/>
    <row r="8014" ht="12.75" hidden="1" x14ac:dyDescent="0.2"/>
    <row r="8015" ht="12.75" hidden="1" x14ac:dyDescent="0.2"/>
    <row r="8016" ht="12.75" hidden="1" x14ac:dyDescent="0.2"/>
    <row r="8017" ht="12.75" hidden="1" x14ac:dyDescent="0.2"/>
    <row r="8018" ht="12.75" hidden="1" x14ac:dyDescent="0.2"/>
    <row r="8019" ht="12.75" hidden="1" x14ac:dyDescent="0.2"/>
    <row r="8020" ht="12.75" hidden="1" x14ac:dyDescent="0.2"/>
    <row r="8021" ht="12.75" hidden="1" x14ac:dyDescent="0.2"/>
    <row r="8022" ht="12.75" hidden="1" x14ac:dyDescent="0.2"/>
    <row r="8023" ht="12.75" hidden="1" x14ac:dyDescent="0.2"/>
    <row r="8024" ht="12.75" hidden="1" x14ac:dyDescent="0.2"/>
    <row r="8025" ht="12.75" hidden="1" x14ac:dyDescent="0.2"/>
    <row r="8026" ht="12.75" hidden="1" x14ac:dyDescent="0.2"/>
    <row r="8027" ht="12.75" hidden="1" x14ac:dyDescent="0.2"/>
    <row r="8028" ht="12.75" hidden="1" x14ac:dyDescent="0.2"/>
    <row r="8029" ht="12.75" hidden="1" x14ac:dyDescent="0.2"/>
    <row r="8030" ht="12.75" hidden="1" x14ac:dyDescent="0.2"/>
    <row r="8031" ht="12.75" hidden="1" x14ac:dyDescent="0.2"/>
    <row r="8032" ht="12.75" hidden="1" x14ac:dyDescent="0.2"/>
    <row r="8033" ht="12.75" hidden="1" x14ac:dyDescent="0.2"/>
    <row r="8034" ht="12.75" hidden="1" x14ac:dyDescent="0.2"/>
    <row r="8035" ht="12.75" hidden="1" x14ac:dyDescent="0.2"/>
    <row r="8036" ht="12.75" hidden="1" x14ac:dyDescent="0.2"/>
    <row r="8037" ht="12.75" hidden="1" x14ac:dyDescent="0.2"/>
    <row r="8038" ht="12.75" hidden="1" x14ac:dyDescent="0.2"/>
    <row r="8039" ht="12.75" hidden="1" x14ac:dyDescent="0.2"/>
    <row r="8040" ht="12.75" hidden="1" x14ac:dyDescent="0.2"/>
    <row r="8041" ht="12.75" hidden="1" x14ac:dyDescent="0.2"/>
    <row r="8042" ht="12.75" hidden="1" x14ac:dyDescent="0.2"/>
    <row r="8043" ht="12.75" hidden="1" x14ac:dyDescent="0.2"/>
    <row r="8044" ht="12.75" hidden="1" x14ac:dyDescent="0.2"/>
    <row r="8045" ht="12.75" hidden="1" x14ac:dyDescent="0.2"/>
    <row r="8046" ht="12.75" hidden="1" x14ac:dyDescent="0.2"/>
    <row r="8047" ht="12.75" hidden="1" x14ac:dyDescent="0.2"/>
    <row r="8048" ht="12.75" hidden="1" x14ac:dyDescent="0.2"/>
    <row r="8049" ht="12.75" hidden="1" x14ac:dyDescent="0.2"/>
    <row r="8050" ht="12.75" hidden="1" x14ac:dyDescent="0.2"/>
    <row r="8051" ht="12.75" hidden="1" x14ac:dyDescent="0.2"/>
    <row r="8052" ht="12.75" hidden="1" x14ac:dyDescent="0.2"/>
    <row r="8053" ht="12.75" hidden="1" x14ac:dyDescent="0.2"/>
    <row r="8054" ht="12.75" hidden="1" x14ac:dyDescent="0.2"/>
    <row r="8055" ht="12.75" hidden="1" x14ac:dyDescent="0.2"/>
    <row r="8056" ht="12.75" hidden="1" x14ac:dyDescent="0.2"/>
    <row r="8057" ht="12.75" hidden="1" x14ac:dyDescent="0.2"/>
    <row r="8058" ht="12.75" hidden="1" x14ac:dyDescent="0.2"/>
    <row r="8059" ht="12.75" hidden="1" x14ac:dyDescent="0.2"/>
    <row r="8060" ht="12.75" hidden="1" x14ac:dyDescent="0.2"/>
    <row r="8061" ht="12.75" hidden="1" x14ac:dyDescent="0.2"/>
    <row r="8062" ht="12.75" hidden="1" x14ac:dyDescent="0.2"/>
    <row r="8063" ht="12.75" hidden="1" x14ac:dyDescent="0.2"/>
    <row r="8064" ht="12.75" hidden="1" x14ac:dyDescent="0.2"/>
    <row r="8065" ht="12.75" hidden="1" x14ac:dyDescent="0.2"/>
    <row r="8066" ht="12.75" hidden="1" x14ac:dyDescent="0.2"/>
    <row r="8067" ht="12.75" hidden="1" x14ac:dyDescent="0.2"/>
    <row r="8068" ht="12.75" hidden="1" x14ac:dyDescent="0.2"/>
    <row r="8069" ht="12.75" hidden="1" x14ac:dyDescent="0.2"/>
    <row r="8070" ht="12.75" hidden="1" x14ac:dyDescent="0.2"/>
    <row r="8071" ht="12.75" hidden="1" x14ac:dyDescent="0.2"/>
    <row r="8072" ht="12.75" hidden="1" x14ac:dyDescent="0.2"/>
    <row r="8073" ht="12.75" hidden="1" x14ac:dyDescent="0.2"/>
    <row r="8074" ht="12.75" hidden="1" x14ac:dyDescent="0.2"/>
    <row r="8075" ht="12.75" hidden="1" x14ac:dyDescent="0.2"/>
    <row r="8076" ht="12.75" hidden="1" x14ac:dyDescent="0.2"/>
    <row r="8077" ht="12.75" hidden="1" x14ac:dyDescent="0.2"/>
    <row r="8078" ht="12.75" hidden="1" x14ac:dyDescent="0.2"/>
    <row r="8079" ht="12.75" hidden="1" x14ac:dyDescent="0.2"/>
    <row r="8080" ht="12.75" hidden="1" x14ac:dyDescent="0.2"/>
    <row r="8081" ht="12.75" hidden="1" x14ac:dyDescent="0.2"/>
    <row r="8082" ht="12.75" hidden="1" x14ac:dyDescent="0.2"/>
    <row r="8083" ht="12.75" hidden="1" x14ac:dyDescent="0.2"/>
    <row r="8084" ht="12.75" hidden="1" x14ac:dyDescent="0.2"/>
    <row r="8085" ht="12.75" hidden="1" x14ac:dyDescent="0.2"/>
    <row r="8086" ht="12.75" hidden="1" x14ac:dyDescent="0.2"/>
    <row r="8087" ht="12.75" hidden="1" x14ac:dyDescent="0.2"/>
    <row r="8088" ht="12.75" hidden="1" x14ac:dyDescent="0.2"/>
    <row r="8089" ht="12.75" hidden="1" x14ac:dyDescent="0.2"/>
    <row r="8090" ht="12.75" hidden="1" x14ac:dyDescent="0.2"/>
    <row r="8091" ht="12.75" hidden="1" x14ac:dyDescent="0.2"/>
    <row r="8092" ht="12.75" hidden="1" x14ac:dyDescent="0.2"/>
    <row r="8093" ht="12.75" hidden="1" x14ac:dyDescent="0.2"/>
    <row r="8094" ht="12.75" hidden="1" x14ac:dyDescent="0.2"/>
    <row r="8095" ht="12.75" hidden="1" x14ac:dyDescent="0.2"/>
    <row r="8096" ht="12.75" hidden="1" x14ac:dyDescent="0.2"/>
    <row r="8097" ht="12.75" hidden="1" x14ac:dyDescent="0.2"/>
    <row r="8098" ht="12.75" hidden="1" x14ac:dyDescent="0.2"/>
    <row r="8099" ht="12.75" hidden="1" x14ac:dyDescent="0.2"/>
    <row r="8100" ht="12.75" hidden="1" x14ac:dyDescent="0.2"/>
    <row r="8101" ht="12.75" hidden="1" x14ac:dyDescent="0.2"/>
    <row r="8102" ht="12.75" hidden="1" x14ac:dyDescent="0.2"/>
    <row r="8103" ht="12.75" hidden="1" x14ac:dyDescent="0.2"/>
    <row r="8104" ht="12.75" hidden="1" x14ac:dyDescent="0.2"/>
    <row r="8105" ht="12.75" hidden="1" x14ac:dyDescent="0.2"/>
    <row r="8106" ht="12.75" hidden="1" x14ac:dyDescent="0.2"/>
    <row r="8107" ht="12.75" hidden="1" x14ac:dyDescent="0.2"/>
    <row r="8108" ht="12.75" hidden="1" x14ac:dyDescent="0.2"/>
    <row r="8109" ht="12.75" hidden="1" x14ac:dyDescent="0.2"/>
    <row r="8110" ht="12.75" hidden="1" x14ac:dyDescent="0.2"/>
    <row r="8111" ht="12.75" hidden="1" x14ac:dyDescent="0.2"/>
    <row r="8112" ht="12.75" hidden="1" x14ac:dyDescent="0.2"/>
    <row r="8113" ht="12.75" hidden="1" x14ac:dyDescent="0.2"/>
    <row r="8114" ht="12.75" hidden="1" x14ac:dyDescent="0.2"/>
    <row r="8115" ht="12.75" hidden="1" x14ac:dyDescent="0.2"/>
    <row r="8116" ht="12.75" hidden="1" x14ac:dyDescent="0.2"/>
    <row r="8117" ht="12.75" hidden="1" x14ac:dyDescent="0.2"/>
    <row r="8118" ht="12.75" hidden="1" x14ac:dyDescent="0.2"/>
    <row r="8119" ht="12.75" hidden="1" x14ac:dyDescent="0.2"/>
    <row r="8120" ht="12.75" hidden="1" x14ac:dyDescent="0.2"/>
    <row r="8121" ht="12.75" hidden="1" x14ac:dyDescent="0.2"/>
    <row r="8122" ht="12.75" hidden="1" x14ac:dyDescent="0.2"/>
    <row r="8123" ht="12.75" hidden="1" x14ac:dyDescent="0.2"/>
    <row r="8124" ht="12.75" hidden="1" x14ac:dyDescent="0.2"/>
    <row r="8125" ht="12.75" hidden="1" x14ac:dyDescent="0.2"/>
    <row r="8126" ht="12.75" hidden="1" x14ac:dyDescent="0.2"/>
    <row r="8127" ht="12.75" hidden="1" x14ac:dyDescent="0.2"/>
    <row r="8128" ht="12.75" hidden="1" x14ac:dyDescent="0.2"/>
    <row r="8129" ht="12.75" hidden="1" x14ac:dyDescent="0.2"/>
    <row r="8130" ht="12.75" hidden="1" x14ac:dyDescent="0.2"/>
    <row r="8131" ht="12.75" hidden="1" x14ac:dyDescent="0.2"/>
    <row r="8132" ht="12.75" hidden="1" x14ac:dyDescent="0.2"/>
    <row r="8133" ht="12.75" hidden="1" x14ac:dyDescent="0.2"/>
    <row r="8134" ht="12.75" hidden="1" x14ac:dyDescent="0.2"/>
    <row r="8135" ht="12.75" hidden="1" x14ac:dyDescent="0.2"/>
    <row r="8136" ht="12.75" hidden="1" x14ac:dyDescent="0.2"/>
    <row r="8137" ht="12.75" hidden="1" x14ac:dyDescent="0.2"/>
    <row r="8138" ht="12.75" hidden="1" x14ac:dyDescent="0.2"/>
    <row r="8139" ht="12.75" hidden="1" x14ac:dyDescent="0.2"/>
    <row r="8140" ht="12.75" hidden="1" x14ac:dyDescent="0.2"/>
    <row r="8141" ht="12.75" hidden="1" x14ac:dyDescent="0.2"/>
    <row r="8142" ht="12.75" hidden="1" x14ac:dyDescent="0.2"/>
    <row r="8143" ht="12.75" hidden="1" x14ac:dyDescent="0.2"/>
    <row r="8144" ht="12.75" hidden="1" x14ac:dyDescent="0.2"/>
    <row r="8145" ht="12.75" hidden="1" x14ac:dyDescent="0.2"/>
    <row r="8146" ht="12.75" hidden="1" x14ac:dyDescent="0.2"/>
    <row r="8147" ht="12.75" hidden="1" x14ac:dyDescent="0.2"/>
    <row r="8148" ht="12.75" hidden="1" x14ac:dyDescent="0.2"/>
    <row r="8149" ht="12.75" hidden="1" x14ac:dyDescent="0.2"/>
    <row r="8150" ht="12.75" hidden="1" x14ac:dyDescent="0.2"/>
    <row r="8151" ht="12.75" hidden="1" x14ac:dyDescent="0.2"/>
    <row r="8152" ht="12.75" hidden="1" x14ac:dyDescent="0.2"/>
    <row r="8153" ht="12.75" hidden="1" x14ac:dyDescent="0.2"/>
    <row r="8154" ht="12.75" hidden="1" x14ac:dyDescent="0.2"/>
    <row r="8155" ht="12.75" hidden="1" x14ac:dyDescent="0.2"/>
    <row r="8156" ht="12.75" hidden="1" x14ac:dyDescent="0.2"/>
    <row r="8157" ht="12.75" hidden="1" x14ac:dyDescent="0.2"/>
    <row r="8158" ht="12.75" hidden="1" x14ac:dyDescent="0.2"/>
    <row r="8159" ht="12.75" hidden="1" x14ac:dyDescent="0.2"/>
    <row r="8160" ht="12.75" hidden="1" x14ac:dyDescent="0.2"/>
    <row r="8161" ht="12.75" hidden="1" x14ac:dyDescent="0.2"/>
    <row r="8162" ht="12.75" hidden="1" x14ac:dyDescent="0.2"/>
    <row r="8163" ht="12.75" hidden="1" x14ac:dyDescent="0.2"/>
    <row r="8164" ht="12.75" hidden="1" x14ac:dyDescent="0.2"/>
    <row r="8165" ht="12.75" hidden="1" x14ac:dyDescent="0.2"/>
    <row r="8166" ht="12.75" hidden="1" x14ac:dyDescent="0.2"/>
    <row r="8167" ht="12.75" hidden="1" x14ac:dyDescent="0.2"/>
    <row r="8168" ht="12.75" hidden="1" x14ac:dyDescent="0.2"/>
    <row r="8169" ht="12.75" hidden="1" x14ac:dyDescent="0.2"/>
    <row r="8170" ht="12.75" hidden="1" x14ac:dyDescent="0.2"/>
    <row r="8171" ht="12.75" hidden="1" x14ac:dyDescent="0.2"/>
    <row r="8172" ht="12.75" hidden="1" x14ac:dyDescent="0.2"/>
    <row r="8173" ht="12.75" hidden="1" x14ac:dyDescent="0.2"/>
    <row r="8174" ht="12.75" hidden="1" x14ac:dyDescent="0.2"/>
    <row r="8175" ht="12.75" hidden="1" x14ac:dyDescent="0.2"/>
    <row r="8176" ht="12.75" hidden="1" x14ac:dyDescent="0.2"/>
    <row r="8177" ht="12.75" hidden="1" x14ac:dyDescent="0.2"/>
    <row r="8178" ht="12.75" hidden="1" x14ac:dyDescent="0.2"/>
    <row r="8179" ht="12.75" hidden="1" x14ac:dyDescent="0.2"/>
    <row r="8180" ht="12.75" hidden="1" x14ac:dyDescent="0.2"/>
    <row r="8181" ht="12.75" hidden="1" x14ac:dyDescent="0.2"/>
    <row r="8182" ht="12.75" hidden="1" x14ac:dyDescent="0.2"/>
    <row r="8183" ht="12.75" hidden="1" x14ac:dyDescent="0.2"/>
    <row r="8184" ht="12.75" hidden="1" x14ac:dyDescent="0.2"/>
    <row r="8185" ht="12.75" hidden="1" x14ac:dyDescent="0.2"/>
    <row r="8186" ht="12.75" hidden="1" x14ac:dyDescent="0.2"/>
    <row r="8187" ht="12.75" hidden="1" x14ac:dyDescent="0.2"/>
    <row r="8188" ht="12.75" hidden="1" x14ac:dyDescent="0.2"/>
    <row r="8189" ht="12.75" hidden="1" x14ac:dyDescent="0.2"/>
    <row r="8190" ht="12.75" hidden="1" x14ac:dyDescent="0.2"/>
    <row r="8191" ht="12.75" hidden="1" x14ac:dyDescent="0.2"/>
    <row r="8192" ht="12.75" hidden="1" x14ac:dyDescent="0.2"/>
    <row r="8193" ht="12.75" hidden="1" x14ac:dyDescent="0.2"/>
    <row r="8194" ht="12.75" hidden="1" x14ac:dyDescent="0.2"/>
    <row r="8195" ht="12.75" hidden="1" x14ac:dyDescent="0.2"/>
    <row r="8196" ht="12.75" hidden="1" x14ac:dyDescent="0.2"/>
    <row r="8197" ht="12.75" hidden="1" x14ac:dyDescent="0.2"/>
    <row r="8198" ht="12.75" hidden="1" x14ac:dyDescent="0.2"/>
    <row r="8199" ht="12.75" hidden="1" x14ac:dyDescent="0.2"/>
    <row r="8200" ht="12.75" hidden="1" x14ac:dyDescent="0.2"/>
    <row r="8201" ht="12.75" hidden="1" x14ac:dyDescent="0.2"/>
    <row r="8202" ht="12.75" hidden="1" x14ac:dyDescent="0.2"/>
    <row r="8203" ht="12.75" hidden="1" x14ac:dyDescent="0.2"/>
    <row r="8204" ht="12.75" hidden="1" x14ac:dyDescent="0.2"/>
    <row r="8205" ht="12.75" hidden="1" x14ac:dyDescent="0.2"/>
    <row r="8206" ht="12.75" hidden="1" x14ac:dyDescent="0.2"/>
    <row r="8207" ht="12.75" hidden="1" x14ac:dyDescent="0.2"/>
    <row r="8208" ht="12.75" hidden="1" x14ac:dyDescent="0.2"/>
    <row r="8209" ht="12.75" hidden="1" x14ac:dyDescent="0.2"/>
    <row r="8210" ht="12.75" hidden="1" x14ac:dyDescent="0.2"/>
    <row r="8211" ht="12.75" hidden="1" x14ac:dyDescent="0.2"/>
    <row r="8212" ht="12.75" hidden="1" x14ac:dyDescent="0.2"/>
    <row r="8213" ht="12.75" hidden="1" x14ac:dyDescent="0.2"/>
    <row r="8214" ht="12.75" hidden="1" x14ac:dyDescent="0.2"/>
    <row r="8215" ht="12.75" hidden="1" x14ac:dyDescent="0.2"/>
    <row r="8216" ht="12.75" hidden="1" x14ac:dyDescent="0.2"/>
    <row r="8217" ht="12.75" hidden="1" x14ac:dyDescent="0.2"/>
    <row r="8218" ht="12.75" hidden="1" x14ac:dyDescent="0.2"/>
    <row r="8219" ht="12.75" hidden="1" x14ac:dyDescent="0.2"/>
    <row r="8220" ht="12.75" hidden="1" x14ac:dyDescent="0.2"/>
    <row r="8221" ht="12.75" hidden="1" x14ac:dyDescent="0.2"/>
    <row r="8222" ht="12.75" hidden="1" x14ac:dyDescent="0.2"/>
    <row r="8223" ht="12.75" hidden="1" x14ac:dyDescent="0.2"/>
    <row r="8224" ht="12.75" hidden="1" x14ac:dyDescent="0.2"/>
    <row r="8225" ht="12.75" hidden="1" x14ac:dyDescent="0.2"/>
    <row r="8226" ht="12.75" hidden="1" x14ac:dyDescent="0.2"/>
    <row r="8227" ht="12.75" hidden="1" x14ac:dyDescent="0.2"/>
    <row r="8228" ht="12.75" hidden="1" x14ac:dyDescent="0.2"/>
    <row r="8229" ht="12.75" hidden="1" x14ac:dyDescent="0.2"/>
    <row r="8230" ht="12.75" hidden="1" x14ac:dyDescent="0.2"/>
    <row r="8231" ht="12.75" hidden="1" x14ac:dyDescent="0.2"/>
    <row r="8232" ht="12.75" hidden="1" x14ac:dyDescent="0.2"/>
    <row r="8233" ht="12.75" hidden="1" x14ac:dyDescent="0.2"/>
    <row r="8234" ht="12.75" hidden="1" x14ac:dyDescent="0.2"/>
    <row r="8235" ht="12.75" hidden="1" x14ac:dyDescent="0.2"/>
    <row r="8236" ht="12.75" hidden="1" x14ac:dyDescent="0.2"/>
    <row r="8237" ht="12.75" hidden="1" x14ac:dyDescent="0.2"/>
    <row r="8238" ht="12.75" hidden="1" x14ac:dyDescent="0.2"/>
    <row r="8239" ht="12.75" hidden="1" x14ac:dyDescent="0.2"/>
    <row r="8240" ht="12.75" hidden="1" x14ac:dyDescent="0.2"/>
    <row r="8241" ht="12.75" hidden="1" x14ac:dyDescent="0.2"/>
    <row r="8242" ht="12.75" hidden="1" x14ac:dyDescent="0.2"/>
    <row r="8243" ht="12.75" hidden="1" x14ac:dyDescent="0.2"/>
    <row r="8244" ht="12.75" hidden="1" x14ac:dyDescent="0.2"/>
    <row r="8245" ht="12.75" hidden="1" x14ac:dyDescent="0.2"/>
    <row r="8246" ht="12.75" hidden="1" x14ac:dyDescent="0.2"/>
    <row r="8247" ht="12.75" hidden="1" x14ac:dyDescent="0.2"/>
    <row r="8248" ht="12.75" hidden="1" x14ac:dyDescent="0.2"/>
    <row r="8249" ht="12.75" hidden="1" x14ac:dyDescent="0.2"/>
    <row r="8250" ht="12.75" hidden="1" x14ac:dyDescent="0.2"/>
    <row r="8251" ht="12.75" hidden="1" x14ac:dyDescent="0.2"/>
    <row r="8252" ht="12.75" hidden="1" x14ac:dyDescent="0.2"/>
    <row r="8253" ht="12.75" hidden="1" x14ac:dyDescent="0.2"/>
    <row r="8254" ht="12.75" hidden="1" x14ac:dyDescent="0.2"/>
    <row r="8255" ht="12.75" hidden="1" x14ac:dyDescent="0.2"/>
    <row r="8256" ht="12.75" hidden="1" x14ac:dyDescent="0.2"/>
    <row r="8257" ht="12.75" hidden="1" x14ac:dyDescent="0.2"/>
    <row r="8258" ht="12.75" hidden="1" x14ac:dyDescent="0.2"/>
    <row r="8259" ht="12.75" hidden="1" x14ac:dyDescent="0.2"/>
    <row r="8260" ht="12.75" hidden="1" x14ac:dyDescent="0.2"/>
    <row r="8261" ht="12.75" hidden="1" x14ac:dyDescent="0.2"/>
    <row r="8262" ht="12.75" hidden="1" x14ac:dyDescent="0.2"/>
    <row r="8263" ht="12.75" hidden="1" x14ac:dyDescent="0.2"/>
    <row r="8264" ht="12.75" hidden="1" x14ac:dyDescent="0.2"/>
    <row r="8265" ht="12.75" hidden="1" x14ac:dyDescent="0.2"/>
    <row r="8266" ht="12.75" hidden="1" x14ac:dyDescent="0.2"/>
    <row r="8267" ht="12.75" hidden="1" x14ac:dyDescent="0.2"/>
    <row r="8268" ht="12.75" hidden="1" x14ac:dyDescent="0.2"/>
    <row r="8269" ht="12.75" hidden="1" x14ac:dyDescent="0.2"/>
    <row r="8270" ht="12.75" hidden="1" x14ac:dyDescent="0.2"/>
    <row r="8271" ht="12.75" hidden="1" x14ac:dyDescent="0.2"/>
    <row r="8272" ht="12.75" hidden="1" x14ac:dyDescent="0.2"/>
    <row r="8273" ht="12.75" hidden="1" x14ac:dyDescent="0.2"/>
    <row r="8274" ht="12.75" hidden="1" x14ac:dyDescent="0.2"/>
    <row r="8275" ht="12.75" hidden="1" x14ac:dyDescent="0.2"/>
    <row r="8276" ht="12.75" hidden="1" x14ac:dyDescent="0.2"/>
    <row r="8277" ht="12.75" hidden="1" x14ac:dyDescent="0.2"/>
    <row r="8278" ht="12.75" hidden="1" x14ac:dyDescent="0.2"/>
    <row r="8279" ht="12.75" hidden="1" x14ac:dyDescent="0.2"/>
    <row r="8280" ht="12.75" hidden="1" x14ac:dyDescent="0.2"/>
    <row r="8281" ht="12.75" hidden="1" x14ac:dyDescent="0.2"/>
    <row r="8282" ht="12.75" hidden="1" x14ac:dyDescent="0.2"/>
    <row r="8283" ht="12.75" hidden="1" x14ac:dyDescent="0.2"/>
    <row r="8284" ht="12.75" hidden="1" x14ac:dyDescent="0.2"/>
    <row r="8285" ht="12.75" hidden="1" x14ac:dyDescent="0.2"/>
    <row r="8286" ht="12.75" hidden="1" x14ac:dyDescent="0.2"/>
    <row r="8287" ht="12.75" hidden="1" x14ac:dyDescent="0.2"/>
    <row r="8288" ht="12.75" hidden="1" x14ac:dyDescent="0.2"/>
    <row r="8289" ht="12.75" hidden="1" x14ac:dyDescent="0.2"/>
    <row r="8290" ht="12.75" hidden="1" x14ac:dyDescent="0.2"/>
    <row r="8291" ht="12.75" hidden="1" x14ac:dyDescent="0.2"/>
    <row r="8292" ht="12.75" hidden="1" x14ac:dyDescent="0.2"/>
    <row r="8293" ht="12.75" hidden="1" x14ac:dyDescent="0.2"/>
    <row r="8294" ht="12.75" hidden="1" x14ac:dyDescent="0.2"/>
    <row r="8295" ht="12.75" hidden="1" x14ac:dyDescent="0.2"/>
    <row r="8296" ht="12.75" hidden="1" x14ac:dyDescent="0.2"/>
    <row r="8297" ht="12.75" hidden="1" x14ac:dyDescent="0.2"/>
    <row r="8298" ht="12.75" hidden="1" x14ac:dyDescent="0.2"/>
    <row r="8299" ht="12.75" hidden="1" x14ac:dyDescent="0.2"/>
    <row r="8300" ht="12.75" hidden="1" x14ac:dyDescent="0.2"/>
    <row r="8301" ht="12.75" hidden="1" x14ac:dyDescent="0.2"/>
    <row r="8302" ht="12.75" hidden="1" x14ac:dyDescent="0.2"/>
    <row r="8303" ht="12.75" hidden="1" x14ac:dyDescent="0.2"/>
    <row r="8304" ht="12.75" hidden="1" x14ac:dyDescent="0.2"/>
    <row r="8305" ht="12.75" hidden="1" x14ac:dyDescent="0.2"/>
    <row r="8306" ht="12.75" hidden="1" x14ac:dyDescent="0.2"/>
    <row r="8307" ht="12.75" hidden="1" x14ac:dyDescent="0.2"/>
    <row r="8308" ht="12.75" hidden="1" x14ac:dyDescent="0.2"/>
    <row r="8309" ht="12.75" hidden="1" x14ac:dyDescent="0.2"/>
    <row r="8310" ht="12.75" hidden="1" x14ac:dyDescent="0.2"/>
    <row r="8311" ht="12.75" hidden="1" x14ac:dyDescent="0.2"/>
    <row r="8312" ht="12.75" hidden="1" x14ac:dyDescent="0.2"/>
    <row r="8313" ht="12.75" hidden="1" x14ac:dyDescent="0.2"/>
    <row r="8314" ht="12.75" hidden="1" x14ac:dyDescent="0.2"/>
    <row r="8315" ht="12.75" hidden="1" x14ac:dyDescent="0.2"/>
    <row r="8316" ht="12.75" hidden="1" x14ac:dyDescent="0.2"/>
    <row r="8317" ht="12.75" hidden="1" x14ac:dyDescent="0.2"/>
    <row r="8318" ht="12.75" hidden="1" x14ac:dyDescent="0.2"/>
    <row r="8319" ht="12.75" hidden="1" x14ac:dyDescent="0.2"/>
    <row r="8320" ht="12.75" hidden="1" x14ac:dyDescent="0.2"/>
    <row r="8321" ht="12.75" hidden="1" x14ac:dyDescent="0.2"/>
    <row r="8322" ht="12.75" hidden="1" x14ac:dyDescent="0.2"/>
    <row r="8323" ht="12.75" hidden="1" x14ac:dyDescent="0.2"/>
    <row r="8324" ht="12.75" hidden="1" x14ac:dyDescent="0.2"/>
    <row r="8325" ht="12.75" hidden="1" x14ac:dyDescent="0.2"/>
    <row r="8326" ht="12.75" hidden="1" x14ac:dyDescent="0.2"/>
    <row r="8327" ht="12.75" hidden="1" x14ac:dyDescent="0.2"/>
    <row r="8328" ht="12.75" hidden="1" x14ac:dyDescent="0.2"/>
    <row r="8329" ht="12.75" hidden="1" x14ac:dyDescent="0.2"/>
    <row r="8330" ht="12.75" hidden="1" x14ac:dyDescent="0.2"/>
    <row r="8331" ht="12.75" hidden="1" x14ac:dyDescent="0.2"/>
    <row r="8332" ht="12.75" hidden="1" x14ac:dyDescent="0.2"/>
    <row r="8333" ht="12.75" hidden="1" x14ac:dyDescent="0.2"/>
    <row r="8334" ht="12.75" hidden="1" x14ac:dyDescent="0.2"/>
    <row r="8335" ht="12.75" hidden="1" x14ac:dyDescent="0.2"/>
    <row r="8336" ht="12.75" hidden="1" x14ac:dyDescent="0.2"/>
    <row r="8337" ht="12.75" hidden="1" x14ac:dyDescent="0.2"/>
    <row r="8338" ht="12.75" hidden="1" x14ac:dyDescent="0.2"/>
    <row r="8339" ht="12.75" hidden="1" x14ac:dyDescent="0.2"/>
    <row r="8340" ht="12.75" hidden="1" x14ac:dyDescent="0.2"/>
    <row r="8341" ht="12.75" hidden="1" x14ac:dyDescent="0.2"/>
    <row r="8342" ht="12.75" hidden="1" x14ac:dyDescent="0.2"/>
    <row r="8343" ht="12.75" hidden="1" x14ac:dyDescent="0.2"/>
    <row r="8344" ht="12.75" hidden="1" x14ac:dyDescent="0.2"/>
    <row r="8345" ht="12.75" hidden="1" x14ac:dyDescent="0.2"/>
    <row r="8346" ht="12.75" hidden="1" x14ac:dyDescent="0.2"/>
    <row r="8347" ht="12.75" hidden="1" x14ac:dyDescent="0.2"/>
    <row r="8348" ht="12.75" hidden="1" x14ac:dyDescent="0.2"/>
    <row r="8349" ht="12.75" hidden="1" x14ac:dyDescent="0.2"/>
    <row r="8350" ht="12.75" hidden="1" x14ac:dyDescent="0.2"/>
    <row r="8351" ht="12.75" hidden="1" x14ac:dyDescent="0.2"/>
    <row r="8352" ht="12.75" hidden="1" x14ac:dyDescent="0.2"/>
    <row r="8353" ht="12.75" hidden="1" x14ac:dyDescent="0.2"/>
    <row r="8354" ht="12.75" hidden="1" x14ac:dyDescent="0.2"/>
    <row r="8355" ht="12.75" hidden="1" x14ac:dyDescent="0.2"/>
    <row r="8356" ht="12.75" hidden="1" x14ac:dyDescent="0.2"/>
    <row r="8357" ht="12.75" hidden="1" x14ac:dyDescent="0.2"/>
    <row r="8358" ht="12.75" hidden="1" x14ac:dyDescent="0.2"/>
    <row r="8359" ht="12.75" hidden="1" x14ac:dyDescent="0.2"/>
    <row r="8360" ht="12.75" hidden="1" x14ac:dyDescent="0.2"/>
    <row r="8361" ht="12.75" hidden="1" x14ac:dyDescent="0.2"/>
    <row r="8362" ht="12.75" hidden="1" x14ac:dyDescent="0.2"/>
    <row r="8363" ht="12.75" hidden="1" x14ac:dyDescent="0.2"/>
    <row r="8364" ht="12.75" hidden="1" x14ac:dyDescent="0.2"/>
    <row r="8365" ht="12.75" hidden="1" x14ac:dyDescent="0.2"/>
    <row r="8366" ht="12.75" hidden="1" x14ac:dyDescent="0.2"/>
    <row r="8367" ht="12.75" hidden="1" x14ac:dyDescent="0.2"/>
    <row r="8368" ht="12.75" hidden="1" x14ac:dyDescent="0.2"/>
    <row r="8369" ht="12.75" hidden="1" x14ac:dyDescent="0.2"/>
    <row r="8370" ht="12.75" hidden="1" x14ac:dyDescent="0.2"/>
    <row r="8371" ht="12.75" hidden="1" x14ac:dyDescent="0.2"/>
    <row r="8372" ht="12.75" hidden="1" x14ac:dyDescent="0.2"/>
    <row r="8373" ht="12.75" hidden="1" x14ac:dyDescent="0.2"/>
    <row r="8374" ht="12.75" hidden="1" x14ac:dyDescent="0.2"/>
    <row r="8375" ht="12.75" hidden="1" x14ac:dyDescent="0.2"/>
    <row r="8376" ht="12.75" hidden="1" x14ac:dyDescent="0.2"/>
    <row r="8377" ht="12.75" hidden="1" x14ac:dyDescent="0.2"/>
    <row r="8378" ht="12.75" hidden="1" x14ac:dyDescent="0.2"/>
    <row r="8379" ht="12.75" hidden="1" x14ac:dyDescent="0.2"/>
    <row r="8380" ht="12.75" hidden="1" x14ac:dyDescent="0.2"/>
    <row r="8381" ht="12.75" hidden="1" x14ac:dyDescent="0.2"/>
    <row r="8382" ht="12.75" hidden="1" x14ac:dyDescent="0.2"/>
    <row r="8383" ht="12.75" hidden="1" x14ac:dyDescent="0.2"/>
    <row r="8384" ht="12.75" hidden="1" x14ac:dyDescent="0.2"/>
    <row r="8385" ht="12.75" hidden="1" x14ac:dyDescent="0.2"/>
    <row r="8386" ht="12.75" hidden="1" x14ac:dyDescent="0.2"/>
    <row r="8387" ht="12.75" hidden="1" x14ac:dyDescent="0.2"/>
    <row r="8388" ht="12.75" hidden="1" x14ac:dyDescent="0.2"/>
    <row r="8389" ht="12.75" hidden="1" x14ac:dyDescent="0.2"/>
    <row r="8390" ht="12.75" hidden="1" x14ac:dyDescent="0.2"/>
    <row r="8391" ht="12.75" hidden="1" x14ac:dyDescent="0.2"/>
    <row r="8392" ht="12.75" hidden="1" x14ac:dyDescent="0.2"/>
    <row r="8393" ht="12.75" hidden="1" x14ac:dyDescent="0.2"/>
    <row r="8394" ht="12.75" hidden="1" x14ac:dyDescent="0.2"/>
    <row r="8395" ht="12.75" hidden="1" x14ac:dyDescent="0.2"/>
    <row r="8396" ht="12.75" hidden="1" x14ac:dyDescent="0.2"/>
    <row r="8397" ht="12.75" hidden="1" x14ac:dyDescent="0.2"/>
    <row r="8398" ht="12.75" hidden="1" x14ac:dyDescent="0.2"/>
    <row r="8399" ht="12.75" hidden="1" x14ac:dyDescent="0.2"/>
    <row r="8400" ht="12.75" hidden="1" x14ac:dyDescent="0.2"/>
    <row r="8401" ht="12.75" hidden="1" x14ac:dyDescent="0.2"/>
    <row r="8402" ht="12.75" hidden="1" x14ac:dyDescent="0.2"/>
    <row r="8403" ht="12.75" hidden="1" x14ac:dyDescent="0.2"/>
    <row r="8404" ht="12.75" hidden="1" x14ac:dyDescent="0.2"/>
    <row r="8405" ht="12.75" hidden="1" x14ac:dyDescent="0.2"/>
    <row r="8406" ht="12.75" hidden="1" x14ac:dyDescent="0.2"/>
    <row r="8407" ht="12.75" hidden="1" x14ac:dyDescent="0.2"/>
    <row r="8408" ht="12.75" hidden="1" x14ac:dyDescent="0.2"/>
    <row r="8409" ht="12.75" hidden="1" x14ac:dyDescent="0.2"/>
    <row r="8410" ht="12.75" hidden="1" x14ac:dyDescent="0.2"/>
    <row r="8411" ht="12.75" hidden="1" x14ac:dyDescent="0.2"/>
    <row r="8412" ht="12.75" hidden="1" x14ac:dyDescent="0.2"/>
    <row r="8413" ht="12.75" hidden="1" x14ac:dyDescent="0.2"/>
    <row r="8414" ht="12.75" hidden="1" x14ac:dyDescent="0.2"/>
    <row r="8415" ht="12.75" hidden="1" x14ac:dyDescent="0.2"/>
    <row r="8416" ht="12.75" hidden="1" x14ac:dyDescent="0.2"/>
    <row r="8417" ht="12.75" hidden="1" x14ac:dyDescent="0.2"/>
    <row r="8418" ht="12.75" hidden="1" x14ac:dyDescent="0.2"/>
    <row r="8419" ht="12.75" hidden="1" x14ac:dyDescent="0.2"/>
    <row r="8420" ht="12.75" hidden="1" x14ac:dyDescent="0.2"/>
    <row r="8421" ht="12.75" hidden="1" x14ac:dyDescent="0.2"/>
    <row r="8422" ht="12.75" hidden="1" x14ac:dyDescent="0.2"/>
    <row r="8423" ht="12.75" hidden="1" x14ac:dyDescent="0.2"/>
    <row r="8424" ht="12.75" hidden="1" x14ac:dyDescent="0.2"/>
    <row r="8425" ht="12.75" hidden="1" x14ac:dyDescent="0.2"/>
    <row r="8426" ht="12.75" hidden="1" x14ac:dyDescent="0.2"/>
    <row r="8427" ht="12.75" hidden="1" x14ac:dyDescent="0.2"/>
    <row r="8428" ht="12.75" hidden="1" x14ac:dyDescent="0.2"/>
    <row r="8429" ht="12.75" hidden="1" x14ac:dyDescent="0.2"/>
    <row r="8430" ht="12.75" hidden="1" x14ac:dyDescent="0.2"/>
    <row r="8431" ht="12.75" hidden="1" x14ac:dyDescent="0.2"/>
    <row r="8432" ht="12.75" hidden="1" x14ac:dyDescent="0.2"/>
    <row r="8433" ht="12.75" hidden="1" x14ac:dyDescent="0.2"/>
    <row r="8434" ht="12.75" hidden="1" x14ac:dyDescent="0.2"/>
    <row r="8435" ht="12.75" hidden="1" x14ac:dyDescent="0.2"/>
    <row r="8436" ht="12.75" hidden="1" x14ac:dyDescent="0.2"/>
    <row r="8437" ht="12.75" hidden="1" x14ac:dyDescent="0.2"/>
    <row r="8438" ht="12.75" hidden="1" x14ac:dyDescent="0.2"/>
    <row r="8439" ht="12.75" hidden="1" x14ac:dyDescent="0.2"/>
    <row r="8440" ht="12.75" hidden="1" x14ac:dyDescent="0.2"/>
    <row r="8441" ht="12.75" hidden="1" x14ac:dyDescent="0.2"/>
    <row r="8442" ht="12.75" hidden="1" x14ac:dyDescent="0.2"/>
    <row r="8443" ht="12.75" hidden="1" x14ac:dyDescent="0.2"/>
    <row r="8444" ht="12.75" hidden="1" x14ac:dyDescent="0.2"/>
    <row r="8445" ht="12.75" hidden="1" x14ac:dyDescent="0.2"/>
    <row r="8446" ht="12.75" hidden="1" x14ac:dyDescent="0.2"/>
    <row r="8447" ht="12.75" hidden="1" x14ac:dyDescent="0.2"/>
    <row r="8448" ht="12.75" hidden="1" x14ac:dyDescent="0.2"/>
    <row r="8449" ht="12.75" hidden="1" x14ac:dyDescent="0.2"/>
    <row r="8450" ht="12.75" hidden="1" x14ac:dyDescent="0.2"/>
    <row r="8451" ht="12.75" hidden="1" x14ac:dyDescent="0.2"/>
    <row r="8452" ht="12.75" hidden="1" x14ac:dyDescent="0.2"/>
    <row r="8453" ht="12.75" hidden="1" x14ac:dyDescent="0.2"/>
    <row r="8454" ht="12.75" hidden="1" x14ac:dyDescent="0.2"/>
    <row r="8455" ht="12.75" hidden="1" x14ac:dyDescent="0.2"/>
    <row r="8456" ht="12.75" hidden="1" x14ac:dyDescent="0.2"/>
    <row r="8457" ht="12.75" hidden="1" x14ac:dyDescent="0.2"/>
    <row r="8458" ht="12.75" hidden="1" x14ac:dyDescent="0.2"/>
    <row r="8459" ht="12.75" hidden="1" x14ac:dyDescent="0.2"/>
    <row r="8460" ht="12.75" hidden="1" x14ac:dyDescent="0.2"/>
    <row r="8461" ht="12.75" hidden="1" x14ac:dyDescent="0.2"/>
    <row r="8462" ht="12.75" hidden="1" x14ac:dyDescent="0.2"/>
    <row r="8463" ht="12.75" hidden="1" x14ac:dyDescent="0.2"/>
    <row r="8464" ht="12.75" hidden="1" x14ac:dyDescent="0.2"/>
    <row r="8465" ht="12.75" hidden="1" x14ac:dyDescent="0.2"/>
    <row r="8466" ht="12.75" hidden="1" x14ac:dyDescent="0.2"/>
    <row r="8467" ht="12.75" hidden="1" x14ac:dyDescent="0.2"/>
    <row r="8468" ht="12.75" hidden="1" x14ac:dyDescent="0.2"/>
    <row r="8469" ht="12.75" hidden="1" x14ac:dyDescent="0.2"/>
    <row r="8470" ht="12.75" hidden="1" x14ac:dyDescent="0.2"/>
    <row r="8471" ht="12.75" hidden="1" x14ac:dyDescent="0.2"/>
    <row r="8472" ht="12.75" hidden="1" x14ac:dyDescent="0.2"/>
    <row r="8473" ht="12.75" hidden="1" x14ac:dyDescent="0.2"/>
    <row r="8474" ht="12.75" hidden="1" x14ac:dyDescent="0.2"/>
    <row r="8475" ht="12.75" hidden="1" x14ac:dyDescent="0.2"/>
    <row r="8476" ht="12.75" hidden="1" x14ac:dyDescent="0.2"/>
    <row r="8477" ht="12.75" hidden="1" x14ac:dyDescent="0.2"/>
    <row r="8478" ht="12.75" hidden="1" x14ac:dyDescent="0.2"/>
    <row r="8479" ht="12.75" hidden="1" x14ac:dyDescent="0.2"/>
    <row r="8480" ht="12.75" hidden="1" x14ac:dyDescent="0.2"/>
    <row r="8481" ht="12.75" hidden="1" x14ac:dyDescent="0.2"/>
    <row r="8482" ht="12.75" hidden="1" x14ac:dyDescent="0.2"/>
    <row r="8483" ht="12.75" hidden="1" x14ac:dyDescent="0.2"/>
    <row r="8484" ht="12.75" hidden="1" x14ac:dyDescent="0.2"/>
    <row r="8485" ht="12.75" hidden="1" x14ac:dyDescent="0.2"/>
    <row r="8486" ht="12.75" hidden="1" x14ac:dyDescent="0.2"/>
    <row r="8487" ht="12.75" hidden="1" x14ac:dyDescent="0.2"/>
    <row r="8488" ht="12.75" hidden="1" x14ac:dyDescent="0.2"/>
    <row r="8489" ht="12.75" hidden="1" x14ac:dyDescent="0.2"/>
    <row r="8490" ht="12.75" hidden="1" x14ac:dyDescent="0.2"/>
    <row r="8491" ht="12.75" hidden="1" x14ac:dyDescent="0.2"/>
    <row r="8492" ht="12.75" hidden="1" x14ac:dyDescent="0.2"/>
    <row r="8493" ht="12.75" hidden="1" x14ac:dyDescent="0.2"/>
    <row r="8494" ht="12.75" hidden="1" x14ac:dyDescent="0.2"/>
    <row r="8495" ht="12.75" hidden="1" x14ac:dyDescent="0.2"/>
    <row r="8496" ht="12.75" hidden="1" x14ac:dyDescent="0.2"/>
    <row r="8497" ht="12.75" hidden="1" x14ac:dyDescent="0.2"/>
    <row r="8498" ht="12.75" hidden="1" x14ac:dyDescent="0.2"/>
    <row r="8499" ht="12.75" hidden="1" x14ac:dyDescent="0.2"/>
    <row r="8500" ht="12.75" hidden="1" x14ac:dyDescent="0.2"/>
    <row r="8501" ht="12.75" hidden="1" x14ac:dyDescent="0.2"/>
    <row r="8502" ht="12.75" hidden="1" x14ac:dyDescent="0.2"/>
    <row r="8503" ht="12.75" hidden="1" x14ac:dyDescent="0.2"/>
    <row r="8504" ht="12.75" hidden="1" x14ac:dyDescent="0.2"/>
    <row r="8505" ht="12.75" hidden="1" x14ac:dyDescent="0.2"/>
    <row r="8506" ht="12.75" hidden="1" x14ac:dyDescent="0.2"/>
    <row r="8507" ht="12.75" hidden="1" x14ac:dyDescent="0.2"/>
    <row r="8508" ht="12.75" hidden="1" x14ac:dyDescent="0.2"/>
    <row r="8509" ht="12.75" hidden="1" x14ac:dyDescent="0.2"/>
    <row r="8510" ht="12.75" hidden="1" x14ac:dyDescent="0.2"/>
    <row r="8511" ht="12.75" hidden="1" x14ac:dyDescent="0.2"/>
    <row r="8512" ht="12.75" hidden="1" x14ac:dyDescent="0.2"/>
    <row r="8513" ht="12.75" hidden="1" x14ac:dyDescent="0.2"/>
    <row r="8514" ht="12.75" hidden="1" x14ac:dyDescent="0.2"/>
    <row r="8515" ht="12.75" hidden="1" x14ac:dyDescent="0.2"/>
    <row r="8516" ht="12.75" hidden="1" x14ac:dyDescent="0.2"/>
    <row r="8517" ht="12.75" hidden="1" x14ac:dyDescent="0.2"/>
    <row r="8518" ht="12.75" hidden="1" x14ac:dyDescent="0.2"/>
    <row r="8519" ht="12.75" hidden="1" x14ac:dyDescent="0.2"/>
    <row r="8520" ht="12.75" hidden="1" x14ac:dyDescent="0.2"/>
    <row r="8521" ht="12.75" hidden="1" x14ac:dyDescent="0.2"/>
    <row r="8522" ht="12.75" hidden="1" x14ac:dyDescent="0.2"/>
    <row r="8523" ht="12.75" hidden="1" x14ac:dyDescent="0.2"/>
    <row r="8524" ht="12.75" hidden="1" x14ac:dyDescent="0.2"/>
    <row r="8525" ht="12.75" hidden="1" x14ac:dyDescent="0.2"/>
    <row r="8526" ht="12.75" hidden="1" x14ac:dyDescent="0.2"/>
    <row r="8527" ht="12.75" hidden="1" x14ac:dyDescent="0.2"/>
    <row r="8528" ht="12.75" hidden="1" x14ac:dyDescent="0.2"/>
    <row r="8529" ht="12.75" hidden="1" x14ac:dyDescent="0.2"/>
    <row r="8530" ht="12.75" hidden="1" x14ac:dyDescent="0.2"/>
    <row r="8531" ht="12.75" hidden="1" x14ac:dyDescent="0.2"/>
    <row r="8532" ht="12.75" hidden="1" x14ac:dyDescent="0.2"/>
    <row r="8533" ht="12.75" hidden="1" x14ac:dyDescent="0.2"/>
    <row r="8534" ht="12.75" hidden="1" x14ac:dyDescent="0.2"/>
    <row r="8535" ht="12.75" hidden="1" x14ac:dyDescent="0.2"/>
    <row r="8536" ht="12.75" hidden="1" x14ac:dyDescent="0.2"/>
    <row r="8537" ht="12.75" hidden="1" x14ac:dyDescent="0.2"/>
    <row r="8538" ht="12.75" hidden="1" x14ac:dyDescent="0.2"/>
    <row r="8539" ht="12.75" hidden="1" x14ac:dyDescent="0.2"/>
    <row r="8540" ht="12.75" hidden="1" x14ac:dyDescent="0.2"/>
    <row r="8541" ht="12.75" hidden="1" x14ac:dyDescent="0.2"/>
    <row r="8542" ht="12.75" hidden="1" x14ac:dyDescent="0.2"/>
    <row r="8543" ht="12.75" hidden="1" x14ac:dyDescent="0.2"/>
    <row r="8544" ht="12.75" hidden="1" x14ac:dyDescent="0.2"/>
    <row r="8545" ht="12.75" hidden="1" x14ac:dyDescent="0.2"/>
    <row r="8546" ht="12.75" hidden="1" x14ac:dyDescent="0.2"/>
    <row r="8547" ht="12.75" hidden="1" x14ac:dyDescent="0.2"/>
    <row r="8548" ht="12.75" hidden="1" x14ac:dyDescent="0.2"/>
    <row r="8549" ht="12.75" hidden="1" x14ac:dyDescent="0.2"/>
    <row r="8550" ht="12.75" hidden="1" x14ac:dyDescent="0.2"/>
    <row r="8551" ht="12.75" hidden="1" x14ac:dyDescent="0.2"/>
    <row r="8552" ht="12.75" hidden="1" x14ac:dyDescent="0.2"/>
    <row r="8553" ht="12.75" hidden="1" x14ac:dyDescent="0.2"/>
    <row r="8554" ht="12.75" hidden="1" x14ac:dyDescent="0.2"/>
    <row r="8555" ht="12.75" hidden="1" x14ac:dyDescent="0.2"/>
    <row r="8556" ht="12.75" hidden="1" x14ac:dyDescent="0.2"/>
    <row r="8557" ht="12.75" hidden="1" x14ac:dyDescent="0.2"/>
    <row r="8558" ht="12.75" hidden="1" x14ac:dyDescent="0.2"/>
    <row r="8559" ht="12.75" hidden="1" x14ac:dyDescent="0.2"/>
    <row r="8560" ht="12.75" hidden="1" x14ac:dyDescent="0.2"/>
    <row r="8561" ht="12.75" hidden="1" x14ac:dyDescent="0.2"/>
    <row r="8562" ht="12.75" hidden="1" x14ac:dyDescent="0.2"/>
    <row r="8563" ht="12.75" hidden="1" x14ac:dyDescent="0.2"/>
    <row r="8564" ht="12.75" hidden="1" x14ac:dyDescent="0.2"/>
    <row r="8565" ht="12.75" hidden="1" x14ac:dyDescent="0.2"/>
    <row r="8566" ht="12.75" hidden="1" x14ac:dyDescent="0.2"/>
    <row r="8567" ht="12.75" hidden="1" x14ac:dyDescent="0.2"/>
    <row r="8568" ht="12.75" hidden="1" x14ac:dyDescent="0.2"/>
    <row r="8569" ht="12.75" hidden="1" x14ac:dyDescent="0.2"/>
    <row r="8570" ht="12.75" hidden="1" x14ac:dyDescent="0.2"/>
    <row r="8571" ht="12.75" hidden="1" x14ac:dyDescent="0.2"/>
    <row r="8572" ht="12.75" hidden="1" x14ac:dyDescent="0.2"/>
    <row r="8573" ht="12.75" hidden="1" x14ac:dyDescent="0.2"/>
    <row r="8574" ht="12.75" hidden="1" x14ac:dyDescent="0.2"/>
    <row r="8575" ht="12.75" hidden="1" x14ac:dyDescent="0.2"/>
    <row r="8576" ht="12.75" hidden="1" x14ac:dyDescent="0.2"/>
    <row r="8577" ht="12.75" hidden="1" x14ac:dyDescent="0.2"/>
    <row r="8578" ht="12.75" hidden="1" x14ac:dyDescent="0.2"/>
    <row r="8579" ht="12.75" hidden="1" x14ac:dyDescent="0.2"/>
    <row r="8580" ht="12.75" hidden="1" x14ac:dyDescent="0.2"/>
    <row r="8581" ht="12.75" hidden="1" x14ac:dyDescent="0.2"/>
    <row r="8582" ht="12.75" hidden="1" x14ac:dyDescent="0.2"/>
    <row r="8583" ht="12.75" hidden="1" x14ac:dyDescent="0.2"/>
    <row r="8584" ht="12.75" hidden="1" x14ac:dyDescent="0.2"/>
    <row r="8585" ht="12.75" hidden="1" x14ac:dyDescent="0.2"/>
    <row r="8586" ht="12.75" hidden="1" x14ac:dyDescent="0.2"/>
    <row r="8587" ht="12.75" hidden="1" x14ac:dyDescent="0.2"/>
    <row r="8588" ht="12.75" hidden="1" x14ac:dyDescent="0.2"/>
    <row r="8589" ht="12.75" hidden="1" x14ac:dyDescent="0.2"/>
    <row r="8590" ht="12.75" hidden="1" x14ac:dyDescent="0.2"/>
    <row r="8591" ht="12.75" hidden="1" x14ac:dyDescent="0.2"/>
    <row r="8592" ht="12.75" hidden="1" x14ac:dyDescent="0.2"/>
    <row r="8593" ht="12.75" hidden="1" x14ac:dyDescent="0.2"/>
    <row r="8594" ht="12.75" hidden="1" x14ac:dyDescent="0.2"/>
    <row r="8595" ht="12.75" hidden="1" x14ac:dyDescent="0.2"/>
    <row r="8596" ht="12.75" hidden="1" x14ac:dyDescent="0.2"/>
    <row r="8597" ht="12.75" hidden="1" x14ac:dyDescent="0.2"/>
    <row r="8598" ht="12.75" hidden="1" x14ac:dyDescent="0.2"/>
    <row r="8599" ht="12.75" hidden="1" x14ac:dyDescent="0.2"/>
    <row r="8600" ht="12.75" hidden="1" x14ac:dyDescent="0.2"/>
    <row r="8601" ht="12.75" hidden="1" x14ac:dyDescent="0.2"/>
    <row r="8602" ht="12.75" hidden="1" x14ac:dyDescent="0.2"/>
    <row r="8603" ht="12.75" hidden="1" x14ac:dyDescent="0.2"/>
    <row r="8604" ht="12.75" hidden="1" x14ac:dyDescent="0.2"/>
    <row r="8605" ht="12.75" hidden="1" x14ac:dyDescent="0.2"/>
    <row r="8606" ht="12.75" hidden="1" x14ac:dyDescent="0.2"/>
    <row r="8607" ht="12.75" hidden="1" x14ac:dyDescent="0.2"/>
    <row r="8608" ht="12.75" hidden="1" x14ac:dyDescent="0.2"/>
    <row r="8609" ht="12.75" hidden="1" x14ac:dyDescent="0.2"/>
    <row r="8610" ht="12.75" hidden="1" x14ac:dyDescent="0.2"/>
    <row r="8611" ht="12.75" hidden="1" x14ac:dyDescent="0.2"/>
    <row r="8612" ht="12.75" hidden="1" x14ac:dyDescent="0.2"/>
    <row r="8613" ht="12.75" hidden="1" x14ac:dyDescent="0.2"/>
    <row r="8614" ht="12.75" hidden="1" x14ac:dyDescent="0.2"/>
    <row r="8615" ht="12.75" hidden="1" x14ac:dyDescent="0.2"/>
    <row r="8616" ht="12.75" hidden="1" x14ac:dyDescent="0.2"/>
    <row r="8617" ht="12.75" hidden="1" x14ac:dyDescent="0.2"/>
    <row r="8618" ht="12.75" hidden="1" x14ac:dyDescent="0.2"/>
    <row r="8619" ht="12.75" hidden="1" x14ac:dyDescent="0.2"/>
    <row r="8620" ht="12.75" hidden="1" x14ac:dyDescent="0.2"/>
    <row r="8621" ht="12.75" hidden="1" x14ac:dyDescent="0.2"/>
    <row r="8622" ht="12.75" hidden="1" x14ac:dyDescent="0.2"/>
    <row r="8623" ht="12.75" hidden="1" x14ac:dyDescent="0.2"/>
    <row r="8624" ht="12.75" hidden="1" x14ac:dyDescent="0.2"/>
    <row r="8625" ht="12.75" hidden="1" x14ac:dyDescent="0.2"/>
    <row r="8626" ht="12.75" hidden="1" x14ac:dyDescent="0.2"/>
    <row r="8627" ht="12.75" hidden="1" x14ac:dyDescent="0.2"/>
    <row r="8628" ht="12.75" hidden="1" x14ac:dyDescent="0.2"/>
    <row r="8629" ht="12.75" hidden="1" x14ac:dyDescent="0.2"/>
    <row r="8630" ht="12.75" hidden="1" x14ac:dyDescent="0.2"/>
    <row r="8631" ht="12.75" hidden="1" x14ac:dyDescent="0.2"/>
    <row r="8632" ht="12.75" hidden="1" x14ac:dyDescent="0.2"/>
    <row r="8633" ht="12.75" hidden="1" x14ac:dyDescent="0.2"/>
    <row r="8634" ht="12.75" hidden="1" x14ac:dyDescent="0.2"/>
    <row r="8635" ht="12.75" hidden="1" x14ac:dyDescent="0.2"/>
    <row r="8636" ht="12.75" hidden="1" x14ac:dyDescent="0.2"/>
    <row r="8637" ht="12.75" hidden="1" x14ac:dyDescent="0.2"/>
    <row r="8638" ht="12.75" hidden="1" x14ac:dyDescent="0.2"/>
    <row r="8639" ht="12.75" hidden="1" x14ac:dyDescent="0.2"/>
    <row r="8640" ht="12.75" hidden="1" x14ac:dyDescent="0.2"/>
    <row r="8641" ht="12.75" hidden="1" x14ac:dyDescent="0.2"/>
    <row r="8642" ht="12.75" hidden="1" x14ac:dyDescent="0.2"/>
    <row r="8643" ht="12.75" hidden="1" x14ac:dyDescent="0.2"/>
    <row r="8644" ht="12.75" hidden="1" x14ac:dyDescent="0.2"/>
    <row r="8645" ht="12.75" hidden="1" x14ac:dyDescent="0.2"/>
    <row r="8646" ht="12.75" hidden="1" x14ac:dyDescent="0.2"/>
    <row r="8647" ht="12.75" hidden="1" x14ac:dyDescent="0.2"/>
    <row r="8648" ht="12.75" hidden="1" x14ac:dyDescent="0.2"/>
    <row r="8649" ht="12.75" hidden="1" x14ac:dyDescent="0.2"/>
    <row r="8650" ht="12.75" hidden="1" x14ac:dyDescent="0.2"/>
    <row r="8651" ht="12.75" hidden="1" x14ac:dyDescent="0.2"/>
    <row r="8652" ht="12.75" hidden="1" x14ac:dyDescent="0.2"/>
    <row r="8653" ht="12.75" hidden="1" x14ac:dyDescent="0.2"/>
    <row r="8654" ht="12.75" hidden="1" x14ac:dyDescent="0.2"/>
    <row r="8655" ht="12.75" hidden="1" x14ac:dyDescent="0.2"/>
    <row r="8656" ht="12.75" hidden="1" x14ac:dyDescent="0.2"/>
    <row r="8657" ht="12.75" hidden="1" x14ac:dyDescent="0.2"/>
    <row r="8658" ht="12.75" hidden="1" x14ac:dyDescent="0.2"/>
    <row r="8659" ht="12.75" hidden="1" x14ac:dyDescent="0.2"/>
    <row r="8660" ht="12.75" hidden="1" x14ac:dyDescent="0.2"/>
    <row r="8661" ht="12.75" hidden="1" x14ac:dyDescent="0.2"/>
    <row r="8662" ht="12.75" hidden="1" x14ac:dyDescent="0.2"/>
    <row r="8663" ht="12.75" hidden="1" x14ac:dyDescent="0.2"/>
    <row r="8664" ht="12.75" hidden="1" x14ac:dyDescent="0.2"/>
    <row r="8665" ht="12.75" hidden="1" x14ac:dyDescent="0.2"/>
    <row r="8666" ht="12.75" hidden="1" x14ac:dyDescent="0.2"/>
    <row r="8667" ht="12.75" hidden="1" x14ac:dyDescent="0.2"/>
    <row r="8668" ht="12.75" hidden="1" x14ac:dyDescent="0.2"/>
    <row r="8669" ht="12.75" hidden="1" x14ac:dyDescent="0.2"/>
    <row r="8670" ht="12.75" hidden="1" x14ac:dyDescent="0.2"/>
    <row r="8671" ht="12.75" hidden="1" x14ac:dyDescent="0.2"/>
    <row r="8672" ht="12.75" hidden="1" x14ac:dyDescent="0.2"/>
    <row r="8673" ht="12.75" hidden="1" x14ac:dyDescent="0.2"/>
    <row r="8674" ht="12.75" hidden="1" x14ac:dyDescent="0.2"/>
    <row r="8675" ht="12.75" hidden="1" x14ac:dyDescent="0.2"/>
    <row r="8676" ht="12.75" hidden="1" x14ac:dyDescent="0.2"/>
    <row r="8677" ht="12.75" hidden="1" x14ac:dyDescent="0.2"/>
    <row r="8678" ht="12.75" hidden="1" x14ac:dyDescent="0.2"/>
    <row r="8679" ht="12.75" hidden="1" x14ac:dyDescent="0.2"/>
    <row r="8680" ht="12.75" hidden="1" x14ac:dyDescent="0.2"/>
    <row r="8681" ht="12.75" hidden="1" x14ac:dyDescent="0.2"/>
    <row r="8682" ht="12.75" hidden="1" x14ac:dyDescent="0.2"/>
    <row r="8683" ht="12.75" hidden="1" x14ac:dyDescent="0.2"/>
    <row r="8684" ht="12.75" hidden="1" x14ac:dyDescent="0.2"/>
    <row r="8685" ht="12.75" hidden="1" x14ac:dyDescent="0.2"/>
    <row r="8686" ht="12.75" hidden="1" x14ac:dyDescent="0.2"/>
    <row r="8687" ht="12.75" hidden="1" x14ac:dyDescent="0.2"/>
    <row r="8688" ht="12.75" hidden="1" x14ac:dyDescent="0.2"/>
    <row r="8689" ht="12.75" hidden="1" x14ac:dyDescent="0.2"/>
    <row r="8690" ht="12.75" hidden="1" x14ac:dyDescent="0.2"/>
    <row r="8691" ht="12.75" hidden="1" x14ac:dyDescent="0.2"/>
    <row r="8692" ht="12.75" hidden="1" x14ac:dyDescent="0.2"/>
    <row r="8693" ht="12.75" hidden="1" x14ac:dyDescent="0.2"/>
    <row r="8694" ht="12.75" hidden="1" x14ac:dyDescent="0.2"/>
    <row r="8695" ht="12.75" hidden="1" x14ac:dyDescent="0.2"/>
    <row r="8696" ht="12.75" hidden="1" x14ac:dyDescent="0.2"/>
    <row r="8697" ht="12.75" hidden="1" x14ac:dyDescent="0.2"/>
    <row r="8698" ht="12.75" hidden="1" x14ac:dyDescent="0.2"/>
    <row r="8699" ht="12.75" hidden="1" x14ac:dyDescent="0.2"/>
    <row r="8700" ht="12.75" hidden="1" x14ac:dyDescent="0.2"/>
    <row r="8701" ht="12.75" hidden="1" x14ac:dyDescent="0.2"/>
    <row r="8702" ht="12.75" hidden="1" x14ac:dyDescent="0.2"/>
    <row r="8703" ht="12.75" hidden="1" x14ac:dyDescent="0.2"/>
    <row r="8704" ht="12.75" hidden="1" x14ac:dyDescent="0.2"/>
    <row r="8705" ht="12.75" hidden="1" x14ac:dyDescent="0.2"/>
    <row r="8706" ht="12.75" hidden="1" x14ac:dyDescent="0.2"/>
    <row r="8707" ht="12.75" hidden="1" x14ac:dyDescent="0.2"/>
    <row r="8708" ht="12.75" hidden="1" x14ac:dyDescent="0.2"/>
    <row r="8709" ht="12.75" hidden="1" x14ac:dyDescent="0.2"/>
    <row r="8710" ht="12.75" hidden="1" x14ac:dyDescent="0.2"/>
    <row r="8711" ht="12.75" hidden="1" x14ac:dyDescent="0.2"/>
    <row r="8712" ht="12.75" hidden="1" x14ac:dyDescent="0.2"/>
    <row r="8713" ht="12.75" hidden="1" x14ac:dyDescent="0.2"/>
    <row r="8714" ht="12.75" hidden="1" x14ac:dyDescent="0.2"/>
    <row r="8715" ht="12.75" hidden="1" x14ac:dyDescent="0.2"/>
    <row r="8716" ht="12.75" hidden="1" x14ac:dyDescent="0.2"/>
    <row r="8717" ht="12.75" hidden="1" x14ac:dyDescent="0.2"/>
    <row r="8718" ht="12.75" hidden="1" x14ac:dyDescent="0.2"/>
    <row r="8719" ht="12.75" hidden="1" x14ac:dyDescent="0.2"/>
    <row r="8720" ht="12.75" hidden="1" x14ac:dyDescent="0.2"/>
    <row r="8721" ht="12.75" hidden="1" x14ac:dyDescent="0.2"/>
    <row r="8722" ht="12.75" hidden="1" x14ac:dyDescent="0.2"/>
    <row r="8723" ht="12.75" hidden="1" x14ac:dyDescent="0.2"/>
    <row r="8724" ht="12.75" hidden="1" x14ac:dyDescent="0.2"/>
    <row r="8725" ht="12.75" hidden="1" x14ac:dyDescent="0.2"/>
    <row r="8726" ht="12.75" hidden="1" x14ac:dyDescent="0.2"/>
    <row r="8727" ht="12.75" hidden="1" x14ac:dyDescent="0.2"/>
    <row r="8728" ht="12.75" hidden="1" x14ac:dyDescent="0.2"/>
    <row r="8729" ht="12.75" hidden="1" x14ac:dyDescent="0.2"/>
    <row r="8730" ht="12.75" hidden="1" x14ac:dyDescent="0.2"/>
    <row r="8731" ht="12.75" hidden="1" x14ac:dyDescent="0.2"/>
    <row r="8732" ht="12.75" hidden="1" x14ac:dyDescent="0.2"/>
    <row r="8733" ht="12.75" hidden="1" x14ac:dyDescent="0.2"/>
    <row r="8734" ht="12.75" hidden="1" x14ac:dyDescent="0.2"/>
    <row r="8735" ht="12.75" hidden="1" x14ac:dyDescent="0.2"/>
    <row r="8736" ht="12.75" hidden="1" x14ac:dyDescent="0.2"/>
    <row r="8737" ht="12.75" hidden="1" x14ac:dyDescent="0.2"/>
    <row r="8738" ht="12.75" hidden="1" x14ac:dyDescent="0.2"/>
    <row r="8739" ht="12.75" hidden="1" x14ac:dyDescent="0.2"/>
    <row r="8740" ht="12.75" hidden="1" x14ac:dyDescent="0.2"/>
    <row r="8741" ht="12.75" hidden="1" x14ac:dyDescent="0.2"/>
    <row r="8742" ht="12.75" hidden="1" x14ac:dyDescent="0.2"/>
    <row r="8743" ht="12.75" hidden="1" x14ac:dyDescent="0.2"/>
    <row r="8744" ht="12.75" hidden="1" x14ac:dyDescent="0.2"/>
    <row r="8745" ht="12.75" hidden="1" x14ac:dyDescent="0.2"/>
    <row r="8746" ht="12.75" hidden="1" x14ac:dyDescent="0.2"/>
    <row r="8747" ht="12.75" hidden="1" x14ac:dyDescent="0.2"/>
    <row r="8748" ht="12.75" hidden="1" x14ac:dyDescent="0.2"/>
    <row r="8749" ht="12.75" hidden="1" x14ac:dyDescent="0.2"/>
    <row r="8750" ht="12.75" hidden="1" x14ac:dyDescent="0.2"/>
    <row r="8751" ht="12.75" hidden="1" x14ac:dyDescent="0.2"/>
    <row r="8752" ht="12.75" hidden="1" x14ac:dyDescent="0.2"/>
    <row r="8753" ht="12.75" hidden="1" x14ac:dyDescent="0.2"/>
    <row r="8754" ht="12.75" hidden="1" x14ac:dyDescent="0.2"/>
    <row r="8755" ht="12.75" hidden="1" x14ac:dyDescent="0.2"/>
    <row r="8756" ht="12.75" hidden="1" x14ac:dyDescent="0.2"/>
    <row r="8757" ht="12.75" hidden="1" x14ac:dyDescent="0.2"/>
    <row r="8758" ht="12.75" hidden="1" x14ac:dyDescent="0.2"/>
    <row r="8759" ht="12.75" hidden="1" x14ac:dyDescent="0.2"/>
    <row r="8760" ht="12.75" hidden="1" x14ac:dyDescent="0.2"/>
    <row r="8761" ht="12.75" hidden="1" x14ac:dyDescent="0.2"/>
    <row r="8762" ht="12.75" hidden="1" x14ac:dyDescent="0.2"/>
    <row r="8763" ht="12.75" hidden="1" x14ac:dyDescent="0.2"/>
    <row r="8764" ht="12.75" hidden="1" x14ac:dyDescent="0.2"/>
    <row r="8765" ht="12.75" hidden="1" x14ac:dyDescent="0.2"/>
    <row r="8766" ht="12.75" hidden="1" x14ac:dyDescent="0.2"/>
    <row r="8767" ht="12.75" hidden="1" x14ac:dyDescent="0.2"/>
    <row r="8768" ht="12.75" hidden="1" x14ac:dyDescent="0.2"/>
    <row r="8769" ht="12.75" hidden="1" x14ac:dyDescent="0.2"/>
    <row r="8770" ht="12.75" hidden="1" x14ac:dyDescent="0.2"/>
    <row r="8771" ht="12.75" hidden="1" x14ac:dyDescent="0.2"/>
    <row r="8772" ht="12.75" hidden="1" x14ac:dyDescent="0.2"/>
    <row r="8773" ht="12.75" hidden="1" x14ac:dyDescent="0.2"/>
    <row r="8774" ht="12.75" hidden="1" x14ac:dyDescent="0.2"/>
    <row r="8775" ht="12.75" hidden="1" x14ac:dyDescent="0.2"/>
    <row r="8776" ht="12.75" hidden="1" x14ac:dyDescent="0.2"/>
    <row r="8777" ht="12.75" hidden="1" x14ac:dyDescent="0.2"/>
    <row r="8778" ht="12.75" hidden="1" x14ac:dyDescent="0.2"/>
    <row r="8779" ht="12.75" hidden="1" x14ac:dyDescent="0.2"/>
    <row r="8780" ht="12.75" hidden="1" x14ac:dyDescent="0.2"/>
    <row r="8781" ht="12.75" hidden="1" x14ac:dyDescent="0.2"/>
    <row r="8782" ht="12.75" hidden="1" x14ac:dyDescent="0.2"/>
    <row r="8783" ht="12.75" hidden="1" x14ac:dyDescent="0.2"/>
    <row r="8784" ht="12.75" hidden="1" x14ac:dyDescent="0.2"/>
    <row r="8785" ht="12.75" hidden="1" x14ac:dyDescent="0.2"/>
    <row r="8786" ht="12.75" hidden="1" x14ac:dyDescent="0.2"/>
    <row r="8787" ht="12.75" hidden="1" x14ac:dyDescent="0.2"/>
    <row r="8788" ht="12.75" hidden="1" x14ac:dyDescent="0.2"/>
    <row r="8789" ht="12.75" hidden="1" x14ac:dyDescent="0.2"/>
    <row r="8790" ht="12.75" hidden="1" x14ac:dyDescent="0.2"/>
    <row r="8791" ht="12.75" hidden="1" x14ac:dyDescent="0.2"/>
    <row r="8792" ht="12.75" hidden="1" x14ac:dyDescent="0.2"/>
    <row r="8793" ht="12.75" hidden="1" x14ac:dyDescent="0.2"/>
    <row r="8794" ht="12.75" hidden="1" x14ac:dyDescent="0.2"/>
    <row r="8795" ht="12.75" hidden="1" x14ac:dyDescent="0.2"/>
    <row r="8796" ht="12.75" hidden="1" x14ac:dyDescent="0.2"/>
    <row r="8797" ht="12.75" hidden="1" x14ac:dyDescent="0.2"/>
    <row r="8798" ht="12.75" hidden="1" x14ac:dyDescent="0.2"/>
    <row r="8799" ht="12.75" hidden="1" x14ac:dyDescent="0.2"/>
    <row r="8800" ht="12.75" hidden="1" x14ac:dyDescent="0.2"/>
    <row r="8801" ht="12.75" hidden="1" x14ac:dyDescent="0.2"/>
    <row r="8802" ht="12.75" hidden="1" x14ac:dyDescent="0.2"/>
    <row r="8803" ht="12.75" hidden="1" x14ac:dyDescent="0.2"/>
    <row r="8804" ht="12.75" hidden="1" x14ac:dyDescent="0.2"/>
    <row r="8805" ht="12.75" hidden="1" x14ac:dyDescent="0.2"/>
    <row r="8806" ht="12.75" hidden="1" x14ac:dyDescent="0.2"/>
    <row r="8807" ht="12.75" hidden="1" x14ac:dyDescent="0.2"/>
    <row r="8808" ht="12.75" hidden="1" x14ac:dyDescent="0.2"/>
    <row r="8809" ht="12.75" hidden="1" x14ac:dyDescent="0.2"/>
    <row r="8810" ht="12.75" hidden="1" x14ac:dyDescent="0.2"/>
    <row r="8811" ht="12.75" hidden="1" x14ac:dyDescent="0.2"/>
    <row r="8812" ht="12.75" hidden="1" x14ac:dyDescent="0.2"/>
    <row r="8813" ht="12.75" hidden="1" x14ac:dyDescent="0.2"/>
    <row r="8814" ht="12.75" hidden="1" x14ac:dyDescent="0.2"/>
    <row r="8815" ht="12.75" hidden="1" x14ac:dyDescent="0.2"/>
    <row r="8816" ht="12.75" hidden="1" x14ac:dyDescent="0.2"/>
    <row r="8817" ht="12.75" hidden="1" x14ac:dyDescent="0.2"/>
    <row r="8818" ht="12.75" hidden="1" x14ac:dyDescent="0.2"/>
    <row r="8819" ht="12.75" hidden="1" x14ac:dyDescent="0.2"/>
    <row r="8820" ht="12.75" hidden="1" x14ac:dyDescent="0.2"/>
    <row r="8821" ht="12.75" hidden="1" x14ac:dyDescent="0.2"/>
    <row r="8822" ht="12.75" hidden="1" x14ac:dyDescent="0.2"/>
    <row r="8823" ht="12.75" hidden="1" x14ac:dyDescent="0.2"/>
    <row r="8824" ht="12.75" hidden="1" x14ac:dyDescent="0.2"/>
    <row r="8825" ht="12.75" hidden="1" x14ac:dyDescent="0.2"/>
    <row r="8826" ht="12.75" hidden="1" x14ac:dyDescent="0.2"/>
    <row r="8827" ht="12.75" hidden="1" x14ac:dyDescent="0.2"/>
    <row r="8828" ht="12.75" hidden="1" x14ac:dyDescent="0.2"/>
    <row r="8829" ht="12.75" hidden="1" x14ac:dyDescent="0.2"/>
    <row r="8830" ht="12.75" hidden="1" x14ac:dyDescent="0.2"/>
    <row r="8831" ht="12.75" hidden="1" x14ac:dyDescent="0.2"/>
    <row r="8832" ht="12.75" hidden="1" x14ac:dyDescent="0.2"/>
    <row r="8833" ht="12.75" hidden="1" x14ac:dyDescent="0.2"/>
    <row r="8834" ht="12.75" hidden="1" x14ac:dyDescent="0.2"/>
    <row r="8835" ht="12.75" hidden="1" x14ac:dyDescent="0.2"/>
    <row r="8836" ht="12.75" hidden="1" x14ac:dyDescent="0.2"/>
    <row r="8837" ht="12.75" hidden="1" x14ac:dyDescent="0.2"/>
    <row r="8838" ht="12.75" hidden="1" x14ac:dyDescent="0.2"/>
    <row r="8839" ht="12.75" hidden="1" x14ac:dyDescent="0.2"/>
    <row r="8840" ht="12.75" hidden="1" x14ac:dyDescent="0.2"/>
    <row r="8841" ht="12.75" hidden="1" x14ac:dyDescent="0.2"/>
    <row r="8842" ht="12.75" hidden="1" x14ac:dyDescent="0.2"/>
    <row r="8843" ht="12.75" hidden="1" x14ac:dyDescent="0.2"/>
    <row r="8844" ht="12.75" hidden="1" x14ac:dyDescent="0.2"/>
    <row r="8845" ht="12.75" hidden="1" x14ac:dyDescent="0.2"/>
    <row r="8846" ht="12.75" hidden="1" x14ac:dyDescent="0.2"/>
    <row r="8847" ht="12.75" hidden="1" x14ac:dyDescent="0.2"/>
    <row r="8848" ht="12.75" hidden="1" x14ac:dyDescent="0.2"/>
    <row r="8849" ht="12.75" hidden="1" x14ac:dyDescent="0.2"/>
    <row r="8850" ht="12.75" hidden="1" x14ac:dyDescent="0.2"/>
    <row r="8851" ht="12.75" hidden="1" x14ac:dyDescent="0.2"/>
    <row r="8852" ht="12.75" hidden="1" x14ac:dyDescent="0.2"/>
    <row r="8853" ht="12.75" hidden="1" x14ac:dyDescent="0.2"/>
    <row r="8854" ht="12.75" hidden="1" x14ac:dyDescent="0.2"/>
    <row r="8855" ht="12.75" hidden="1" x14ac:dyDescent="0.2"/>
    <row r="8856" ht="12.75" hidden="1" x14ac:dyDescent="0.2"/>
    <row r="8857" ht="12.75" hidden="1" x14ac:dyDescent="0.2"/>
    <row r="8858" ht="12.75" hidden="1" x14ac:dyDescent="0.2"/>
    <row r="8859" ht="12.75" hidden="1" x14ac:dyDescent="0.2"/>
    <row r="8860" ht="12.75" hidden="1" x14ac:dyDescent="0.2"/>
    <row r="8861" ht="12.75" hidden="1" x14ac:dyDescent="0.2"/>
    <row r="8862" ht="12.75" hidden="1" x14ac:dyDescent="0.2"/>
    <row r="8863" ht="12.75" hidden="1" x14ac:dyDescent="0.2"/>
    <row r="8864" ht="12.75" hidden="1" x14ac:dyDescent="0.2"/>
    <row r="8865" ht="12.75" hidden="1" x14ac:dyDescent="0.2"/>
    <row r="8866" ht="12.75" hidden="1" x14ac:dyDescent="0.2"/>
    <row r="8867" ht="12.75" hidden="1" x14ac:dyDescent="0.2"/>
    <row r="8868" ht="12.75" hidden="1" x14ac:dyDescent="0.2"/>
    <row r="8869" ht="12.75" hidden="1" x14ac:dyDescent="0.2"/>
    <row r="8870" ht="12.75" hidden="1" x14ac:dyDescent="0.2"/>
    <row r="8871" ht="12.75" hidden="1" x14ac:dyDescent="0.2"/>
    <row r="8872" ht="12.75" hidden="1" x14ac:dyDescent="0.2"/>
    <row r="8873" ht="12.75" hidden="1" x14ac:dyDescent="0.2"/>
    <row r="8874" ht="12.75" hidden="1" x14ac:dyDescent="0.2"/>
    <row r="8875" ht="12.75" hidden="1" x14ac:dyDescent="0.2"/>
    <row r="8876" ht="12.75" hidden="1" x14ac:dyDescent="0.2"/>
    <row r="8877" ht="12.75" hidden="1" x14ac:dyDescent="0.2"/>
    <row r="8878" ht="12.75" hidden="1" x14ac:dyDescent="0.2"/>
    <row r="8879" ht="12.75" hidden="1" x14ac:dyDescent="0.2"/>
    <row r="8880" ht="12.75" hidden="1" x14ac:dyDescent="0.2"/>
    <row r="8881" ht="12.75" hidden="1" x14ac:dyDescent="0.2"/>
    <row r="8882" ht="12.75" hidden="1" x14ac:dyDescent="0.2"/>
    <row r="8883" ht="12.75" hidden="1" x14ac:dyDescent="0.2"/>
    <row r="8884" ht="12.75" hidden="1" x14ac:dyDescent="0.2"/>
    <row r="8885" ht="12.75" hidden="1" x14ac:dyDescent="0.2"/>
    <row r="8886" ht="12.75" hidden="1" x14ac:dyDescent="0.2"/>
    <row r="8887" ht="12.75" hidden="1" x14ac:dyDescent="0.2"/>
    <row r="8888" ht="12.75" hidden="1" x14ac:dyDescent="0.2"/>
    <row r="8889" ht="12.75" hidden="1" x14ac:dyDescent="0.2"/>
    <row r="8890" ht="12.75" hidden="1" x14ac:dyDescent="0.2"/>
    <row r="8891" ht="12.75" hidden="1" x14ac:dyDescent="0.2"/>
    <row r="8892" ht="12.75" hidden="1" x14ac:dyDescent="0.2"/>
    <row r="8893" ht="12.75" hidden="1" x14ac:dyDescent="0.2"/>
    <row r="8894" ht="12.75" hidden="1" x14ac:dyDescent="0.2"/>
    <row r="8895" ht="12.75" hidden="1" x14ac:dyDescent="0.2"/>
    <row r="8896" ht="12.75" hidden="1" x14ac:dyDescent="0.2"/>
    <row r="8897" ht="12.75" hidden="1" x14ac:dyDescent="0.2"/>
    <row r="8898" ht="12.75" hidden="1" x14ac:dyDescent="0.2"/>
    <row r="8899" ht="12.75" hidden="1" x14ac:dyDescent="0.2"/>
    <row r="8900" ht="12.75" hidden="1" x14ac:dyDescent="0.2"/>
    <row r="8901" ht="12.75" hidden="1" x14ac:dyDescent="0.2"/>
    <row r="8902" ht="12.75" hidden="1" x14ac:dyDescent="0.2"/>
    <row r="8903" ht="12.75" hidden="1" x14ac:dyDescent="0.2"/>
    <row r="8904" ht="12.75" hidden="1" x14ac:dyDescent="0.2"/>
    <row r="8905" ht="12.75" hidden="1" x14ac:dyDescent="0.2"/>
    <row r="8906" ht="12.75" hidden="1" x14ac:dyDescent="0.2"/>
    <row r="8907" ht="12.75" hidden="1" x14ac:dyDescent="0.2"/>
    <row r="8908" ht="12.75" hidden="1" x14ac:dyDescent="0.2"/>
    <row r="8909" ht="12.75" hidden="1" x14ac:dyDescent="0.2"/>
    <row r="8910" ht="12.75" hidden="1" x14ac:dyDescent="0.2"/>
    <row r="8911" ht="12.75" hidden="1" x14ac:dyDescent="0.2"/>
    <row r="8912" ht="12.75" hidden="1" x14ac:dyDescent="0.2"/>
    <row r="8913" ht="12.75" hidden="1" x14ac:dyDescent="0.2"/>
    <row r="8914" ht="12.75" hidden="1" x14ac:dyDescent="0.2"/>
    <row r="8915" ht="12.75" hidden="1" x14ac:dyDescent="0.2"/>
    <row r="8916" ht="12.75" hidden="1" x14ac:dyDescent="0.2"/>
    <row r="8917" ht="12.75" hidden="1" x14ac:dyDescent="0.2"/>
    <row r="8918" ht="12.75" hidden="1" x14ac:dyDescent="0.2"/>
    <row r="8919" ht="12.75" hidden="1" x14ac:dyDescent="0.2"/>
    <row r="8920" ht="12.75" hidden="1" x14ac:dyDescent="0.2"/>
    <row r="8921" ht="12.75" hidden="1" x14ac:dyDescent="0.2"/>
    <row r="8922" ht="12.75" hidden="1" x14ac:dyDescent="0.2"/>
    <row r="8923" ht="12.75" hidden="1" x14ac:dyDescent="0.2"/>
    <row r="8924" ht="12.75" hidden="1" x14ac:dyDescent="0.2"/>
    <row r="8925" ht="12.75" hidden="1" x14ac:dyDescent="0.2"/>
    <row r="8926" ht="12.75" hidden="1" x14ac:dyDescent="0.2"/>
    <row r="8927" ht="12.75" hidden="1" x14ac:dyDescent="0.2"/>
    <row r="8928" ht="12.75" hidden="1" x14ac:dyDescent="0.2"/>
    <row r="8929" ht="12.75" hidden="1" x14ac:dyDescent="0.2"/>
    <row r="8930" ht="12.75" hidden="1" x14ac:dyDescent="0.2"/>
    <row r="8931" ht="12.75" hidden="1" x14ac:dyDescent="0.2"/>
    <row r="8932" ht="12.75" hidden="1" x14ac:dyDescent="0.2"/>
    <row r="8933" ht="12.75" hidden="1" x14ac:dyDescent="0.2"/>
    <row r="8934" ht="12.75" hidden="1" x14ac:dyDescent="0.2"/>
    <row r="8935" ht="12.75" hidden="1" x14ac:dyDescent="0.2"/>
    <row r="8936" ht="12.75" hidden="1" x14ac:dyDescent="0.2"/>
    <row r="8937" ht="12.75" hidden="1" x14ac:dyDescent="0.2"/>
    <row r="8938" ht="12.75" hidden="1" x14ac:dyDescent="0.2"/>
    <row r="8939" ht="12.75" hidden="1" x14ac:dyDescent="0.2"/>
    <row r="8940" ht="12.75" hidden="1" x14ac:dyDescent="0.2"/>
    <row r="8941" ht="12.75" hidden="1" x14ac:dyDescent="0.2"/>
    <row r="8942" ht="12.75" hidden="1" x14ac:dyDescent="0.2"/>
    <row r="8943" ht="12.75" hidden="1" x14ac:dyDescent="0.2"/>
    <row r="8944" ht="12.75" hidden="1" x14ac:dyDescent="0.2"/>
    <row r="8945" ht="12.75" hidden="1" x14ac:dyDescent="0.2"/>
    <row r="8946" ht="12.75" hidden="1" x14ac:dyDescent="0.2"/>
    <row r="8947" ht="12.75" hidden="1" x14ac:dyDescent="0.2"/>
    <row r="8948" ht="12.75" hidden="1" x14ac:dyDescent="0.2"/>
    <row r="8949" ht="12.75" hidden="1" x14ac:dyDescent="0.2"/>
    <row r="8950" ht="12.75" hidden="1" x14ac:dyDescent="0.2"/>
    <row r="8951" ht="12.75" hidden="1" x14ac:dyDescent="0.2"/>
    <row r="8952" ht="12.75" hidden="1" x14ac:dyDescent="0.2"/>
    <row r="8953" ht="12.75" hidden="1" x14ac:dyDescent="0.2"/>
    <row r="8954" ht="12.75" hidden="1" x14ac:dyDescent="0.2"/>
    <row r="8955" ht="12.75" hidden="1" x14ac:dyDescent="0.2"/>
    <row r="8956" ht="12.75" hidden="1" x14ac:dyDescent="0.2"/>
    <row r="8957" ht="12.75" hidden="1" x14ac:dyDescent="0.2"/>
    <row r="8958" ht="12.75" hidden="1" x14ac:dyDescent="0.2"/>
    <row r="8959" ht="12.75" hidden="1" x14ac:dyDescent="0.2"/>
    <row r="8960" ht="12.75" hidden="1" x14ac:dyDescent="0.2"/>
    <row r="8961" ht="12.75" hidden="1" x14ac:dyDescent="0.2"/>
    <row r="8962" ht="12.75" hidden="1" x14ac:dyDescent="0.2"/>
    <row r="8963" ht="12.75" hidden="1" x14ac:dyDescent="0.2"/>
    <row r="8964" ht="12.75" hidden="1" x14ac:dyDescent="0.2"/>
    <row r="8965" ht="12.75" hidden="1" x14ac:dyDescent="0.2"/>
    <row r="8966" ht="12.75" hidden="1" x14ac:dyDescent="0.2"/>
    <row r="8967" ht="12.75" hidden="1" x14ac:dyDescent="0.2"/>
    <row r="8968" ht="12.75" hidden="1" x14ac:dyDescent="0.2"/>
    <row r="8969" ht="12.75" hidden="1" x14ac:dyDescent="0.2"/>
    <row r="8970" ht="12.75" hidden="1" x14ac:dyDescent="0.2"/>
    <row r="8971" ht="12.75" hidden="1" x14ac:dyDescent="0.2"/>
    <row r="8972" ht="12.75" hidden="1" x14ac:dyDescent="0.2"/>
    <row r="8973" ht="12.75" hidden="1" x14ac:dyDescent="0.2"/>
    <row r="8974" ht="12.75" hidden="1" x14ac:dyDescent="0.2"/>
    <row r="8975" ht="12.75" hidden="1" x14ac:dyDescent="0.2"/>
    <row r="8976" ht="12.75" hidden="1" x14ac:dyDescent="0.2"/>
    <row r="8977" ht="12.75" hidden="1" x14ac:dyDescent="0.2"/>
    <row r="8978" ht="12.75" hidden="1" x14ac:dyDescent="0.2"/>
    <row r="8979" ht="12.75" hidden="1" x14ac:dyDescent="0.2"/>
    <row r="8980" ht="12.75" hidden="1" x14ac:dyDescent="0.2"/>
    <row r="8981" ht="12.75" hidden="1" x14ac:dyDescent="0.2"/>
    <row r="8982" ht="12.75" hidden="1" x14ac:dyDescent="0.2"/>
    <row r="8983" ht="12.75" hidden="1" x14ac:dyDescent="0.2"/>
    <row r="8984" ht="12.75" hidden="1" x14ac:dyDescent="0.2"/>
    <row r="8985" ht="12.75" hidden="1" x14ac:dyDescent="0.2"/>
    <row r="8986" ht="12.75" hidden="1" x14ac:dyDescent="0.2"/>
    <row r="8987" ht="12.75" hidden="1" x14ac:dyDescent="0.2"/>
    <row r="8988" ht="12.75" hidden="1" x14ac:dyDescent="0.2"/>
    <row r="8989" ht="12.75" hidden="1" x14ac:dyDescent="0.2"/>
    <row r="8990" ht="12.75" hidden="1" x14ac:dyDescent="0.2"/>
    <row r="8991" ht="12.75" hidden="1" x14ac:dyDescent="0.2"/>
    <row r="8992" ht="12.75" hidden="1" x14ac:dyDescent="0.2"/>
    <row r="8993" ht="12.75" hidden="1" x14ac:dyDescent="0.2"/>
    <row r="8994" ht="12.75" hidden="1" x14ac:dyDescent="0.2"/>
    <row r="8995" ht="12.75" hidden="1" x14ac:dyDescent="0.2"/>
    <row r="8996" ht="12.75" hidden="1" x14ac:dyDescent="0.2"/>
    <row r="8997" ht="12.75" hidden="1" x14ac:dyDescent="0.2"/>
    <row r="8998" ht="12.75" hidden="1" x14ac:dyDescent="0.2"/>
    <row r="8999" ht="12.75" hidden="1" x14ac:dyDescent="0.2"/>
    <row r="9000" ht="12.75" hidden="1" x14ac:dyDescent="0.2"/>
    <row r="9001" ht="12.75" hidden="1" x14ac:dyDescent="0.2"/>
    <row r="9002" ht="12.75" hidden="1" x14ac:dyDescent="0.2"/>
    <row r="9003" ht="12.75" hidden="1" x14ac:dyDescent="0.2"/>
    <row r="9004" ht="12.75" hidden="1" x14ac:dyDescent="0.2"/>
    <row r="9005" ht="12.75" hidden="1" x14ac:dyDescent="0.2"/>
    <row r="9006" ht="12.75" hidden="1" x14ac:dyDescent="0.2"/>
    <row r="9007" ht="12.75" hidden="1" x14ac:dyDescent="0.2"/>
    <row r="9008" ht="12.75" hidden="1" x14ac:dyDescent="0.2"/>
    <row r="9009" ht="12.75" hidden="1" x14ac:dyDescent="0.2"/>
    <row r="9010" ht="12.75" hidden="1" x14ac:dyDescent="0.2"/>
    <row r="9011" ht="12.75" hidden="1" x14ac:dyDescent="0.2"/>
    <row r="9012" ht="12.75" hidden="1" x14ac:dyDescent="0.2"/>
    <row r="9013" ht="12.75" hidden="1" x14ac:dyDescent="0.2"/>
    <row r="9014" ht="12.75" hidden="1" x14ac:dyDescent="0.2"/>
    <row r="9015" ht="12.75" hidden="1" x14ac:dyDescent="0.2"/>
    <row r="9016" ht="12.75" hidden="1" x14ac:dyDescent="0.2"/>
    <row r="9017" ht="12.75" hidden="1" x14ac:dyDescent="0.2"/>
    <row r="9018" ht="12.75" hidden="1" x14ac:dyDescent="0.2"/>
    <row r="9019" ht="12.75" hidden="1" x14ac:dyDescent="0.2"/>
    <row r="9020" ht="12.75" hidden="1" x14ac:dyDescent="0.2"/>
    <row r="9021" ht="12.75" hidden="1" x14ac:dyDescent="0.2"/>
    <row r="9022" ht="12.75" hidden="1" x14ac:dyDescent="0.2"/>
    <row r="9023" ht="12.75" hidden="1" x14ac:dyDescent="0.2"/>
    <row r="9024" ht="12.75" hidden="1" x14ac:dyDescent="0.2"/>
    <row r="9025" ht="12.75" hidden="1" x14ac:dyDescent="0.2"/>
    <row r="9026" ht="12.75" hidden="1" x14ac:dyDescent="0.2"/>
    <row r="9027" ht="12.75" hidden="1" x14ac:dyDescent="0.2"/>
    <row r="9028" ht="12.75" hidden="1" x14ac:dyDescent="0.2"/>
    <row r="9029" ht="12.75" hidden="1" x14ac:dyDescent="0.2"/>
    <row r="9030" ht="12.75" hidden="1" x14ac:dyDescent="0.2"/>
    <row r="9031" ht="12.75" hidden="1" x14ac:dyDescent="0.2"/>
    <row r="9032" ht="12.75" hidden="1" x14ac:dyDescent="0.2"/>
    <row r="9033" ht="12.75" hidden="1" x14ac:dyDescent="0.2"/>
    <row r="9034" ht="12.75" hidden="1" x14ac:dyDescent="0.2"/>
    <row r="9035" ht="12.75" hidden="1" x14ac:dyDescent="0.2"/>
    <row r="9036" ht="12.75" hidden="1" x14ac:dyDescent="0.2"/>
    <row r="9037" ht="12.75" hidden="1" x14ac:dyDescent="0.2"/>
    <row r="9038" ht="12.75" hidden="1" x14ac:dyDescent="0.2"/>
    <row r="9039" ht="12.75" hidden="1" x14ac:dyDescent="0.2"/>
    <row r="9040" ht="12.75" hidden="1" x14ac:dyDescent="0.2"/>
    <row r="9041" ht="12.75" hidden="1" x14ac:dyDescent="0.2"/>
    <row r="9042" ht="12.75" hidden="1" x14ac:dyDescent="0.2"/>
    <row r="9043" ht="12.75" hidden="1" x14ac:dyDescent="0.2"/>
    <row r="9044" ht="12.75" hidden="1" x14ac:dyDescent="0.2"/>
    <row r="9045" ht="12.75" hidden="1" x14ac:dyDescent="0.2"/>
    <row r="9046" ht="12.75" hidden="1" x14ac:dyDescent="0.2"/>
    <row r="9047" ht="12.75" hidden="1" x14ac:dyDescent="0.2"/>
    <row r="9048" ht="12.75" hidden="1" x14ac:dyDescent="0.2"/>
    <row r="9049" ht="12.75" hidden="1" x14ac:dyDescent="0.2"/>
    <row r="9050" ht="12.75" hidden="1" x14ac:dyDescent="0.2"/>
    <row r="9051" ht="12.75" hidden="1" x14ac:dyDescent="0.2"/>
    <row r="9052" ht="12.75" hidden="1" x14ac:dyDescent="0.2"/>
    <row r="9053" ht="12.75" hidden="1" x14ac:dyDescent="0.2"/>
    <row r="9054" ht="12.75" hidden="1" x14ac:dyDescent="0.2"/>
    <row r="9055" ht="12.75" hidden="1" x14ac:dyDescent="0.2"/>
    <row r="9056" ht="12.75" hidden="1" x14ac:dyDescent="0.2"/>
    <row r="9057" ht="12.75" hidden="1" x14ac:dyDescent="0.2"/>
    <row r="9058" ht="12.75" hidden="1" x14ac:dyDescent="0.2"/>
    <row r="9059" ht="12.75" hidden="1" x14ac:dyDescent="0.2"/>
    <row r="9060" ht="12.75" hidden="1" x14ac:dyDescent="0.2"/>
    <row r="9061" ht="12.75" hidden="1" x14ac:dyDescent="0.2"/>
    <row r="9062" ht="12.75" hidden="1" x14ac:dyDescent="0.2"/>
    <row r="9063" ht="12.75" hidden="1" x14ac:dyDescent="0.2"/>
    <row r="9064" ht="12.75" hidden="1" x14ac:dyDescent="0.2"/>
    <row r="9065" ht="12.75" hidden="1" x14ac:dyDescent="0.2"/>
    <row r="9066" ht="12.75" hidden="1" x14ac:dyDescent="0.2"/>
    <row r="9067" ht="12.75" hidden="1" x14ac:dyDescent="0.2"/>
    <row r="9068" ht="12.75" hidden="1" x14ac:dyDescent="0.2"/>
    <row r="9069" ht="12.75" hidden="1" x14ac:dyDescent="0.2"/>
    <row r="9070" ht="12.75" hidden="1" x14ac:dyDescent="0.2"/>
    <row r="9071" ht="12.75" hidden="1" x14ac:dyDescent="0.2"/>
    <row r="9072" ht="12.75" hidden="1" x14ac:dyDescent="0.2"/>
    <row r="9073" ht="12.75" hidden="1" x14ac:dyDescent="0.2"/>
    <row r="9074" ht="12.75" hidden="1" x14ac:dyDescent="0.2"/>
    <row r="9075" ht="12.75" hidden="1" x14ac:dyDescent="0.2"/>
    <row r="9076" ht="12.75" hidden="1" x14ac:dyDescent="0.2"/>
    <row r="9077" ht="12.75" hidden="1" x14ac:dyDescent="0.2"/>
    <row r="9078" ht="12.75" hidden="1" x14ac:dyDescent="0.2"/>
    <row r="9079" ht="12.75" hidden="1" x14ac:dyDescent="0.2"/>
    <row r="9080" ht="12.75" hidden="1" x14ac:dyDescent="0.2"/>
    <row r="9081" ht="12.75" hidden="1" x14ac:dyDescent="0.2"/>
    <row r="9082" ht="12.75" hidden="1" x14ac:dyDescent="0.2"/>
    <row r="9083" ht="12.75" hidden="1" x14ac:dyDescent="0.2"/>
    <row r="9084" ht="12.75" hidden="1" x14ac:dyDescent="0.2"/>
    <row r="9085" ht="12.75" hidden="1" x14ac:dyDescent="0.2"/>
    <row r="9086" ht="12.75" hidden="1" x14ac:dyDescent="0.2"/>
    <row r="9087" ht="12.75" hidden="1" x14ac:dyDescent="0.2"/>
    <row r="9088" ht="12.75" hidden="1" x14ac:dyDescent="0.2"/>
    <row r="9089" ht="12.75" hidden="1" x14ac:dyDescent="0.2"/>
    <row r="9090" ht="12.75" hidden="1" x14ac:dyDescent="0.2"/>
    <row r="9091" ht="12.75" hidden="1" x14ac:dyDescent="0.2"/>
    <row r="9092" ht="12.75" hidden="1" x14ac:dyDescent="0.2"/>
    <row r="9093" ht="12.75" hidden="1" x14ac:dyDescent="0.2"/>
    <row r="9094" ht="12.75" hidden="1" x14ac:dyDescent="0.2"/>
    <row r="9095" ht="12.75" hidden="1" x14ac:dyDescent="0.2"/>
    <row r="9096" ht="12.75" hidden="1" x14ac:dyDescent="0.2"/>
    <row r="9097" ht="12.75" hidden="1" x14ac:dyDescent="0.2"/>
    <row r="9098" ht="12.75" hidden="1" x14ac:dyDescent="0.2"/>
    <row r="9099" ht="12.75" hidden="1" x14ac:dyDescent="0.2"/>
    <row r="9100" ht="12.75" hidden="1" x14ac:dyDescent="0.2"/>
    <row r="9101" ht="12.75" hidden="1" x14ac:dyDescent="0.2"/>
    <row r="9102" ht="12.75" hidden="1" x14ac:dyDescent="0.2"/>
    <row r="9103" ht="12.75" hidden="1" x14ac:dyDescent="0.2"/>
    <row r="9104" ht="12.75" hidden="1" x14ac:dyDescent="0.2"/>
    <row r="9105" ht="12.75" hidden="1" x14ac:dyDescent="0.2"/>
    <row r="9106" ht="12.75" hidden="1" x14ac:dyDescent="0.2"/>
    <row r="9107" ht="12.75" hidden="1" x14ac:dyDescent="0.2"/>
    <row r="9108" ht="12.75" hidden="1" x14ac:dyDescent="0.2"/>
    <row r="9109" ht="12.75" hidden="1" x14ac:dyDescent="0.2"/>
    <row r="9110" ht="12.75" hidden="1" x14ac:dyDescent="0.2"/>
    <row r="9111" ht="12.75" hidden="1" x14ac:dyDescent="0.2"/>
    <row r="9112" ht="12.75" hidden="1" x14ac:dyDescent="0.2"/>
    <row r="9113" ht="12.75" hidden="1" x14ac:dyDescent="0.2"/>
    <row r="9114" ht="12.75" hidden="1" x14ac:dyDescent="0.2"/>
    <row r="9115" ht="12.75" hidden="1" x14ac:dyDescent="0.2"/>
    <row r="9116" ht="12.75" hidden="1" x14ac:dyDescent="0.2"/>
    <row r="9117" ht="12.75" hidden="1" x14ac:dyDescent="0.2"/>
    <row r="9118" ht="12.75" hidden="1" x14ac:dyDescent="0.2"/>
    <row r="9119" ht="12.75" hidden="1" x14ac:dyDescent="0.2"/>
    <row r="9120" ht="12.75" hidden="1" x14ac:dyDescent="0.2"/>
    <row r="9121" ht="12.75" hidden="1" x14ac:dyDescent="0.2"/>
    <row r="9122" ht="12.75" hidden="1" x14ac:dyDescent="0.2"/>
    <row r="9123" ht="12.75" hidden="1" x14ac:dyDescent="0.2"/>
    <row r="9124" ht="12.75" hidden="1" x14ac:dyDescent="0.2"/>
    <row r="9125" ht="12.75" hidden="1" x14ac:dyDescent="0.2"/>
    <row r="9126" ht="12.75" hidden="1" x14ac:dyDescent="0.2"/>
    <row r="9127" ht="12.75" hidden="1" x14ac:dyDescent="0.2"/>
    <row r="9128" ht="12.75" hidden="1" x14ac:dyDescent="0.2"/>
    <row r="9129" ht="12.75" hidden="1" x14ac:dyDescent="0.2"/>
    <row r="9130" ht="12.75" hidden="1" x14ac:dyDescent="0.2"/>
    <row r="9131" ht="12.75" hidden="1" x14ac:dyDescent="0.2"/>
    <row r="9132" ht="12.75" hidden="1" x14ac:dyDescent="0.2"/>
    <row r="9133" ht="12.75" hidden="1" x14ac:dyDescent="0.2"/>
    <row r="9134" ht="12.75" hidden="1" x14ac:dyDescent="0.2"/>
    <row r="9135" ht="12.75" hidden="1" x14ac:dyDescent="0.2"/>
    <row r="9136" ht="12.75" hidden="1" x14ac:dyDescent="0.2"/>
    <row r="9137" ht="12.75" hidden="1" x14ac:dyDescent="0.2"/>
    <row r="9138" ht="12.75" hidden="1" x14ac:dyDescent="0.2"/>
    <row r="9139" ht="12.75" hidden="1" x14ac:dyDescent="0.2"/>
    <row r="9140" ht="12.75" hidden="1" x14ac:dyDescent="0.2"/>
    <row r="9141" ht="12.75" hidden="1" x14ac:dyDescent="0.2"/>
    <row r="9142" ht="12.75" hidden="1" x14ac:dyDescent="0.2"/>
    <row r="9143" ht="12.75" hidden="1" x14ac:dyDescent="0.2"/>
    <row r="9144" ht="12.75" hidden="1" x14ac:dyDescent="0.2"/>
    <row r="9145" ht="12.75" hidden="1" x14ac:dyDescent="0.2"/>
    <row r="9146" ht="12.75" hidden="1" x14ac:dyDescent="0.2"/>
    <row r="9147" ht="12.75" hidden="1" x14ac:dyDescent="0.2"/>
    <row r="9148" ht="12.75" hidden="1" x14ac:dyDescent="0.2"/>
    <row r="9149" ht="12.75" hidden="1" x14ac:dyDescent="0.2"/>
    <row r="9150" ht="12.75" hidden="1" x14ac:dyDescent="0.2"/>
    <row r="9151" ht="12.75" hidden="1" x14ac:dyDescent="0.2"/>
    <row r="9152" ht="12.75" hidden="1" x14ac:dyDescent="0.2"/>
    <row r="9153" ht="12.75" hidden="1" x14ac:dyDescent="0.2"/>
    <row r="9154" ht="12.75" hidden="1" x14ac:dyDescent="0.2"/>
    <row r="9155" ht="12.75" hidden="1" x14ac:dyDescent="0.2"/>
    <row r="9156" ht="12.75" hidden="1" x14ac:dyDescent="0.2"/>
    <row r="9157" ht="12.75" hidden="1" x14ac:dyDescent="0.2"/>
    <row r="9158" ht="12.75" hidden="1" x14ac:dyDescent="0.2"/>
    <row r="9159" ht="12.75" hidden="1" x14ac:dyDescent="0.2"/>
    <row r="9160" ht="12.75" hidden="1" x14ac:dyDescent="0.2"/>
    <row r="9161" ht="12.75" hidden="1" x14ac:dyDescent="0.2"/>
    <row r="9162" ht="12.75" hidden="1" x14ac:dyDescent="0.2"/>
    <row r="9163" ht="12.75" hidden="1" x14ac:dyDescent="0.2"/>
    <row r="9164" ht="12.75" hidden="1" x14ac:dyDescent="0.2"/>
    <row r="9165" ht="12.75" hidden="1" x14ac:dyDescent="0.2"/>
    <row r="9166" ht="12.75" hidden="1" x14ac:dyDescent="0.2"/>
    <row r="9167" ht="12.75" hidden="1" x14ac:dyDescent="0.2"/>
    <row r="9168" ht="12.75" hidden="1" x14ac:dyDescent="0.2"/>
    <row r="9169" ht="12.75" hidden="1" x14ac:dyDescent="0.2"/>
    <row r="9170" ht="12.75" hidden="1" x14ac:dyDescent="0.2"/>
    <row r="9171" ht="12.75" hidden="1" x14ac:dyDescent="0.2"/>
    <row r="9172" ht="12.75" hidden="1" x14ac:dyDescent="0.2"/>
    <row r="9173" ht="12.75" hidden="1" x14ac:dyDescent="0.2"/>
    <row r="9174" ht="12.75" hidden="1" x14ac:dyDescent="0.2"/>
    <row r="9175" ht="12.75" hidden="1" x14ac:dyDescent="0.2"/>
    <row r="9176" ht="12.75" hidden="1" x14ac:dyDescent="0.2"/>
    <row r="9177" ht="12.75" hidden="1" x14ac:dyDescent="0.2"/>
    <row r="9178" ht="12.75" hidden="1" x14ac:dyDescent="0.2"/>
    <row r="9179" ht="12.75" hidden="1" x14ac:dyDescent="0.2"/>
    <row r="9180" ht="12.75" hidden="1" x14ac:dyDescent="0.2"/>
    <row r="9181" ht="12.75" hidden="1" x14ac:dyDescent="0.2"/>
    <row r="9182" ht="12.75" hidden="1" x14ac:dyDescent="0.2"/>
    <row r="9183" ht="12.75" hidden="1" x14ac:dyDescent="0.2"/>
    <row r="9184" ht="12.75" hidden="1" x14ac:dyDescent="0.2"/>
    <row r="9185" ht="12.75" hidden="1" x14ac:dyDescent="0.2"/>
    <row r="9186" ht="12.75" hidden="1" x14ac:dyDescent="0.2"/>
    <row r="9187" ht="12.75" hidden="1" x14ac:dyDescent="0.2"/>
    <row r="9188" ht="12.75" hidden="1" x14ac:dyDescent="0.2"/>
    <row r="9189" ht="12.75" hidden="1" x14ac:dyDescent="0.2"/>
    <row r="9190" ht="12.75" hidden="1" x14ac:dyDescent="0.2"/>
    <row r="9191" ht="12.75" hidden="1" x14ac:dyDescent="0.2"/>
    <row r="9192" ht="12.75" hidden="1" x14ac:dyDescent="0.2"/>
    <row r="9193" ht="12.75" hidden="1" x14ac:dyDescent="0.2"/>
    <row r="9194" ht="12.75" hidden="1" x14ac:dyDescent="0.2"/>
    <row r="9195" ht="12.75" hidden="1" x14ac:dyDescent="0.2"/>
    <row r="9196" ht="12.75" hidden="1" x14ac:dyDescent="0.2"/>
    <row r="9197" ht="12.75" hidden="1" x14ac:dyDescent="0.2"/>
    <row r="9198" ht="12.75" hidden="1" x14ac:dyDescent="0.2"/>
    <row r="9199" ht="12.75" hidden="1" x14ac:dyDescent="0.2"/>
    <row r="9200" ht="12.75" hidden="1" x14ac:dyDescent="0.2"/>
    <row r="9201" ht="12.75" hidden="1" x14ac:dyDescent="0.2"/>
    <row r="9202" ht="12.75" hidden="1" x14ac:dyDescent="0.2"/>
    <row r="9203" ht="12.75" hidden="1" x14ac:dyDescent="0.2"/>
    <row r="9204" ht="12.75" hidden="1" x14ac:dyDescent="0.2"/>
    <row r="9205" ht="12.75" hidden="1" x14ac:dyDescent="0.2"/>
    <row r="9206" ht="12.75" hidden="1" x14ac:dyDescent="0.2"/>
    <row r="9207" ht="12.75" hidden="1" x14ac:dyDescent="0.2"/>
    <row r="9208" ht="12.75" hidden="1" x14ac:dyDescent="0.2"/>
    <row r="9209" ht="12.75" hidden="1" x14ac:dyDescent="0.2"/>
    <row r="9210" ht="12.75" hidden="1" x14ac:dyDescent="0.2"/>
    <row r="9211" ht="12.75" hidden="1" x14ac:dyDescent="0.2"/>
    <row r="9212" ht="12.75" hidden="1" x14ac:dyDescent="0.2"/>
    <row r="9213" ht="12.75" hidden="1" x14ac:dyDescent="0.2"/>
    <row r="9214" ht="12.75" hidden="1" x14ac:dyDescent="0.2"/>
    <row r="9215" ht="12.75" hidden="1" x14ac:dyDescent="0.2"/>
    <row r="9216" ht="12.75" hidden="1" x14ac:dyDescent="0.2"/>
    <row r="9217" ht="12.75" hidden="1" x14ac:dyDescent="0.2"/>
    <row r="9218" ht="12.75" hidden="1" x14ac:dyDescent="0.2"/>
    <row r="9219" ht="12.75" hidden="1" x14ac:dyDescent="0.2"/>
    <row r="9220" ht="12.75" hidden="1" x14ac:dyDescent="0.2"/>
    <row r="9221" ht="12.75" hidden="1" x14ac:dyDescent="0.2"/>
    <row r="9222" ht="12.75" hidden="1" x14ac:dyDescent="0.2"/>
    <row r="9223" ht="12.75" hidden="1" x14ac:dyDescent="0.2"/>
    <row r="9224" ht="12.75" hidden="1" x14ac:dyDescent="0.2"/>
    <row r="9225" ht="12.75" hidden="1" x14ac:dyDescent="0.2"/>
    <row r="9226" ht="12.75" hidden="1" x14ac:dyDescent="0.2"/>
    <row r="9227" ht="12.75" hidden="1" x14ac:dyDescent="0.2"/>
    <row r="9228" ht="12.75" hidden="1" x14ac:dyDescent="0.2"/>
    <row r="9229" ht="12.75" hidden="1" x14ac:dyDescent="0.2"/>
    <row r="9230" ht="12.75" hidden="1" x14ac:dyDescent="0.2"/>
    <row r="9231" ht="12.75" hidden="1" x14ac:dyDescent="0.2"/>
    <row r="9232" ht="12.75" hidden="1" x14ac:dyDescent="0.2"/>
    <row r="9233" ht="12.75" hidden="1" x14ac:dyDescent="0.2"/>
    <row r="9234" ht="12.75" hidden="1" x14ac:dyDescent="0.2"/>
    <row r="9235" ht="12.75" hidden="1" x14ac:dyDescent="0.2"/>
    <row r="9236" ht="12.75" hidden="1" x14ac:dyDescent="0.2"/>
    <row r="9237" ht="12.75" hidden="1" x14ac:dyDescent="0.2"/>
    <row r="9238" ht="12.75" hidden="1" x14ac:dyDescent="0.2"/>
    <row r="9239" ht="12.75" hidden="1" x14ac:dyDescent="0.2"/>
    <row r="9240" ht="12.75" hidden="1" x14ac:dyDescent="0.2"/>
    <row r="9241" ht="12.75" hidden="1" x14ac:dyDescent="0.2"/>
    <row r="9242" ht="12.75" hidden="1" x14ac:dyDescent="0.2"/>
    <row r="9243" ht="12.75" hidden="1" x14ac:dyDescent="0.2"/>
    <row r="9244" ht="12.75" hidden="1" x14ac:dyDescent="0.2"/>
    <row r="9245" ht="12.75" hidden="1" x14ac:dyDescent="0.2"/>
    <row r="9246" ht="12.75" hidden="1" x14ac:dyDescent="0.2"/>
    <row r="9247" ht="12.75" hidden="1" x14ac:dyDescent="0.2"/>
    <row r="9248" ht="12.75" hidden="1" x14ac:dyDescent="0.2"/>
    <row r="9249" ht="12.75" hidden="1" x14ac:dyDescent="0.2"/>
    <row r="9250" ht="12.75" hidden="1" x14ac:dyDescent="0.2"/>
    <row r="9251" ht="12.75" hidden="1" x14ac:dyDescent="0.2"/>
    <row r="9252" ht="12.75" hidden="1" x14ac:dyDescent="0.2"/>
    <row r="9253" ht="12.75" hidden="1" x14ac:dyDescent="0.2"/>
    <row r="9254" ht="12.75" hidden="1" x14ac:dyDescent="0.2"/>
    <row r="9255" ht="12.75" hidden="1" x14ac:dyDescent="0.2"/>
    <row r="9256" ht="12.75" hidden="1" x14ac:dyDescent="0.2"/>
    <row r="9257" ht="12.75" hidden="1" x14ac:dyDescent="0.2"/>
    <row r="9258" ht="12.75" hidden="1" x14ac:dyDescent="0.2"/>
    <row r="9259" ht="12.75" hidden="1" x14ac:dyDescent="0.2"/>
    <row r="9260" ht="12.75" hidden="1" x14ac:dyDescent="0.2"/>
    <row r="9261" ht="12.75" hidden="1" x14ac:dyDescent="0.2"/>
    <row r="9262" ht="12.75" hidden="1" x14ac:dyDescent="0.2"/>
    <row r="9263" ht="12.75" hidden="1" x14ac:dyDescent="0.2"/>
    <row r="9264" ht="12.75" hidden="1" x14ac:dyDescent="0.2"/>
    <row r="9265" ht="12.75" hidden="1" x14ac:dyDescent="0.2"/>
    <row r="9266" ht="12.75" hidden="1" x14ac:dyDescent="0.2"/>
    <row r="9267" ht="12.75" hidden="1" x14ac:dyDescent="0.2"/>
    <row r="9268" ht="12.75" hidden="1" x14ac:dyDescent="0.2"/>
    <row r="9269" ht="12.75" hidden="1" x14ac:dyDescent="0.2"/>
    <row r="9270" ht="12.75" hidden="1" x14ac:dyDescent="0.2"/>
    <row r="9271" ht="12.75" hidden="1" x14ac:dyDescent="0.2"/>
    <row r="9272" ht="12.75" hidden="1" x14ac:dyDescent="0.2"/>
    <row r="9273" ht="12.75" hidden="1" x14ac:dyDescent="0.2"/>
    <row r="9274" ht="12.75" hidden="1" x14ac:dyDescent="0.2"/>
    <row r="9275" ht="12.75" hidden="1" x14ac:dyDescent="0.2"/>
    <row r="9276" ht="12.75" hidden="1" x14ac:dyDescent="0.2"/>
    <row r="9277" ht="12.75" hidden="1" x14ac:dyDescent="0.2"/>
    <row r="9278" ht="12.75" hidden="1" x14ac:dyDescent="0.2"/>
    <row r="9279" ht="12.75" hidden="1" x14ac:dyDescent="0.2"/>
    <row r="9280" ht="12.75" hidden="1" x14ac:dyDescent="0.2"/>
    <row r="9281" ht="12.75" hidden="1" x14ac:dyDescent="0.2"/>
    <row r="9282" ht="12.75" hidden="1" x14ac:dyDescent="0.2"/>
    <row r="9283" ht="12.75" hidden="1" x14ac:dyDescent="0.2"/>
    <row r="9284" ht="12.75" hidden="1" x14ac:dyDescent="0.2"/>
    <row r="9285" ht="12.75" hidden="1" x14ac:dyDescent="0.2"/>
    <row r="9286" ht="12.75" hidden="1" x14ac:dyDescent="0.2"/>
    <row r="9287" ht="12.75" hidden="1" x14ac:dyDescent="0.2"/>
    <row r="9288" ht="12.75" hidden="1" x14ac:dyDescent="0.2"/>
    <row r="9289" ht="12.75" hidden="1" x14ac:dyDescent="0.2"/>
    <row r="9290" ht="12.75" hidden="1" x14ac:dyDescent="0.2"/>
    <row r="9291" ht="12.75" hidden="1" x14ac:dyDescent="0.2"/>
    <row r="9292" ht="12.75" hidden="1" x14ac:dyDescent="0.2"/>
    <row r="9293" ht="12.75" hidden="1" x14ac:dyDescent="0.2"/>
    <row r="9294" ht="12.75" hidden="1" x14ac:dyDescent="0.2"/>
    <row r="9295" ht="12.75" hidden="1" x14ac:dyDescent="0.2"/>
    <row r="9296" ht="12.75" hidden="1" x14ac:dyDescent="0.2"/>
    <row r="9297" ht="12.75" hidden="1" x14ac:dyDescent="0.2"/>
    <row r="9298" ht="12.75" hidden="1" x14ac:dyDescent="0.2"/>
    <row r="9299" ht="12.75" hidden="1" x14ac:dyDescent="0.2"/>
    <row r="9300" ht="12.75" hidden="1" x14ac:dyDescent="0.2"/>
    <row r="9301" ht="12.75" hidden="1" x14ac:dyDescent="0.2"/>
    <row r="9302" ht="12.75" hidden="1" x14ac:dyDescent="0.2"/>
    <row r="9303" ht="12.75" hidden="1" x14ac:dyDescent="0.2"/>
    <row r="9304" ht="12.75" hidden="1" x14ac:dyDescent="0.2"/>
    <row r="9305" ht="12.75" hidden="1" x14ac:dyDescent="0.2"/>
    <row r="9306" ht="12.75" hidden="1" x14ac:dyDescent="0.2"/>
    <row r="9307" ht="12.75" hidden="1" x14ac:dyDescent="0.2"/>
    <row r="9308" ht="12.75" hidden="1" x14ac:dyDescent="0.2"/>
    <row r="9309" ht="12.75" hidden="1" x14ac:dyDescent="0.2"/>
    <row r="9310" ht="12.75" hidden="1" x14ac:dyDescent="0.2"/>
    <row r="9311" ht="12.75" hidden="1" x14ac:dyDescent="0.2"/>
    <row r="9312" ht="12.75" hidden="1" x14ac:dyDescent="0.2"/>
    <row r="9313" ht="12.75" hidden="1" x14ac:dyDescent="0.2"/>
    <row r="9314" ht="12.75" hidden="1" x14ac:dyDescent="0.2"/>
    <row r="9315" ht="12.75" hidden="1" x14ac:dyDescent="0.2"/>
    <row r="9316" ht="12.75" hidden="1" x14ac:dyDescent="0.2"/>
    <row r="9317" ht="12.75" hidden="1" x14ac:dyDescent="0.2"/>
    <row r="9318" ht="12.75" hidden="1" x14ac:dyDescent="0.2"/>
    <row r="9319" ht="12.75" hidden="1" x14ac:dyDescent="0.2"/>
    <row r="9320" ht="12.75" hidden="1" x14ac:dyDescent="0.2"/>
    <row r="9321" ht="12.75" hidden="1" x14ac:dyDescent="0.2"/>
    <row r="9322" ht="12.75" hidden="1" x14ac:dyDescent="0.2"/>
    <row r="9323" ht="12.75" hidden="1" x14ac:dyDescent="0.2"/>
    <row r="9324" ht="12.75" hidden="1" x14ac:dyDescent="0.2"/>
    <row r="9325" ht="12.75" hidden="1" x14ac:dyDescent="0.2"/>
    <row r="9326" ht="12.75" hidden="1" x14ac:dyDescent="0.2"/>
    <row r="9327" ht="12.75" hidden="1" x14ac:dyDescent="0.2"/>
    <row r="9328" ht="12.75" hidden="1" x14ac:dyDescent="0.2"/>
    <row r="9329" ht="12.75" hidden="1" x14ac:dyDescent="0.2"/>
    <row r="9330" ht="12.75" hidden="1" x14ac:dyDescent="0.2"/>
    <row r="9331" ht="12.75" hidden="1" x14ac:dyDescent="0.2"/>
    <row r="9332" ht="12.75" hidden="1" x14ac:dyDescent="0.2"/>
    <row r="9333" ht="12.75" hidden="1" x14ac:dyDescent="0.2"/>
    <row r="9334" ht="12.75" hidden="1" x14ac:dyDescent="0.2"/>
    <row r="9335" ht="12.75" hidden="1" x14ac:dyDescent="0.2"/>
    <row r="9336" ht="12.75" hidden="1" x14ac:dyDescent="0.2"/>
    <row r="9337" ht="12.75" hidden="1" x14ac:dyDescent="0.2"/>
    <row r="9338" ht="12.75" hidden="1" x14ac:dyDescent="0.2"/>
    <row r="9339" ht="12.75" hidden="1" x14ac:dyDescent="0.2"/>
    <row r="9340" ht="12.75" hidden="1" x14ac:dyDescent="0.2"/>
    <row r="9341" ht="12.75" hidden="1" x14ac:dyDescent="0.2"/>
    <row r="9342" ht="12.75" hidden="1" x14ac:dyDescent="0.2"/>
    <row r="9343" ht="12.75" hidden="1" x14ac:dyDescent="0.2"/>
    <row r="9344" ht="12.75" hidden="1" x14ac:dyDescent="0.2"/>
    <row r="9345" ht="12.75" hidden="1" x14ac:dyDescent="0.2"/>
    <row r="9346" ht="12.75" hidden="1" x14ac:dyDescent="0.2"/>
    <row r="9347" ht="12.75" hidden="1" x14ac:dyDescent="0.2"/>
    <row r="9348" ht="12.75" hidden="1" x14ac:dyDescent="0.2"/>
    <row r="9349" ht="12.75" hidden="1" x14ac:dyDescent="0.2"/>
    <row r="9350" ht="12.75" hidden="1" x14ac:dyDescent="0.2"/>
    <row r="9351" ht="12.75" hidden="1" x14ac:dyDescent="0.2"/>
    <row r="9352" ht="12.75" hidden="1" x14ac:dyDescent="0.2"/>
    <row r="9353" ht="12.75" hidden="1" x14ac:dyDescent="0.2"/>
    <row r="9354" ht="12.75" hidden="1" x14ac:dyDescent="0.2"/>
    <row r="9355" ht="12.75" hidden="1" x14ac:dyDescent="0.2"/>
    <row r="9356" ht="12.75" hidden="1" x14ac:dyDescent="0.2"/>
    <row r="9357" ht="12.75" hidden="1" x14ac:dyDescent="0.2"/>
    <row r="9358" ht="12.75" hidden="1" x14ac:dyDescent="0.2"/>
    <row r="9359" ht="12.75" hidden="1" x14ac:dyDescent="0.2"/>
    <row r="9360" ht="12.75" hidden="1" x14ac:dyDescent="0.2"/>
    <row r="9361" ht="12.75" hidden="1" x14ac:dyDescent="0.2"/>
    <row r="9362" ht="12.75" hidden="1" x14ac:dyDescent="0.2"/>
    <row r="9363" ht="12.75" hidden="1" x14ac:dyDescent="0.2"/>
    <row r="9364" ht="12.75" hidden="1" x14ac:dyDescent="0.2"/>
    <row r="9365" ht="12.75" hidden="1" x14ac:dyDescent="0.2"/>
    <row r="9366" ht="12.75" hidden="1" x14ac:dyDescent="0.2"/>
    <row r="9367" ht="12.75" hidden="1" x14ac:dyDescent="0.2"/>
    <row r="9368" ht="12.75" hidden="1" x14ac:dyDescent="0.2"/>
    <row r="9369" ht="12.75" hidden="1" x14ac:dyDescent="0.2"/>
    <row r="9370" ht="12.75" hidden="1" x14ac:dyDescent="0.2"/>
    <row r="9371" ht="12.75" hidden="1" x14ac:dyDescent="0.2"/>
    <row r="9372" ht="12.75" hidden="1" x14ac:dyDescent="0.2"/>
    <row r="9373" ht="12.75" hidden="1" x14ac:dyDescent="0.2"/>
    <row r="9374" ht="12.75" hidden="1" x14ac:dyDescent="0.2"/>
    <row r="9375" ht="12.75" hidden="1" x14ac:dyDescent="0.2"/>
    <row r="9376" ht="12.75" hidden="1" x14ac:dyDescent="0.2"/>
    <row r="9377" ht="12.75" hidden="1" x14ac:dyDescent="0.2"/>
    <row r="9378" ht="12.75" hidden="1" x14ac:dyDescent="0.2"/>
    <row r="9379" ht="12.75" hidden="1" x14ac:dyDescent="0.2"/>
    <row r="9380" ht="12.75" hidden="1" x14ac:dyDescent="0.2"/>
    <row r="9381" ht="12.75" hidden="1" x14ac:dyDescent="0.2"/>
    <row r="9382" ht="12.75" hidden="1" x14ac:dyDescent="0.2"/>
    <row r="9383" ht="12.75" hidden="1" x14ac:dyDescent="0.2"/>
    <row r="9384" ht="12.75" hidden="1" x14ac:dyDescent="0.2"/>
    <row r="9385" ht="12.75" hidden="1" x14ac:dyDescent="0.2"/>
    <row r="9386" ht="12.75" hidden="1" x14ac:dyDescent="0.2"/>
    <row r="9387" ht="12.75" hidden="1" x14ac:dyDescent="0.2"/>
    <row r="9388" ht="12.75" hidden="1" x14ac:dyDescent="0.2"/>
    <row r="9389" ht="12.75" hidden="1" x14ac:dyDescent="0.2"/>
    <row r="9390" ht="12.75" hidden="1" x14ac:dyDescent="0.2"/>
    <row r="9391" ht="12.75" hidden="1" x14ac:dyDescent="0.2"/>
    <row r="9392" ht="12.75" hidden="1" x14ac:dyDescent="0.2"/>
    <row r="9393" ht="12.75" hidden="1" x14ac:dyDescent="0.2"/>
    <row r="9394" ht="12.75" hidden="1" x14ac:dyDescent="0.2"/>
    <row r="9395" ht="12.75" hidden="1" x14ac:dyDescent="0.2"/>
    <row r="9396" ht="12.75" hidden="1" x14ac:dyDescent="0.2"/>
    <row r="9397" ht="12.75" hidden="1" x14ac:dyDescent="0.2"/>
    <row r="9398" ht="12.75" hidden="1" x14ac:dyDescent="0.2"/>
    <row r="9399" ht="12.75" hidden="1" x14ac:dyDescent="0.2"/>
    <row r="9400" ht="12.75" hidden="1" x14ac:dyDescent="0.2"/>
    <row r="9401" ht="12.75" hidden="1" x14ac:dyDescent="0.2"/>
    <row r="9402" ht="12.75" hidden="1" x14ac:dyDescent="0.2"/>
    <row r="9403" ht="12.75" hidden="1" x14ac:dyDescent="0.2"/>
    <row r="9404" ht="12.75" hidden="1" x14ac:dyDescent="0.2"/>
    <row r="9405" ht="12.75" hidden="1" x14ac:dyDescent="0.2"/>
    <row r="9406" ht="12.75" hidden="1" x14ac:dyDescent="0.2"/>
    <row r="9407" ht="12.75" hidden="1" x14ac:dyDescent="0.2"/>
    <row r="9408" ht="12.75" hidden="1" x14ac:dyDescent="0.2"/>
    <row r="9409" ht="12.75" hidden="1" x14ac:dyDescent="0.2"/>
    <row r="9410" ht="12.75" hidden="1" x14ac:dyDescent="0.2"/>
    <row r="9411" ht="12.75" hidden="1" x14ac:dyDescent="0.2"/>
    <row r="9412" ht="12.75" hidden="1" x14ac:dyDescent="0.2"/>
    <row r="9413" ht="12.75" hidden="1" x14ac:dyDescent="0.2"/>
    <row r="9414" ht="12.75" hidden="1" x14ac:dyDescent="0.2"/>
    <row r="9415" ht="12.75" hidden="1" x14ac:dyDescent="0.2"/>
    <row r="9416" ht="12.75" hidden="1" x14ac:dyDescent="0.2"/>
    <row r="9417" ht="12.75" hidden="1" x14ac:dyDescent="0.2"/>
    <row r="9418" ht="12.75" hidden="1" x14ac:dyDescent="0.2"/>
    <row r="9419" ht="12.75" hidden="1" x14ac:dyDescent="0.2"/>
    <row r="9420" ht="12.75" hidden="1" x14ac:dyDescent="0.2"/>
    <row r="9421" ht="12.75" hidden="1" x14ac:dyDescent="0.2"/>
    <row r="9422" ht="12.75" hidden="1" x14ac:dyDescent="0.2"/>
    <row r="9423" ht="12.75" hidden="1" x14ac:dyDescent="0.2"/>
    <row r="9424" ht="12.75" hidden="1" x14ac:dyDescent="0.2"/>
    <row r="9425" ht="12.75" hidden="1" x14ac:dyDescent="0.2"/>
    <row r="9426" ht="12.75" hidden="1" x14ac:dyDescent="0.2"/>
    <row r="9427" ht="12.75" hidden="1" x14ac:dyDescent="0.2"/>
    <row r="9428" ht="12.75" hidden="1" x14ac:dyDescent="0.2"/>
    <row r="9429" ht="12.75" hidden="1" x14ac:dyDescent="0.2"/>
    <row r="9430" ht="12.75" hidden="1" x14ac:dyDescent="0.2"/>
    <row r="9431" ht="12.75" hidden="1" x14ac:dyDescent="0.2"/>
    <row r="9432" ht="12.75" hidden="1" x14ac:dyDescent="0.2"/>
    <row r="9433" ht="12.75" hidden="1" x14ac:dyDescent="0.2"/>
    <row r="9434" ht="12.75" hidden="1" x14ac:dyDescent="0.2"/>
    <row r="9435" ht="12.75" hidden="1" x14ac:dyDescent="0.2"/>
    <row r="9436" ht="12.75" hidden="1" x14ac:dyDescent="0.2"/>
    <row r="9437" ht="12.75" hidden="1" x14ac:dyDescent="0.2"/>
    <row r="9438" ht="12.75" hidden="1" x14ac:dyDescent="0.2"/>
    <row r="9439" ht="12.75" hidden="1" x14ac:dyDescent="0.2"/>
    <row r="9440" ht="12.75" hidden="1" x14ac:dyDescent="0.2"/>
    <row r="9441" ht="12.75" hidden="1" x14ac:dyDescent="0.2"/>
    <row r="9442" ht="12.75" hidden="1" x14ac:dyDescent="0.2"/>
    <row r="9443" ht="12.75" hidden="1" x14ac:dyDescent="0.2"/>
    <row r="9444" ht="12.75" hidden="1" x14ac:dyDescent="0.2"/>
    <row r="9445" ht="12.75" hidden="1" x14ac:dyDescent="0.2"/>
    <row r="9446" ht="12.75" hidden="1" x14ac:dyDescent="0.2"/>
    <row r="9447" ht="12.75" hidden="1" x14ac:dyDescent="0.2"/>
    <row r="9448" ht="12.75" hidden="1" x14ac:dyDescent="0.2"/>
    <row r="9449" ht="12.75" hidden="1" x14ac:dyDescent="0.2"/>
    <row r="9450" ht="12.75" hidden="1" x14ac:dyDescent="0.2"/>
    <row r="9451" ht="12.75" hidden="1" x14ac:dyDescent="0.2"/>
    <row r="9452" ht="12.75" hidden="1" x14ac:dyDescent="0.2"/>
    <row r="9453" ht="12.75" hidden="1" x14ac:dyDescent="0.2"/>
    <row r="9454" ht="12.75" hidden="1" x14ac:dyDescent="0.2"/>
    <row r="9455" ht="12.75" hidden="1" x14ac:dyDescent="0.2"/>
    <row r="9456" ht="12.75" hidden="1" x14ac:dyDescent="0.2"/>
    <row r="9457" ht="12.75" hidden="1" x14ac:dyDescent="0.2"/>
    <row r="9458" ht="12.75" hidden="1" x14ac:dyDescent="0.2"/>
    <row r="9459" ht="12.75" hidden="1" x14ac:dyDescent="0.2"/>
    <row r="9460" ht="12.75" hidden="1" x14ac:dyDescent="0.2"/>
    <row r="9461" ht="12.75" hidden="1" x14ac:dyDescent="0.2"/>
    <row r="9462" ht="12.75" hidden="1" x14ac:dyDescent="0.2"/>
    <row r="9463" ht="12.75" hidden="1" x14ac:dyDescent="0.2"/>
    <row r="9464" ht="12.75" hidden="1" x14ac:dyDescent="0.2"/>
    <row r="9465" ht="12.75" hidden="1" x14ac:dyDescent="0.2"/>
    <row r="9466" ht="12.75" hidden="1" x14ac:dyDescent="0.2"/>
    <row r="9467" ht="12.75" hidden="1" x14ac:dyDescent="0.2"/>
    <row r="9468" ht="12.75" hidden="1" x14ac:dyDescent="0.2"/>
    <row r="9469" ht="12.75" hidden="1" x14ac:dyDescent="0.2"/>
    <row r="9470" ht="12.75" hidden="1" x14ac:dyDescent="0.2"/>
    <row r="9471" ht="12.75" hidden="1" x14ac:dyDescent="0.2"/>
    <row r="9472" ht="12.75" hidden="1" x14ac:dyDescent="0.2"/>
    <row r="9473" ht="12.75" hidden="1" x14ac:dyDescent="0.2"/>
    <row r="9474" ht="12.75" hidden="1" x14ac:dyDescent="0.2"/>
    <row r="9475" ht="12.75" hidden="1" x14ac:dyDescent="0.2"/>
    <row r="9476" ht="12.75" hidden="1" x14ac:dyDescent="0.2"/>
    <row r="9477" ht="12.75" hidden="1" x14ac:dyDescent="0.2"/>
    <row r="9478" ht="12.75" hidden="1" x14ac:dyDescent="0.2"/>
    <row r="9479" ht="12.75" hidden="1" x14ac:dyDescent="0.2"/>
    <row r="9480" ht="12.75" hidden="1" x14ac:dyDescent="0.2"/>
    <row r="9481" ht="12.75" hidden="1" x14ac:dyDescent="0.2"/>
    <row r="9482" ht="12.75" hidden="1" x14ac:dyDescent="0.2"/>
    <row r="9483" ht="12.75" hidden="1" x14ac:dyDescent="0.2"/>
    <row r="9484" ht="12.75" hidden="1" x14ac:dyDescent="0.2"/>
    <row r="9485" ht="12.75" hidden="1" x14ac:dyDescent="0.2"/>
    <row r="9486" ht="12.75" hidden="1" x14ac:dyDescent="0.2"/>
    <row r="9487" ht="12.75" hidden="1" x14ac:dyDescent="0.2"/>
    <row r="9488" ht="12.75" hidden="1" x14ac:dyDescent="0.2"/>
    <row r="9489" ht="12.75" hidden="1" x14ac:dyDescent="0.2"/>
    <row r="9490" ht="12.75" hidden="1" x14ac:dyDescent="0.2"/>
    <row r="9491" ht="12.75" hidden="1" x14ac:dyDescent="0.2"/>
    <row r="9492" ht="12.75" hidden="1" x14ac:dyDescent="0.2"/>
    <row r="9493" ht="12.75" hidden="1" x14ac:dyDescent="0.2"/>
    <row r="9494" ht="12.75" hidden="1" x14ac:dyDescent="0.2"/>
    <row r="9495" ht="12.75" hidden="1" x14ac:dyDescent="0.2"/>
    <row r="9496" ht="12.75" hidden="1" x14ac:dyDescent="0.2"/>
    <row r="9497" ht="12.75" hidden="1" x14ac:dyDescent="0.2"/>
    <row r="9498" ht="12.75" hidden="1" x14ac:dyDescent="0.2"/>
    <row r="9499" ht="12.75" hidden="1" x14ac:dyDescent="0.2"/>
    <row r="9500" ht="12.75" hidden="1" x14ac:dyDescent="0.2"/>
    <row r="9501" ht="12.75" hidden="1" x14ac:dyDescent="0.2"/>
    <row r="9502" ht="12.75" hidden="1" x14ac:dyDescent="0.2"/>
    <row r="9503" ht="12.75" hidden="1" x14ac:dyDescent="0.2"/>
    <row r="9504" ht="12.75" hidden="1" x14ac:dyDescent="0.2"/>
    <row r="9505" ht="12.75" hidden="1" x14ac:dyDescent="0.2"/>
    <row r="9506" ht="12.75" hidden="1" x14ac:dyDescent="0.2"/>
    <row r="9507" ht="12.75" hidden="1" x14ac:dyDescent="0.2"/>
    <row r="9508" ht="12.75" hidden="1" x14ac:dyDescent="0.2"/>
    <row r="9509" ht="12.75" hidden="1" x14ac:dyDescent="0.2"/>
    <row r="9510" ht="12.75" hidden="1" x14ac:dyDescent="0.2"/>
    <row r="9511" ht="12.75" hidden="1" x14ac:dyDescent="0.2"/>
    <row r="9512" ht="12.75" hidden="1" x14ac:dyDescent="0.2"/>
    <row r="9513" ht="12.75" hidden="1" x14ac:dyDescent="0.2"/>
    <row r="9514" ht="12.75" hidden="1" x14ac:dyDescent="0.2"/>
    <row r="9515" ht="12.75" hidden="1" x14ac:dyDescent="0.2"/>
    <row r="9516" ht="12.75" hidden="1" x14ac:dyDescent="0.2"/>
    <row r="9517" ht="12.75" hidden="1" x14ac:dyDescent="0.2"/>
    <row r="9518" ht="12.75" hidden="1" x14ac:dyDescent="0.2"/>
    <row r="9519" ht="12.75" hidden="1" x14ac:dyDescent="0.2"/>
    <row r="9520" ht="12.75" hidden="1" x14ac:dyDescent="0.2"/>
    <row r="9521" ht="12.75" hidden="1" x14ac:dyDescent="0.2"/>
    <row r="9522" ht="12.75" hidden="1" x14ac:dyDescent="0.2"/>
    <row r="9523" ht="12.75" hidden="1" x14ac:dyDescent="0.2"/>
    <row r="9524" ht="12.75" hidden="1" x14ac:dyDescent="0.2"/>
    <row r="9525" ht="12.75" hidden="1" x14ac:dyDescent="0.2"/>
    <row r="9526" ht="12.75" hidden="1" x14ac:dyDescent="0.2"/>
    <row r="9527" ht="12.75" hidden="1" x14ac:dyDescent="0.2"/>
    <row r="9528" ht="12.75" hidden="1" x14ac:dyDescent="0.2"/>
    <row r="9529" ht="12.75" hidden="1" x14ac:dyDescent="0.2"/>
    <row r="9530" ht="12.75" hidden="1" x14ac:dyDescent="0.2"/>
    <row r="9531" ht="12.75" hidden="1" x14ac:dyDescent="0.2"/>
    <row r="9532" ht="12.75" hidden="1" x14ac:dyDescent="0.2"/>
    <row r="9533" ht="12.75" hidden="1" x14ac:dyDescent="0.2"/>
    <row r="9534" ht="12.75" hidden="1" x14ac:dyDescent="0.2"/>
    <row r="9535" ht="12.75" hidden="1" x14ac:dyDescent="0.2"/>
    <row r="9536" ht="12.75" hidden="1" x14ac:dyDescent="0.2"/>
    <row r="9537" ht="12.75" hidden="1" x14ac:dyDescent="0.2"/>
    <row r="9538" ht="12.75" hidden="1" x14ac:dyDescent="0.2"/>
    <row r="9539" ht="12.75" hidden="1" x14ac:dyDescent="0.2"/>
    <row r="9540" ht="12.75" hidden="1" x14ac:dyDescent="0.2"/>
    <row r="9541" ht="12.75" hidden="1" x14ac:dyDescent="0.2"/>
    <row r="9542" ht="12.75" hidden="1" x14ac:dyDescent="0.2"/>
    <row r="9543" ht="12.75" hidden="1" x14ac:dyDescent="0.2"/>
    <row r="9544" ht="12.75" hidden="1" x14ac:dyDescent="0.2"/>
    <row r="9545" ht="12.75" hidden="1" x14ac:dyDescent="0.2"/>
    <row r="9546" ht="12.75" hidden="1" x14ac:dyDescent="0.2"/>
    <row r="9547" ht="12.75" hidden="1" x14ac:dyDescent="0.2"/>
    <row r="9548" ht="12.75" hidden="1" x14ac:dyDescent="0.2"/>
    <row r="9549" ht="12.75" hidden="1" x14ac:dyDescent="0.2"/>
    <row r="9550" ht="12.75" hidden="1" x14ac:dyDescent="0.2"/>
    <row r="9551" ht="12.75" hidden="1" x14ac:dyDescent="0.2"/>
    <row r="9552" ht="12.75" hidden="1" x14ac:dyDescent="0.2"/>
    <row r="9553" ht="12.75" hidden="1" x14ac:dyDescent="0.2"/>
    <row r="9554" ht="12.75" hidden="1" x14ac:dyDescent="0.2"/>
    <row r="9555" ht="12.75" hidden="1" x14ac:dyDescent="0.2"/>
    <row r="9556" ht="12.75" hidden="1" x14ac:dyDescent="0.2"/>
    <row r="9557" ht="12.75" hidden="1" x14ac:dyDescent="0.2"/>
    <row r="9558" ht="12.75" hidden="1" x14ac:dyDescent="0.2"/>
    <row r="9559" ht="12.75" hidden="1" x14ac:dyDescent="0.2"/>
    <row r="9560" ht="12.75" hidden="1" x14ac:dyDescent="0.2"/>
    <row r="9561" ht="12.75" hidden="1" x14ac:dyDescent="0.2"/>
    <row r="9562" ht="12.75" hidden="1" x14ac:dyDescent="0.2"/>
    <row r="9563" ht="12.75" hidden="1" x14ac:dyDescent="0.2"/>
    <row r="9564" ht="12.75" hidden="1" x14ac:dyDescent="0.2"/>
    <row r="9565" ht="12.75" hidden="1" x14ac:dyDescent="0.2"/>
    <row r="9566" ht="12.75" hidden="1" x14ac:dyDescent="0.2"/>
    <row r="9567" ht="12.75" hidden="1" x14ac:dyDescent="0.2"/>
    <row r="9568" ht="12.75" hidden="1" x14ac:dyDescent="0.2"/>
    <row r="9569" ht="12.75" hidden="1" x14ac:dyDescent="0.2"/>
    <row r="9570" ht="12.75" hidden="1" x14ac:dyDescent="0.2"/>
    <row r="9571" ht="12.75" hidden="1" x14ac:dyDescent="0.2"/>
    <row r="9572" ht="12.75" hidden="1" x14ac:dyDescent="0.2"/>
    <row r="9573" ht="12.75" hidden="1" x14ac:dyDescent="0.2"/>
    <row r="9574" ht="12.75" hidden="1" x14ac:dyDescent="0.2"/>
    <row r="9575" ht="12.75" hidden="1" x14ac:dyDescent="0.2"/>
    <row r="9576" ht="12.75" hidden="1" x14ac:dyDescent="0.2"/>
    <row r="9577" ht="12.75" hidden="1" x14ac:dyDescent="0.2"/>
    <row r="9578" ht="12.75" hidden="1" x14ac:dyDescent="0.2"/>
    <row r="9579" ht="12.75" hidden="1" x14ac:dyDescent="0.2"/>
    <row r="9580" ht="12.75" hidden="1" x14ac:dyDescent="0.2"/>
    <row r="9581" ht="12.75" hidden="1" x14ac:dyDescent="0.2"/>
    <row r="9582" ht="12.75" hidden="1" x14ac:dyDescent="0.2"/>
    <row r="9583" ht="12.75" hidden="1" x14ac:dyDescent="0.2"/>
    <row r="9584" ht="12.75" hidden="1" x14ac:dyDescent="0.2"/>
    <row r="9585" ht="12.75" hidden="1" x14ac:dyDescent="0.2"/>
    <row r="9586" ht="12.75" hidden="1" x14ac:dyDescent="0.2"/>
    <row r="9587" ht="12.75" hidden="1" x14ac:dyDescent="0.2"/>
    <row r="9588" ht="12.75" hidden="1" x14ac:dyDescent="0.2"/>
    <row r="9589" ht="12.75" hidden="1" x14ac:dyDescent="0.2"/>
    <row r="9590" ht="12.75" hidden="1" x14ac:dyDescent="0.2"/>
    <row r="9591" ht="12.75" hidden="1" x14ac:dyDescent="0.2"/>
    <row r="9592" ht="12.75" hidden="1" x14ac:dyDescent="0.2"/>
    <row r="9593" ht="12.75" hidden="1" x14ac:dyDescent="0.2"/>
    <row r="9594" ht="12.75" hidden="1" x14ac:dyDescent="0.2"/>
    <row r="9595" ht="12.75" hidden="1" x14ac:dyDescent="0.2"/>
    <row r="9596" ht="12.75" hidden="1" x14ac:dyDescent="0.2"/>
    <row r="9597" ht="12.75" hidden="1" x14ac:dyDescent="0.2"/>
    <row r="9598" ht="12.75" hidden="1" x14ac:dyDescent="0.2"/>
    <row r="9599" ht="12.75" hidden="1" x14ac:dyDescent="0.2"/>
    <row r="9600" ht="12.75" hidden="1" x14ac:dyDescent="0.2"/>
    <row r="9601" ht="12.75" hidden="1" x14ac:dyDescent="0.2"/>
    <row r="9602" ht="12.75" hidden="1" x14ac:dyDescent="0.2"/>
    <row r="9603" ht="12.75" hidden="1" x14ac:dyDescent="0.2"/>
    <row r="9604" ht="12.75" hidden="1" x14ac:dyDescent="0.2"/>
    <row r="9605" ht="12.75" hidden="1" x14ac:dyDescent="0.2"/>
    <row r="9606" ht="12.75" hidden="1" x14ac:dyDescent="0.2"/>
    <row r="9607" ht="12.75" hidden="1" x14ac:dyDescent="0.2"/>
    <row r="9608" ht="12.75" hidden="1" x14ac:dyDescent="0.2"/>
    <row r="9609" ht="12.75" hidden="1" x14ac:dyDescent="0.2"/>
    <row r="9610" ht="12.75" hidden="1" x14ac:dyDescent="0.2"/>
    <row r="9611" ht="12.75" hidden="1" x14ac:dyDescent="0.2"/>
    <row r="9612" ht="12.75" hidden="1" x14ac:dyDescent="0.2"/>
    <row r="9613" ht="12.75" hidden="1" x14ac:dyDescent="0.2"/>
    <row r="9614" ht="12.75" hidden="1" x14ac:dyDescent="0.2"/>
    <row r="9615" ht="12.75" hidden="1" x14ac:dyDescent="0.2"/>
    <row r="9616" ht="12.75" hidden="1" x14ac:dyDescent="0.2"/>
    <row r="9617" ht="12.75" hidden="1" x14ac:dyDescent="0.2"/>
    <row r="9618" ht="12.75" hidden="1" x14ac:dyDescent="0.2"/>
    <row r="9619" ht="12.75" hidden="1" x14ac:dyDescent="0.2"/>
    <row r="9620" ht="12.75" hidden="1" x14ac:dyDescent="0.2"/>
    <row r="9621" ht="12.75" hidden="1" x14ac:dyDescent="0.2"/>
    <row r="9622" ht="12.75" hidden="1" x14ac:dyDescent="0.2"/>
    <row r="9623" ht="12.75" hidden="1" x14ac:dyDescent="0.2"/>
    <row r="9624" ht="12.75" hidden="1" x14ac:dyDescent="0.2"/>
    <row r="9625" ht="12.75" hidden="1" x14ac:dyDescent="0.2"/>
    <row r="9626" ht="12.75" hidden="1" x14ac:dyDescent="0.2"/>
    <row r="9627" ht="12.75" hidden="1" x14ac:dyDescent="0.2"/>
    <row r="9628" ht="12.75" hidden="1" x14ac:dyDescent="0.2"/>
    <row r="9629" ht="12.75" hidden="1" x14ac:dyDescent="0.2"/>
    <row r="9630" ht="12.75" hidden="1" x14ac:dyDescent="0.2"/>
    <row r="9631" ht="12.75" hidden="1" x14ac:dyDescent="0.2"/>
    <row r="9632" ht="12.75" hidden="1" x14ac:dyDescent="0.2"/>
    <row r="9633" ht="12.75" hidden="1" x14ac:dyDescent="0.2"/>
    <row r="9634" ht="12.75" hidden="1" x14ac:dyDescent="0.2"/>
    <row r="9635" ht="12.75" hidden="1" x14ac:dyDescent="0.2"/>
    <row r="9636" ht="12.75" hidden="1" x14ac:dyDescent="0.2"/>
    <row r="9637" ht="12.75" hidden="1" x14ac:dyDescent="0.2"/>
    <row r="9638" ht="12.75" hidden="1" x14ac:dyDescent="0.2"/>
    <row r="9639" ht="12.75" hidden="1" x14ac:dyDescent="0.2"/>
    <row r="9640" ht="12.75" hidden="1" x14ac:dyDescent="0.2"/>
    <row r="9641" ht="12.75" hidden="1" x14ac:dyDescent="0.2"/>
    <row r="9642" ht="12.75" hidden="1" x14ac:dyDescent="0.2"/>
    <row r="9643" ht="12.75" hidden="1" x14ac:dyDescent="0.2"/>
    <row r="9644" ht="12.75" hidden="1" x14ac:dyDescent="0.2"/>
    <row r="9645" ht="12.75" hidden="1" x14ac:dyDescent="0.2"/>
    <row r="9646" ht="12.75" hidden="1" x14ac:dyDescent="0.2"/>
    <row r="9647" ht="12.75" hidden="1" x14ac:dyDescent="0.2"/>
    <row r="9648" ht="12.75" hidden="1" x14ac:dyDescent="0.2"/>
    <row r="9649" ht="12.75" hidden="1" x14ac:dyDescent="0.2"/>
    <row r="9650" ht="12.75" hidden="1" x14ac:dyDescent="0.2"/>
    <row r="9651" ht="12.75" hidden="1" x14ac:dyDescent="0.2"/>
    <row r="9652" ht="12.75" hidden="1" x14ac:dyDescent="0.2"/>
    <row r="9653" ht="12.75" hidden="1" x14ac:dyDescent="0.2"/>
    <row r="9654" ht="12.75" hidden="1" x14ac:dyDescent="0.2"/>
    <row r="9655" ht="12.75" hidden="1" x14ac:dyDescent="0.2"/>
    <row r="9656" ht="12.75" hidden="1" x14ac:dyDescent="0.2"/>
    <row r="9657" ht="12.75" hidden="1" x14ac:dyDescent="0.2"/>
    <row r="9658" ht="12.75" hidden="1" x14ac:dyDescent="0.2"/>
    <row r="9659" ht="12.75" hidden="1" x14ac:dyDescent="0.2"/>
    <row r="9660" ht="12.75" hidden="1" x14ac:dyDescent="0.2"/>
    <row r="9661" ht="12.75" hidden="1" x14ac:dyDescent="0.2"/>
    <row r="9662" ht="12.75" hidden="1" x14ac:dyDescent="0.2"/>
    <row r="9663" ht="12.75" hidden="1" x14ac:dyDescent="0.2"/>
    <row r="9664" ht="12.75" hidden="1" x14ac:dyDescent="0.2"/>
    <row r="9665" ht="12.75" hidden="1" x14ac:dyDescent="0.2"/>
    <row r="9666" ht="12.75" hidden="1" x14ac:dyDescent="0.2"/>
    <row r="9667" ht="12.75" hidden="1" x14ac:dyDescent="0.2"/>
    <row r="9668" ht="12.75" hidden="1" x14ac:dyDescent="0.2"/>
    <row r="9669" ht="12.75" hidden="1" x14ac:dyDescent="0.2"/>
    <row r="9670" ht="12.75" hidden="1" x14ac:dyDescent="0.2"/>
    <row r="9671" ht="12.75" hidden="1" x14ac:dyDescent="0.2"/>
    <row r="9672" ht="12.75" hidden="1" x14ac:dyDescent="0.2"/>
    <row r="9673" ht="12.75" hidden="1" x14ac:dyDescent="0.2"/>
    <row r="9674" ht="12.75" hidden="1" x14ac:dyDescent="0.2"/>
    <row r="9675" ht="12.75" hidden="1" x14ac:dyDescent="0.2"/>
    <row r="9676" ht="12.75" hidden="1" x14ac:dyDescent="0.2"/>
    <row r="9677" ht="12.75" hidden="1" x14ac:dyDescent="0.2"/>
    <row r="9678" ht="12.75" hidden="1" x14ac:dyDescent="0.2"/>
    <row r="9679" ht="12.75" hidden="1" x14ac:dyDescent="0.2"/>
    <row r="9680" ht="12.75" hidden="1" x14ac:dyDescent="0.2"/>
    <row r="9681" ht="12.75" hidden="1" x14ac:dyDescent="0.2"/>
    <row r="9682" ht="12.75" hidden="1" x14ac:dyDescent="0.2"/>
    <row r="9683" ht="12.75" hidden="1" x14ac:dyDescent="0.2"/>
    <row r="9684" ht="12.75" hidden="1" x14ac:dyDescent="0.2"/>
    <row r="9685" ht="12.75" hidden="1" x14ac:dyDescent="0.2"/>
    <row r="9686" ht="12.75" hidden="1" x14ac:dyDescent="0.2"/>
    <row r="9687" ht="12.75" hidden="1" x14ac:dyDescent="0.2"/>
    <row r="9688" ht="12.75" hidden="1" x14ac:dyDescent="0.2"/>
    <row r="9689" ht="12.75" hidden="1" x14ac:dyDescent="0.2"/>
    <row r="9690" ht="12.75" hidden="1" x14ac:dyDescent="0.2"/>
    <row r="9691" ht="12.75" hidden="1" x14ac:dyDescent="0.2"/>
    <row r="9692" ht="12.75" hidden="1" x14ac:dyDescent="0.2"/>
    <row r="9693" ht="12.75" hidden="1" x14ac:dyDescent="0.2"/>
    <row r="9694" ht="12.75" hidden="1" x14ac:dyDescent="0.2"/>
    <row r="9695" ht="12.75" hidden="1" x14ac:dyDescent="0.2"/>
    <row r="9696" ht="12.75" hidden="1" x14ac:dyDescent="0.2"/>
    <row r="9697" ht="12.75" hidden="1" x14ac:dyDescent="0.2"/>
    <row r="9698" ht="12.75" hidden="1" x14ac:dyDescent="0.2"/>
    <row r="9699" ht="12.75" hidden="1" x14ac:dyDescent="0.2"/>
    <row r="9700" ht="12.75" hidden="1" x14ac:dyDescent="0.2"/>
    <row r="9701" ht="12.75" hidden="1" x14ac:dyDescent="0.2"/>
    <row r="9702" ht="12.75" hidden="1" x14ac:dyDescent="0.2"/>
    <row r="9703" ht="12.75" hidden="1" x14ac:dyDescent="0.2"/>
    <row r="9704" ht="12.75" hidden="1" x14ac:dyDescent="0.2"/>
    <row r="9705" ht="12.75" hidden="1" x14ac:dyDescent="0.2"/>
    <row r="9706" ht="12.75" hidden="1" x14ac:dyDescent="0.2"/>
    <row r="9707" ht="12.75" hidden="1" x14ac:dyDescent="0.2"/>
    <row r="9708" ht="12.75" hidden="1" x14ac:dyDescent="0.2"/>
    <row r="9709" ht="12.75" hidden="1" x14ac:dyDescent="0.2"/>
    <row r="9710" ht="12.75" hidden="1" x14ac:dyDescent="0.2"/>
    <row r="9711" ht="12.75" hidden="1" x14ac:dyDescent="0.2"/>
    <row r="9712" ht="12.75" hidden="1" x14ac:dyDescent="0.2"/>
    <row r="9713" ht="12.75" hidden="1" x14ac:dyDescent="0.2"/>
    <row r="9714" ht="12.75" hidden="1" x14ac:dyDescent="0.2"/>
    <row r="9715" ht="12.75" hidden="1" x14ac:dyDescent="0.2"/>
    <row r="9716" ht="12.75" hidden="1" x14ac:dyDescent="0.2"/>
    <row r="9717" ht="12.75" hidden="1" x14ac:dyDescent="0.2"/>
    <row r="9718" ht="12.75" hidden="1" x14ac:dyDescent="0.2"/>
    <row r="9719" ht="12.75" hidden="1" x14ac:dyDescent="0.2"/>
    <row r="9720" ht="12.75" hidden="1" x14ac:dyDescent="0.2"/>
    <row r="9721" ht="12.75" hidden="1" x14ac:dyDescent="0.2"/>
    <row r="9722" ht="12.75" hidden="1" x14ac:dyDescent="0.2"/>
    <row r="9723" ht="12.75" hidden="1" x14ac:dyDescent="0.2"/>
    <row r="9724" ht="12.75" hidden="1" x14ac:dyDescent="0.2"/>
    <row r="9725" ht="12.75" hidden="1" x14ac:dyDescent="0.2"/>
    <row r="9726" ht="12.75" hidden="1" x14ac:dyDescent="0.2"/>
    <row r="9727" ht="12.75" hidden="1" x14ac:dyDescent="0.2"/>
    <row r="9728" ht="12.75" hidden="1" x14ac:dyDescent="0.2"/>
    <row r="9729" ht="12.75" hidden="1" x14ac:dyDescent="0.2"/>
    <row r="9730" ht="12.75" hidden="1" x14ac:dyDescent="0.2"/>
    <row r="9731" ht="12.75" hidden="1" x14ac:dyDescent="0.2"/>
    <row r="9732" ht="12.75" hidden="1" x14ac:dyDescent="0.2"/>
    <row r="9733" ht="12.75" hidden="1" x14ac:dyDescent="0.2"/>
    <row r="9734" ht="12.75" hidden="1" x14ac:dyDescent="0.2"/>
    <row r="9735" ht="12.75" hidden="1" x14ac:dyDescent="0.2"/>
    <row r="9736" ht="12.75" hidden="1" x14ac:dyDescent="0.2"/>
    <row r="9737" ht="12.75" hidden="1" x14ac:dyDescent="0.2"/>
    <row r="9738" ht="12.75" hidden="1" x14ac:dyDescent="0.2"/>
    <row r="9739" ht="12.75" hidden="1" x14ac:dyDescent="0.2"/>
    <row r="9740" ht="12.75" hidden="1" x14ac:dyDescent="0.2"/>
    <row r="9741" ht="12.75" hidden="1" x14ac:dyDescent="0.2"/>
    <row r="9742" ht="12.75" hidden="1" x14ac:dyDescent="0.2"/>
    <row r="9743" ht="12.75" hidden="1" x14ac:dyDescent="0.2"/>
    <row r="9744" ht="12.75" hidden="1" x14ac:dyDescent="0.2"/>
    <row r="9745" ht="12.75" hidden="1" x14ac:dyDescent="0.2"/>
    <row r="9746" ht="12.75" hidden="1" x14ac:dyDescent="0.2"/>
    <row r="9747" ht="12.75" hidden="1" x14ac:dyDescent="0.2"/>
    <row r="9748" ht="12.75" hidden="1" x14ac:dyDescent="0.2"/>
    <row r="9749" ht="12.75" hidden="1" x14ac:dyDescent="0.2"/>
    <row r="9750" ht="12.75" hidden="1" x14ac:dyDescent="0.2"/>
    <row r="9751" ht="12.75" hidden="1" x14ac:dyDescent="0.2"/>
    <row r="9752" ht="12.75" hidden="1" x14ac:dyDescent="0.2"/>
    <row r="9753" ht="12.75" hidden="1" x14ac:dyDescent="0.2"/>
    <row r="9754" ht="12.75" hidden="1" x14ac:dyDescent="0.2"/>
    <row r="9755" ht="12.75" hidden="1" x14ac:dyDescent="0.2"/>
    <row r="9756" ht="12.75" hidden="1" x14ac:dyDescent="0.2"/>
    <row r="9757" ht="12.75" hidden="1" x14ac:dyDescent="0.2"/>
    <row r="9758" ht="12.75" hidden="1" x14ac:dyDescent="0.2"/>
    <row r="9759" ht="12.75" hidden="1" x14ac:dyDescent="0.2"/>
    <row r="9760" ht="12.75" hidden="1" x14ac:dyDescent="0.2"/>
    <row r="9761" ht="12.75" hidden="1" x14ac:dyDescent="0.2"/>
    <row r="9762" ht="12.75" hidden="1" x14ac:dyDescent="0.2"/>
    <row r="9763" ht="12.75" hidden="1" x14ac:dyDescent="0.2"/>
    <row r="9764" ht="12.75" hidden="1" x14ac:dyDescent="0.2"/>
    <row r="9765" ht="12.75" hidden="1" x14ac:dyDescent="0.2"/>
    <row r="9766" ht="12.75" hidden="1" x14ac:dyDescent="0.2"/>
    <row r="9767" ht="12.75" hidden="1" x14ac:dyDescent="0.2"/>
    <row r="9768" ht="12.75" hidden="1" x14ac:dyDescent="0.2"/>
    <row r="9769" ht="12.75" hidden="1" x14ac:dyDescent="0.2"/>
    <row r="9770" ht="12.75" hidden="1" x14ac:dyDescent="0.2"/>
    <row r="9771" ht="12.75" hidden="1" x14ac:dyDescent="0.2"/>
    <row r="9772" ht="12.75" hidden="1" x14ac:dyDescent="0.2"/>
    <row r="9773" ht="12.75" hidden="1" x14ac:dyDescent="0.2"/>
    <row r="9774" ht="12.75" hidden="1" x14ac:dyDescent="0.2"/>
    <row r="9775" ht="12.75" hidden="1" x14ac:dyDescent="0.2"/>
    <row r="9776" ht="12.75" hidden="1" x14ac:dyDescent="0.2"/>
    <row r="9777" ht="12.75" hidden="1" x14ac:dyDescent="0.2"/>
    <row r="9778" ht="12.75" hidden="1" x14ac:dyDescent="0.2"/>
    <row r="9779" ht="12.75" hidden="1" x14ac:dyDescent="0.2"/>
    <row r="9780" ht="12.75" hidden="1" x14ac:dyDescent="0.2"/>
    <row r="9781" ht="12.75" hidden="1" x14ac:dyDescent="0.2"/>
    <row r="9782" ht="12.75" hidden="1" x14ac:dyDescent="0.2"/>
    <row r="9783" ht="12.75" hidden="1" x14ac:dyDescent="0.2"/>
    <row r="9784" ht="12.75" hidden="1" x14ac:dyDescent="0.2"/>
    <row r="9785" ht="12.75" hidden="1" x14ac:dyDescent="0.2"/>
    <row r="9786" ht="12.75" hidden="1" x14ac:dyDescent="0.2"/>
    <row r="9787" ht="12.75" hidden="1" x14ac:dyDescent="0.2"/>
    <row r="9788" ht="12.75" hidden="1" x14ac:dyDescent="0.2"/>
    <row r="9789" ht="12.75" hidden="1" x14ac:dyDescent="0.2"/>
    <row r="9790" ht="12.75" hidden="1" x14ac:dyDescent="0.2"/>
    <row r="9791" ht="12.75" hidden="1" x14ac:dyDescent="0.2"/>
    <row r="9792" ht="12.75" hidden="1" x14ac:dyDescent="0.2"/>
    <row r="9793" ht="12.75" hidden="1" x14ac:dyDescent="0.2"/>
    <row r="9794" ht="12.75" hidden="1" x14ac:dyDescent="0.2"/>
    <row r="9795" ht="12.75" hidden="1" x14ac:dyDescent="0.2"/>
    <row r="9796" ht="12.75" hidden="1" x14ac:dyDescent="0.2"/>
    <row r="9797" ht="12.75" hidden="1" x14ac:dyDescent="0.2"/>
    <row r="9798" ht="12.75" hidden="1" customHeight="1" x14ac:dyDescent="0.2"/>
    <row r="9799" ht="12.75" hidden="1" customHeight="1" x14ac:dyDescent="0.2"/>
    <row r="9800" ht="12.75" hidden="1" customHeight="1" x14ac:dyDescent="0.2"/>
    <row r="9801" ht="12.75" hidden="1" customHeight="1" x14ac:dyDescent="0.2"/>
    <row r="9802" ht="12.75" hidden="1" customHeight="1" x14ac:dyDescent="0.2"/>
    <row r="9803" ht="12.75" hidden="1" customHeight="1" x14ac:dyDescent="0.2"/>
    <row r="9804" ht="12.75" hidden="1" customHeight="1" x14ac:dyDescent="0.2"/>
    <row r="9805" ht="12.75" hidden="1" customHeight="1" x14ac:dyDescent="0.2"/>
    <row r="9806" ht="12.75" hidden="1" customHeight="1" x14ac:dyDescent="0.2"/>
    <row r="9807" ht="12.75" hidden="1" customHeight="1" x14ac:dyDescent="0.2"/>
    <row r="9808" ht="12.75" hidden="1" customHeight="1" x14ac:dyDescent="0.2"/>
    <row r="9809" ht="12.75" hidden="1" customHeight="1" x14ac:dyDescent="0.2"/>
    <row r="9810" ht="12.75" hidden="1" customHeight="1" x14ac:dyDescent="0.2"/>
    <row r="9811" ht="12.75" hidden="1" customHeight="1" x14ac:dyDescent="0.2"/>
    <row r="9812" ht="12.75" hidden="1" customHeight="1" x14ac:dyDescent="0.2"/>
    <row r="9813" ht="12.75" hidden="1" customHeight="1" x14ac:dyDescent="0.2"/>
    <row r="9814" ht="12.75" hidden="1" customHeight="1" x14ac:dyDescent="0.2"/>
    <row r="9815" ht="12.75" hidden="1" customHeight="1" x14ac:dyDescent="0.2"/>
    <row r="9816" ht="0" hidden="1" customHeight="1" x14ac:dyDescent="0.2"/>
    <row r="9817" ht="0" hidden="1" customHeight="1" x14ac:dyDescent="0.2"/>
    <row r="9818" ht="0" hidden="1" customHeight="1" x14ac:dyDescent="0.2"/>
    <row r="9819" ht="0" hidden="1" customHeight="1" x14ac:dyDescent="0.2"/>
    <row r="9820" ht="0" hidden="1" customHeight="1" x14ac:dyDescent="0.2"/>
    <row r="9821" ht="0" hidden="1" customHeight="1" x14ac:dyDescent="0.2"/>
    <row r="9822" ht="0" hidden="1" customHeight="1" x14ac:dyDescent="0.2"/>
  </sheetData>
  <pageMargins left="0.7" right="0.7" top="0.75" bottom="0.75" header="0.3" footer="0.3"/>
  <pageSetup paperSize="17" scale="38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theme="6"/>
    <pageSetUpPr fitToPage="1"/>
  </sheetPr>
  <dimension ref="A1:MH10021"/>
  <sheetViews>
    <sheetView tabSelected="1" topLeftCell="A73" zoomScale="55" zoomScaleNormal="55" workbookViewId="0">
      <selection activeCell="J100" sqref="J100"/>
    </sheetView>
  </sheetViews>
  <sheetFormatPr defaultColWidth="0" defaultRowHeight="12.75" zeroHeight="1" x14ac:dyDescent="0.2"/>
  <cols>
    <col min="1" max="3" width="3.140625" style="4" customWidth="1"/>
    <col min="4" max="4" width="140.7109375" style="4" bestFit="1" customWidth="1"/>
    <col min="5" max="5" width="25" style="4" bestFit="1" customWidth="1"/>
    <col min="6" max="6" width="14.140625" style="4" customWidth="1"/>
    <col min="7" max="7" width="15" style="45" bestFit="1" customWidth="1"/>
    <col min="8" max="60" width="14.7109375" style="4" customWidth="1"/>
    <col min="61" max="63" width="3.140625" style="4" customWidth="1"/>
    <col min="64" max="346" width="0" style="4" hidden="1" customWidth="1"/>
    <col min="347" max="16384" width="9.140625" style="4" hidden="1"/>
  </cols>
  <sheetData>
    <row r="1" spans="1:63" ht="16.5" thickBot="1" x14ac:dyDescent="0.3">
      <c r="A1" s="1"/>
      <c r="B1" s="1"/>
      <c r="C1" s="1"/>
      <c r="D1" s="2"/>
      <c r="E1" s="2"/>
      <c r="F1" s="2"/>
      <c r="G1" s="39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  <c r="BE1" s="2"/>
      <c r="BF1" s="2"/>
      <c r="BG1" s="2"/>
      <c r="BH1" s="2"/>
      <c r="BI1" s="1"/>
      <c r="BJ1" s="3"/>
      <c r="BK1" s="1"/>
    </row>
    <row r="2" spans="1:63" ht="16.5" thickTop="1" x14ac:dyDescent="0.25">
      <c r="A2" s="1"/>
      <c r="B2" s="5"/>
      <c r="C2" s="6"/>
      <c r="D2" s="6"/>
      <c r="E2" s="6"/>
      <c r="F2" s="6"/>
      <c r="G2" s="40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  <c r="AC2" s="6"/>
      <c r="AD2" s="6"/>
      <c r="AE2" s="6"/>
      <c r="AF2" s="6"/>
      <c r="AG2" s="6"/>
      <c r="AH2" s="6"/>
      <c r="AI2" s="6"/>
      <c r="AJ2" s="6"/>
      <c r="AK2" s="6"/>
      <c r="AL2" s="6"/>
      <c r="AM2" s="6"/>
      <c r="AN2" s="6"/>
      <c r="AO2" s="6"/>
      <c r="AP2" s="6"/>
      <c r="AQ2" s="6"/>
      <c r="AR2" s="6"/>
      <c r="AS2" s="6"/>
      <c r="AT2" s="6"/>
      <c r="AU2" s="6"/>
      <c r="AV2" s="6"/>
      <c r="AW2" s="6"/>
      <c r="AX2" s="6"/>
      <c r="AY2" s="6"/>
      <c r="AZ2" s="6"/>
      <c r="BA2" s="6"/>
      <c r="BB2" s="6"/>
      <c r="BC2" s="6"/>
      <c r="BD2" s="6"/>
      <c r="BE2" s="6"/>
      <c r="BF2" s="6"/>
      <c r="BG2" s="6"/>
      <c r="BH2" s="6"/>
      <c r="BI2" s="6"/>
      <c r="BJ2" s="7"/>
      <c r="BK2" s="1"/>
    </row>
    <row r="3" spans="1:63" ht="20.25" x14ac:dyDescent="0.3">
      <c r="A3" s="1"/>
      <c r="B3" s="8"/>
      <c r="C3" s="9"/>
      <c r="D3" s="9" t="s">
        <v>82</v>
      </c>
      <c r="E3" s="9"/>
      <c r="F3" s="9"/>
      <c r="G3" s="41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  <c r="AA3" s="9"/>
      <c r="AB3" s="9"/>
      <c r="AC3" s="9"/>
      <c r="AD3" s="9"/>
      <c r="AE3" s="9"/>
      <c r="AF3" s="9"/>
      <c r="AG3" s="9"/>
      <c r="AH3" s="9"/>
      <c r="AI3" s="9"/>
      <c r="AJ3" s="9"/>
      <c r="AK3" s="9"/>
      <c r="AL3" s="9"/>
      <c r="AM3" s="9"/>
      <c r="AN3" s="9"/>
      <c r="AO3" s="9"/>
      <c r="AP3" s="9"/>
      <c r="AQ3" s="9"/>
      <c r="AR3" s="9"/>
      <c r="AS3" s="9"/>
      <c r="AT3" s="9"/>
      <c r="AU3" s="9"/>
      <c r="AV3" s="9"/>
      <c r="AW3" s="9"/>
      <c r="AX3" s="9"/>
      <c r="AY3" s="9"/>
      <c r="AZ3" s="9"/>
      <c r="BA3" s="9"/>
      <c r="BB3" s="9"/>
      <c r="BC3" s="9"/>
      <c r="BD3" s="9"/>
      <c r="BE3" s="9"/>
      <c r="BF3" s="9"/>
      <c r="BG3" s="9"/>
      <c r="BH3" s="9"/>
      <c r="BI3" s="9"/>
      <c r="BJ3" s="10"/>
      <c r="BK3" s="1"/>
    </row>
    <row r="4" spans="1:63" ht="15.75" x14ac:dyDescent="0.25">
      <c r="A4" s="1"/>
      <c r="B4" s="11"/>
      <c r="C4" s="12"/>
      <c r="D4" s="12" t="s">
        <v>4</v>
      </c>
      <c r="E4" s="12"/>
      <c r="F4" s="12"/>
      <c r="G4" s="42"/>
      <c r="H4" s="12"/>
      <c r="I4" s="12"/>
      <c r="J4" s="12"/>
      <c r="K4" s="12"/>
      <c r="L4" s="12"/>
      <c r="M4" s="12"/>
      <c r="N4" s="12"/>
      <c r="O4" s="12"/>
      <c r="P4" s="12"/>
      <c r="Q4" s="12"/>
      <c r="R4" s="12"/>
      <c r="S4" s="12"/>
      <c r="T4" s="12"/>
      <c r="U4" s="12"/>
      <c r="V4" s="12"/>
      <c r="W4" s="12"/>
      <c r="X4" s="12"/>
      <c r="Y4" s="12"/>
      <c r="Z4" s="12"/>
      <c r="AA4" s="12"/>
      <c r="AB4" s="12"/>
      <c r="AC4" s="12"/>
      <c r="AD4" s="12"/>
      <c r="AE4" s="12"/>
      <c r="AF4" s="12"/>
      <c r="AG4" s="12"/>
      <c r="AH4" s="12"/>
      <c r="AI4" s="12"/>
      <c r="AJ4" s="12"/>
      <c r="AK4" s="12"/>
      <c r="AL4" s="12"/>
      <c r="AM4" s="12"/>
      <c r="AN4" s="12"/>
      <c r="AO4" s="12"/>
      <c r="AP4" s="12"/>
      <c r="AQ4" s="12"/>
      <c r="AR4" s="12"/>
      <c r="AS4" s="12"/>
      <c r="AT4" s="12"/>
      <c r="AU4" s="12"/>
      <c r="AV4" s="12"/>
      <c r="AW4" s="12"/>
      <c r="AX4" s="12"/>
      <c r="AY4" s="12"/>
      <c r="AZ4" s="12"/>
      <c r="BA4" s="12"/>
      <c r="BB4" s="12"/>
      <c r="BC4" s="12"/>
      <c r="BD4" s="12"/>
      <c r="BE4" s="12"/>
      <c r="BF4" s="12"/>
      <c r="BG4" s="12"/>
      <c r="BH4" s="12"/>
      <c r="BI4" s="12"/>
      <c r="BJ4" s="13"/>
      <c r="BK4" s="1"/>
    </row>
    <row r="5" spans="1:63" ht="15.75" x14ac:dyDescent="0.25">
      <c r="A5" s="1"/>
      <c r="B5" s="14"/>
      <c r="C5" s="15"/>
      <c r="D5" s="15"/>
      <c r="E5" s="15"/>
      <c r="F5" s="15"/>
      <c r="G5" s="43"/>
      <c r="H5" s="15"/>
      <c r="I5" s="15"/>
      <c r="J5" s="15"/>
      <c r="K5" s="15"/>
      <c r="L5" s="15"/>
      <c r="M5" s="15"/>
      <c r="N5" s="15"/>
      <c r="O5" s="15"/>
      <c r="P5" s="15"/>
      <c r="Q5" s="15"/>
      <c r="R5" s="15"/>
      <c r="S5" s="15"/>
      <c r="T5" s="15"/>
      <c r="U5" s="15"/>
      <c r="V5" s="15"/>
      <c r="W5" s="15"/>
      <c r="X5" s="15"/>
      <c r="Y5" s="15"/>
      <c r="Z5" s="15"/>
      <c r="AA5" s="15"/>
      <c r="AB5" s="15"/>
      <c r="AC5" s="15"/>
      <c r="AD5" s="15"/>
      <c r="AE5" s="15"/>
      <c r="AF5" s="15"/>
      <c r="AG5" s="15"/>
      <c r="AH5" s="15"/>
      <c r="AI5" s="15"/>
      <c r="AJ5" s="15"/>
      <c r="AK5" s="15"/>
      <c r="AL5" s="15"/>
      <c r="AM5" s="15"/>
      <c r="AN5" s="15"/>
      <c r="AO5" s="15"/>
      <c r="AP5" s="15"/>
      <c r="AQ5" s="15"/>
      <c r="AR5" s="15"/>
      <c r="AS5" s="15"/>
      <c r="AT5" s="15"/>
      <c r="AU5" s="15"/>
      <c r="AV5" s="15"/>
      <c r="AW5" s="15"/>
      <c r="AX5" s="15"/>
      <c r="AY5" s="15"/>
      <c r="AZ5" s="15"/>
      <c r="BA5" s="15"/>
      <c r="BB5" s="15"/>
      <c r="BC5" s="15"/>
      <c r="BD5" s="15"/>
      <c r="BE5" s="15"/>
      <c r="BF5" s="15"/>
      <c r="BG5" s="15"/>
      <c r="BH5" s="15"/>
      <c r="BI5" s="15"/>
      <c r="BJ5" s="16"/>
      <c r="BK5" s="1"/>
    </row>
    <row r="6" spans="1:63" ht="16.5" thickBot="1" x14ac:dyDescent="0.3">
      <c r="A6" s="1"/>
      <c r="B6" s="14"/>
      <c r="C6" s="15"/>
      <c r="D6" s="30" t="s">
        <v>1</v>
      </c>
      <c r="E6" s="15"/>
      <c r="F6" s="17" t="s">
        <v>0</v>
      </c>
      <c r="G6" s="43"/>
      <c r="H6" s="15"/>
      <c r="I6" s="15"/>
      <c r="J6" s="15"/>
      <c r="K6" s="15"/>
      <c r="L6" s="15"/>
      <c r="M6" s="15"/>
      <c r="N6" s="15"/>
      <c r="O6" s="15"/>
      <c r="P6" s="15"/>
      <c r="Q6" s="15"/>
      <c r="R6" s="15"/>
      <c r="S6" s="15"/>
      <c r="T6" s="15"/>
      <c r="U6" s="15"/>
      <c r="V6" s="15"/>
      <c r="W6" s="15"/>
      <c r="X6" s="15"/>
      <c r="Y6" s="15"/>
      <c r="Z6" s="15"/>
      <c r="AA6" s="15"/>
      <c r="AB6" s="15"/>
      <c r="AC6" s="15"/>
      <c r="AD6" s="15"/>
      <c r="AE6" s="15"/>
      <c r="AF6" s="15"/>
      <c r="AG6" s="15"/>
      <c r="AH6" s="15"/>
      <c r="AI6" s="15"/>
      <c r="AJ6" s="15"/>
      <c r="AK6" s="15"/>
      <c r="AL6" s="15"/>
      <c r="AM6" s="15"/>
      <c r="AN6" s="15"/>
      <c r="AO6" s="15"/>
      <c r="AP6" s="15"/>
      <c r="AQ6" s="15"/>
      <c r="AR6" s="15"/>
      <c r="AS6" s="15"/>
      <c r="AT6" s="15"/>
      <c r="AU6" s="15"/>
      <c r="AV6" s="15"/>
      <c r="AW6" s="15"/>
      <c r="AX6" s="15"/>
      <c r="AY6" s="15"/>
      <c r="AZ6" s="15"/>
      <c r="BA6" s="15"/>
      <c r="BB6" s="15"/>
      <c r="BC6" s="15"/>
      <c r="BD6" s="15"/>
      <c r="BE6" s="15"/>
      <c r="BF6" s="15"/>
      <c r="BG6" s="15"/>
      <c r="BH6" s="15"/>
      <c r="BI6" s="15"/>
      <c r="BJ6" s="16"/>
      <c r="BK6" s="1"/>
    </row>
    <row r="7" spans="1:63" ht="16.5" thickTop="1" x14ac:dyDescent="0.25">
      <c r="A7" s="1"/>
      <c r="B7" s="14"/>
      <c r="C7" s="15"/>
      <c r="D7" s="24" t="s">
        <v>24</v>
      </c>
      <c r="E7" s="15"/>
      <c r="F7" s="23" t="s">
        <v>28</v>
      </c>
      <c r="G7" s="43"/>
      <c r="H7" s="15"/>
      <c r="I7" s="15"/>
      <c r="J7" s="15"/>
      <c r="K7" s="15"/>
      <c r="L7" s="15"/>
      <c r="M7" s="15"/>
      <c r="N7" s="15"/>
      <c r="O7" s="15"/>
      <c r="P7" s="15"/>
      <c r="Q7" s="15"/>
      <c r="R7" s="15"/>
      <c r="S7" s="15"/>
      <c r="T7" s="15"/>
      <c r="U7" s="15"/>
      <c r="V7" s="15"/>
      <c r="W7" s="15"/>
      <c r="X7" s="15"/>
      <c r="Y7" s="15"/>
      <c r="Z7" s="15"/>
      <c r="AA7" s="15"/>
      <c r="AB7" s="15"/>
      <c r="AC7" s="15"/>
      <c r="AD7" s="15"/>
      <c r="AE7" s="15"/>
      <c r="AF7" s="15"/>
      <c r="AG7" s="15"/>
      <c r="AH7" s="15"/>
      <c r="AI7" s="15"/>
      <c r="AJ7" s="15"/>
      <c r="AK7" s="15"/>
      <c r="AL7" s="15"/>
      <c r="AM7" s="15"/>
      <c r="AN7" s="15"/>
      <c r="AO7" s="15"/>
      <c r="AP7" s="15"/>
      <c r="AQ7" s="15"/>
      <c r="AR7" s="15"/>
      <c r="AS7" s="15"/>
      <c r="AT7" s="15"/>
      <c r="AU7" s="15"/>
      <c r="AV7" s="15"/>
      <c r="AW7" s="15"/>
      <c r="AX7" s="15"/>
      <c r="AY7" s="15"/>
      <c r="AZ7" s="15"/>
      <c r="BA7" s="15"/>
      <c r="BB7" s="15"/>
      <c r="BC7" s="15"/>
      <c r="BD7" s="15"/>
      <c r="BE7" s="15"/>
      <c r="BF7" s="15"/>
      <c r="BG7" s="15"/>
      <c r="BH7" s="15"/>
      <c r="BI7" s="15"/>
      <c r="BJ7" s="16"/>
      <c r="BK7" s="1"/>
    </row>
    <row r="8" spans="1:63" ht="15.75" x14ac:dyDescent="0.25">
      <c r="A8" s="1"/>
      <c r="B8" s="14"/>
      <c r="C8" s="15"/>
      <c r="D8" s="24" t="s">
        <v>25</v>
      </c>
      <c r="E8" s="15"/>
      <c r="F8" s="18" t="s">
        <v>5</v>
      </c>
      <c r="G8" s="43"/>
      <c r="H8" s="15"/>
      <c r="I8" s="15"/>
      <c r="J8" s="15"/>
      <c r="K8" s="15"/>
      <c r="L8" s="15"/>
      <c r="M8" s="15"/>
      <c r="N8" s="15"/>
      <c r="O8" s="15"/>
      <c r="P8" s="15"/>
      <c r="Q8" s="15"/>
      <c r="R8" s="15"/>
      <c r="S8" s="15"/>
      <c r="T8" s="15"/>
      <c r="U8" s="15"/>
      <c r="V8" s="15"/>
      <c r="W8" s="15"/>
      <c r="X8" s="15"/>
      <c r="Y8" s="15"/>
      <c r="Z8" s="15"/>
      <c r="AA8" s="15"/>
      <c r="AB8" s="15"/>
      <c r="AC8" s="15"/>
      <c r="AD8" s="15"/>
      <c r="AE8" s="15"/>
      <c r="AF8" s="15"/>
      <c r="AG8" s="15"/>
      <c r="AH8" s="15"/>
      <c r="AI8" s="15"/>
      <c r="AJ8" s="15"/>
      <c r="AK8" s="15"/>
      <c r="AL8" s="15"/>
      <c r="AM8" s="15"/>
      <c r="AN8" s="15"/>
      <c r="AO8" s="15"/>
      <c r="AP8" s="15"/>
      <c r="AQ8" s="15"/>
      <c r="AR8" s="15"/>
      <c r="AS8" s="15"/>
      <c r="AT8" s="15"/>
      <c r="AU8" s="15"/>
      <c r="AV8" s="15"/>
      <c r="AW8" s="15"/>
      <c r="AX8" s="15"/>
      <c r="AY8" s="15"/>
      <c r="AZ8" s="15"/>
      <c r="BA8" s="15"/>
      <c r="BB8" s="15"/>
      <c r="BC8" s="15"/>
      <c r="BD8" s="15"/>
      <c r="BE8" s="15"/>
      <c r="BF8" s="15"/>
      <c r="BG8" s="15"/>
      <c r="BH8" s="15"/>
      <c r="BI8" s="15"/>
      <c r="BJ8" s="16"/>
      <c r="BK8" s="1"/>
    </row>
    <row r="9" spans="1:63" ht="15.75" x14ac:dyDescent="0.25">
      <c r="A9" s="1"/>
      <c r="B9" s="14"/>
      <c r="C9" s="15"/>
      <c r="D9" s="24" t="s">
        <v>73</v>
      </c>
      <c r="E9" s="15"/>
      <c r="F9" s="19" t="s">
        <v>6</v>
      </c>
      <c r="G9" s="43"/>
      <c r="H9" s="15"/>
      <c r="I9" s="15"/>
      <c r="J9" s="15"/>
      <c r="K9" s="15"/>
      <c r="L9" s="15"/>
      <c r="M9" s="15"/>
      <c r="N9" s="15"/>
      <c r="O9" s="15"/>
      <c r="P9" s="15"/>
      <c r="Q9" s="15"/>
      <c r="R9" s="15"/>
      <c r="S9" s="15"/>
      <c r="T9" s="15"/>
      <c r="U9" s="15"/>
      <c r="V9" s="15"/>
      <c r="W9" s="15"/>
      <c r="X9" s="15"/>
      <c r="Y9" s="15"/>
      <c r="Z9" s="15"/>
      <c r="AA9" s="15"/>
      <c r="AB9" s="15"/>
      <c r="AC9" s="15"/>
      <c r="AD9" s="15"/>
      <c r="AE9" s="15"/>
      <c r="AF9" s="15"/>
      <c r="AG9" s="15"/>
      <c r="AH9" s="15"/>
      <c r="AI9" s="15"/>
      <c r="AJ9" s="15"/>
      <c r="AK9" s="15"/>
      <c r="AL9" s="15"/>
      <c r="AM9" s="15"/>
      <c r="AN9" s="15"/>
      <c r="AO9" s="15"/>
      <c r="AP9" s="15"/>
      <c r="AQ9" s="15"/>
      <c r="AR9" s="15"/>
      <c r="AS9" s="15"/>
      <c r="AT9" s="15"/>
      <c r="AU9" s="15"/>
      <c r="AV9" s="15"/>
      <c r="AW9" s="15"/>
      <c r="AX9" s="15"/>
      <c r="AY9" s="15"/>
      <c r="AZ9" s="15"/>
      <c r="BA9" s="15"/>
      <c r="BB9" s="15"/>
      <c r="BC9" s="15"/>
      <c r="BD9" s="15"/>
      <c r="BE9" s="15"/>
      <c r="BF9" s="15"/>
      <c r="BG9" s="15"/>
      <c r="BH9" s="15"/>
      <c r="BI9" s="15"/>
      <c r="BJ9" s="16"/>
      <c r="BK9" s="1"/>
    </row>
    <row r="10" spans="1:63" ht="15.75" x14ac:dyDescent="0.25">
      <c r="A10" s="1"/>
      <c r="B10" s="14"/>
      <c r="C10" s="15"/>
      <c r="D10" s="24" t="s">
        <v>83</v>
      </c>
      <c r="E10" s="15"/>
      <c r="F10" s="15"/>
      <c r="G10" s="43"/>
      <c r="H10" s="15"/>
      <c r="I10" s="15"/>
      <c r="J10" s="15"/>
      <c r="K10" s="15"/>
      <c r="L10" s="15"/>
      <c r="M10" s="15"/>
      <c r="N10" s="15"/>
      <c r="O10" s="15"/>
      <c r="P10" s="15"/>
      <c r="Q10" s="15"/>
      <c r="R10" s="15"/>
      <c r="S10" s="15"/>
      <c r="T10" s="15"/>
      <c r="U10" s="15"/>
      <c r="V10" s="15"/>
      <c r="W10" s="15"/>
      <c r="X10" s="15"/>
      <c r="Y10" s="15"/>
      <c r="Z10" s="15"/>
      <c r="AA10" s="15"/>
      <c r="AB10" s="15"/>
      <c r="AC10" s="15"/>
      <c r="AD10" s="15"/>
      <c r="AE10" s="15"/>
      <c r="AF10" s="15"/>
      <c r="AG10" s="15"/>
      <c r="AH10" s="15"/>
      <c r="AI10" s="15"/>
      <c r="AJ10" s="15"/>
      <c r="AK10" s="15"/>
      <c r="AL10" s="15"/>
      <c r="AM10" s="15"/>
      <c r="AN10" s="15"/>
      <c r="AO10" s="15"/>
      <c r="AP10" s="15"/>
      <c r="AQ10" s="15"/>
      <c r="AR10" s="15"/>
      <c r="AS10" s="15"/>
      <c r="AT10" s="15"/>
      <c r="AU10" s="15"/>
      <c r="AV10" s="15"/>
      <c r="AW10" s="15"/>
      <c r="AX10" s="15"/>
      <c r="AY10" s="15"/>
      <c r="AZ10" s="15"/>
      <c r="BA10" s="15"/>
      <c r="BB10" s="15"/>
      <c r="BC10" s="15"/>
      <c r="BD10" s="15"/>
      <c r="BE10" s="15"/>
      <c r="BF10" s="15"/>
      <c r="BG10" s="15"/>
      <c r="BH10" s="15"/>
      <c r="BI10" s="15"/>
      <c r="BJ10" s="16"/>
      <c r="BK10" s="1"/>
    </row>
    <row r="11" spans="1:63" ht="15.75" x14ac:dyDescent="0.25">
      <c r="A11" s="1"/>
      <c r="B11" s="14"/>
      <c r="C11" s="15"/>
      <c r="D11" s="24" t="s">
        <v>77</v>
      </c>
      <c r="E11" s="15"/>
      <c r="F11" s="15"/>
      <c r="G11" s="43"/>
      <c r="H11" s="15"/>
      <c r="I11" s="15"/>
      <c r="J11" s="15"/>
      <c r="K11" s="15"/>
      <c r="L11" s="15"/>
      <c r="M11" s="15"/>
      <c r="N11" s="15"/>
      <c r="O11" s="15"/>
      <c r="P11" s="15"/>
      <c r="Q11" s="15"/>
      <c r="R11" s="15"/>
      <c r="S11" s="15"/>
      <c r="T11" s="15"/>
      <c r="U11" s="15"/>
      <c r="V11" s="15"/>
      <c r="W11" s="15"/>
      <c r="X11" s="15"/>
      <c r="Y11" s="15"/>
      <c r="Z11" s="15"/>
      <c r="AA11" s="15"/>
      <c r="AB11" s="15"/>
      <c r="AC11" s="15"/>
      <c r="AD11" s="15"/>
      <c r="AE11" s="15"/>
      <c r="AF11" s="15"/>
      <c r="AG11" s="15"/>
      <c r="AH11" s="15"/>
      <c r="AI11" s="15"/>
      <c r="AJ11" s="15"/>
      <c r="AK11" s="15"/>
      <c r="AL11" s="15"/>
      <c r="AM11" s="15"/>
      <c r="AN11" s="15"/>
      <c r="AO11" s="15"/>
      <c r="AP11" s="15"/>
      <c r="AQ11" s="15"/>
      <c r="AR11" s="15"/>
      <c r="AS11" s="15"/>
      <c r="AT11" s="15"/>
      <c r="AU11" s="15"/>
      <c r="AV11" s="15"/>
      <c r="AW11" s="15"/>
      <c r="AX11" s="15"/>
      <c r="AY11" s="15"/>
      <c r="AZ11" s="15"/>
      <c r="BA11" s="15"/>
      <c r="BB11" s="15"/>
      <c r="BC11" s="15"/>
      <c r="BD11" s="15"/>
      <c r="BE11" s="15"/>
      <c r="BF11" s="15"/>
      <c r="BG11" s="15"/>
      <c r="BH11" s="15"/>
      <c r="BI11" s="15"/>
      <c r="BJ11" s="16"/>
      <c r="BK11" s="1"/>
    </row>
    <row r="12" spans="1:63" ht="15.75" x14ac:dyDescent="0.25">
      <c r="A12" s="1"/>
      <c r="B12" s="14"/>
      <c r="C12" s="15"/>
      <c r="D12" s="24" t="s">
        <v>91</v>
      </c>
      <c r="E12" s="15"/>
      <c r="F12" s="15"/>
      <c r="G12" s="43"/>
      <c r="H12" s="15"/>
      <c r="I12" s="15"/>
      <c r="J12" s="15"/>
      <c r="K12" s="15"/>
      <c r="L12" s="15"/>
      <c r="M12" s="15"/>
      <c r="N12" s="15"/>
      <c r="O12" s="15"/>
      <c r="P12" s="15"/>
      <c r="Q12" s="15"/>
      <c r="R12" s="15"/>
      <c r="S12" s="15"/>
      <c r="T12" s="15"/>
      <c r="U12" s="15"/>
      <c r="V12" s="15"/>
      <c r="W12" s="15"/>
      <c r="X12" s="15"/>
      <c r="Y12" s="15"/>
      <c r="Z12" s="15"/>
      <c r="AA12" s="15"/>
      <c r="AB12" s="15"/>
      <c r="AC12" s="15"/>
      <c r="AD12" s="15"/>
      <c r="AE12" s="15"/>
      <c r="AF12" s="15"/>
      <c r="AG12" s="15"/>
      <c r="AH12" s="15"/>
      <c r="AI12" s="15"/>
      <c r="AJ12" s="15"/>
      <c r="AK12" s="15"/>
      <c r="AL12" s="15"/>
      <c r="AM12" s="15"/>
      <c r="AN12" s="15"/>
      <c r="AO12" s="15"/>
      <c r="AP12" s="15"/>
      <c r="AQ12" s="15"/>
      <c r="AR12" s="15"/>
      <c r="AS12" s="15"/>
      <c r="AT12" s="15"/>
      <c r="AU12" s="15"/>
      <c r="AV12" s="15"/>
      <c r="AW12" s="15"/>
      <c r="AX12" s="15"/>
      <c r="AY12" s="15"/>
      <c r="AZ12" s="15"/>
      <c r="BA12" s="15"/>
      <c r="BB12" s="15"/>
      <c r="BC12" s="15"/>
      <c r="BD12" s="15"/>
      <c r="BE12" s="15"/>
      <c r="BF12" s="15"/>
      <c r="BG12" s="15"/>
      <c r="BH12" s="15"/>
      <c r="BI12" s="15"/>
      <c r="BJ12" s="16"/>
      <c r="BK12" s="1"/>
    </row>
    <row r="13" spans="1:63" ht="15.75" x14ac:dyDescent="0.25">
      <c r="A13" s="1"/>
      <c r="B13" s="14"/>
      <c r="C13" s="15"/>
      <c r="D13" s="15"/>
      <c r="E13" s="15"/>
      <c r="F13" s="15"/>
      <c r="G13" s="43"/>
      <c r="H13" s="15"/>
      <c r="I13" s="15"/>
      <c r="J13" s="15"/>
      <c r="K13" s="15"/>
      <c r="L13" s="15"/>
      <c r="M13" s="15"/>
      <c r="N13" s="15"/>
      <c r="O13" s="15"/>
      <c r="P13" s="15"/>
      <c r="Q13" s="15"/>
      <c r="R13" s="15"/>
      <c r="S13" s="15"/>
      <c r="T13" s="15"/>
      <c r="U13" s="15"/>
      <c r="V13" s="15"/>
      <c r="W13" s="15"/>
      <c r="X13" s="15"/>
      <c r="Y13" s="15"/>
      <c r="Z13" s="15"/>
      <c r="AA13" s="15"/>
      <c r="AB13" s="15"/>
      <c r="AC13" s="15"/>
      <c r="AD13" s="15"/>
      <c r="AE13" s="15"/>
      <c r="AF13" s="15"/>
      <c r="AG13" s="15"/>
      <c r="AH13" s="15"/>
      <c r="AI13" s="15"/>
      <c r="AJ13" s="15"/>
      <c r="AK13" s="15"/>
      <c r="AL13" s="15"/>
      <c r="AM13" s="15"/>
      <c r="AN13" s="15"/>
      <c r="AO13" s="15"/>
      <c r="AP13" s="15"/>
      <c r="AQ13" s="15"/>
      <c r="AR13" s="15"/>
      <c r="AS13" s="15"/>
      <c r="AT13" s="15"/>
      <c r="AU13" s="15"/>
      <c r="AV13" s="15"/>
      <c r="AW13" s="15"/>
      <c r="AX13" s="15"/>
      <c r="AY13" s="15"/>
      <c r="AZ13" s="15"/>
      <c r="BA13" s="15"/>
      <c r="BB13" s="15"/>
      <c r="BC13" s="15"/>
      <c r="BD13" s="15"/>
      <c r="BE13" s="15"/>
      <c r="BF13" s="15"/>
      <c r="BG13" s="15"/>
      <c r="BH13" s="15"/>
      <c r="BI13" s="15"/>
      <c r="BJ13" s="16"/>
      <c r="BK13" s="1"/>
    </row>
    <row r="14" spans="1:63" ht="15.75" x14ac:dyDescent="0.25">
      <c r="A14" s="1"/>
      <c r="B14" s="14"/>
      <c r="C14" s="15"/>
      <c r="D14" s="30" t="s">
        <v>69</v>
      </c>
      <c r="E14" s="15"/>
      <c r="F14" s="15"/>
      <c r="G14" s="43"/>
      <c r="H14" s="15"/>
      <c r="I14" s="15"/>
      <c r="J14" s="15"/>
      <c r="K14" s="15"/>
      <c r="L14" s="15"/>
      <c r="M14" s="15"/>
      <c r="N14" s="15"/>
      <c r="O14" s="15"/>
      <c r="P14" s="15"/>
      <c r="Q14" s="15"/>
      <c r="R14" s="15"/>
      <c r="S14" s="15"/>
      <c r="T14" s="15"/>
      <c r="U14" s="15"/>
      <c r="V14" s="15"/>
      <c r="W14" s="15"/>
      <c r="X14" s="15"/>
      <c r="Y14" s="15"/>
      <c r="Z14" s="15"/>
      <c r="AA14" s="15"/>
      <c r="AB14" s="15"/>
      <c r="AC14" s="15"/>
      <c r="AD14" s="15"/>
      <c r="AE14" s="15"/>
      <c r="AF14" s="15"/>
      <c r="AG14" s="15"/>
      <c r="AH14" s="15"/>
      <c r="AI14" s="15"/>
      <c r="AJ14" s="15"/>
      <c r="AK14" s="15"/>
      <c r="AL14" s="15"/>
      <c r="AM14" s="15"/>
      <c r="AN14" s="15"/>
      <c r="AO14" s="15"/>
      <c r="AP14" s="15"/>
      <c r="AQ14" s="15"/>
      <c r="AR14" s="15"/>
      <c r="AS14" s="15"/>
      <c r="AT14" s="15"/>
      <c r="AU14" s="15"/>
      <c r="AV14" s="15"/>
      <c r="AW14" s="15"/>
      <c r="AX14" s="15"/>
      <c r="AY14" s="15"/>
      <c r="AZ14" s="15"/>
      <c r="BA14" s="15"/>
      <c r="BB14" s="15"/>
      <c r="BC14" s="15"/>
      <c r="BD14" s="15"/>
      <c r="BE14" s="15"/>
      <c r="BF14" s="15"/>
      <c r="BG14" s="15"/>
      <c r="BH14" s="15"/>
      <c r="BI14" s="15"/>
      <c r="BJ14" s="16"/>
      <c r="BK14" s="1"/>
    </row>
    <row r="15" spans="1:63" ht="15.75" x14ac:dyDescent="0.25">
      <c r="A15" s="1"/>
      <c r="B15" s="14"/>
      <c r="C15" s="15"/>
      <c r="D15" s="24" t="s">
        <v>70</v>
      </c>
      <c r="E15" s="32">
        <v>15000</v>
      </c>
      <c r="F15" s="15"/>
      <c r="G15" s="43"/>
      <c r="H15" s="15"/>
      <c r="I15" s="15"/>
      <c r="J15" s="15"/>
      <c r="K15" s="15"/>
      <c r="L15" s="15"/>
      <c r="M15" s="15"/>
      <c r="N15" s="15"/>
      <c r="O15" s="15"/>
      <c r="P15" s="15"/>
      <c r="Q15" s="15"/>
      <c r="R15" s="15"/>
      <c r="S15" s="15"/>
      <c r="T15" s="15"/>
      <c r="U15" s="15"/>
      <c r="V15" s="15"/>
      <c r="W15" s="15"/>
      <c r="X15" s="15"/>
      <c r="Y15" s="15"/>
      <c r="Z15" s="15"/>
      <c r="AA15" s="15"/>
      <c r="AB15" s="15"/>
      <c r="AC15" s="15"/>
      <c r="AD15" s="15"/>
      <c r="AE15" s="15"/>
      <c r="AF15" s="15"/>
      <c r="AG15" s="15"/>
      <c r="AH15" s="15"/>
      <c r="AI15" s="15"/>
      <c r="AJ15" s="15"/>
      <c r="AK15" s="15"/>
      <c r="AL15" s="15"/>
      <c r="AM15" s="15"/>
      <c r="AN15" s="15"/>
      <c r="AO15" s="15"/>
      <c r="AP15" s="15"/>
      <c r="AQ15" s="15"/>
      <c r="AR15" s="15"/>
      <c r="AS15" s="15"/>
      <c r="AT15" s="15"/>
      <c r="AU15" s="15"/>
      <c r="AV15" s="15"/>
      <c r="AW15" s="15"/>
      <c r="AX15" s="15"/>
      <c r="AY15" s="15"/>
      <c r="AZ15" s="15"/>
      <c r="BA15" s="15"/>
      <c r="BB15" s="15"/>
      <c r="BC15" s="15"/>
      <c r="BD15" s="15"/>
      <c r="BE15" s="15"/>
      <c r="BF15" s="15"/>
      <c r="BG15" s="15"/>
      <c r="BH15" s="15"/>
      <c r="BI15" s="15"/>
      <c r="BJ15" s="16"/>
      <c r="BK15" s="1"/>
    </row>
    <row r="16" spans="1:63" ht="15.75" x14ac:dyDescent="0.25">
      <c r="A16" s="1"/>
      <c r="B16" s="14"/>
      <c r="C16" s="15"/>
      <c r="D16" s="24" t="s">
        <v>71</v>
      </c>
      <c r="E16" s="37">
        <v>7.0000000000000007E-2</v>
      </c>
      <c r="F16" s="15"/>
      <c r="G16" s="43"/>
      <c r="H16" s="15"/>
      <c r="I16" s="15"/>
      <c r="J16" s="15"/>
      <c r="K16" s="15"/>
      <c r="L16" s="15"/>
      <c r="M16" s="15"/>
      <c r="N16" s="15"/>
      <c r="O16" s="15"/>
      <c r="P16" s="15"/>
      <c r="Q16" s="15"/>
      <c r="R16" s="15"/>
      <c r="S16" s="15"/>
      <c r="T16" s="15"/>
      <c r="U16" s="15"/>
      <c r="V16" s="15"/>
      <c r="W16" s="15"/>
      <c r="X16" s="15"/>
      <c r="Y16" s="15"/>
      <c r="Z16" s="15"/>
      <c r="AA16" s="15"/>
      <c r="AB16" s="15"/>
      <c r="AC16" s="15"/>
      <c r="AD16" s="15"/>
      <c r="AE16" s="15"/>
      <c r="AF16" s="15"/>
      <c r="AG16" s="15"/>
      <c r="AH16" s="15"/>
      <c r="AI16" s="15"/>
      <c r="AJ16" s="15"/>
      <c r="AK16" s="15"/>
      <c r="AL16" s="15"/>
      <c r="AM16" s="15"/>
      <c r="AN16" s="15"/>
      <c r="AO16" s="15"/>
      <c r="AP16" s="15"/>
      <c r="AQ16" s="15"/>
      <c r="AR16" s="15"/>
      <c r="AS16" s="15"/>
      <c r="AT16" s="15"/>
      <c r="AU16" s="15"/>
      <c r="AV16" s="15"/>
      <c r="AW16" s="15"/>
      <c r="AX16" s="15"/>
      <c r="AY16" s="15"/>
      <c r="AZ16" s="15"/>
      <c r="BA16" s="15"/>
      <c r="BB16" s="15"/>
      <c r="BC16" s="15"/>
      <c r="BD16" s="15"/>
      <c r="BE16" s="15"/>
      <c r="BF16" s="15"/>
      <c r="BG16" s="15"/>
      <c r="BH16" s="15"/>
      <c r="BI16" s="15"/>
      <c r="BJ16" s="16"/>
      <c r="BK16" s="1"/>
    </row>
    <row r="17" spans="1:63" ht="15.75" x14ac:dyDescent="0.25">
      <c r="A17" s="1"/>
      <c r="B17" s="14"/>
      <c r="C17" s="15"/>
      <c r="D17" s="24" t="s">
        <v>76</v>
      </c>
      <c r="E17" s="32">
        <v>24</v>
      </c>
      <c r="F17" s="15"/>
      <c r="G17" s="43"/>
      <c r="H17" s="15"/>
      <c r="I17" s="15"/>
      <c r="J17" s="15"/>
      <c r="K17" s="15"/>
      <c r="L17" s="15"/>
      <c r="M17" s="15"/>
      <c r="N17" s="15"/>
      <c r="O17" s="15"/>
      <c r="P17" s="15"/>
      <c r="Q17" s="15"/>
      <c r="R17" s="15"/>
      <c r="S17" s="15"/>
      <c r="T17" s="15"/>
      <c r="U17" s="15"/>
      <c r="V17" s="15"/>
      <c r="W17" s="15"/>
      <c r="X17" s="15"/>
      <c r="Y17" s="15"/>
      <c r="Z17" s="15"/>
      <c r="AA17" s="15"/>
      <c r="AB17" s="15"/>
      <c r="AC17" s="15"/>
      <c r="AD17" s="15"/>
      <c r="AE17" s="15"/>
      <c r="AF17" s="15"/>
      <c r="AG17" s="15"/>
      <c r="AH17" s="15"/>
      <c r="AI17" s="15"/>
      <c r="AJ17" s="15"/>
      <c r="AK17" s="15"/>
      <c r="AL17" s="15"/>
      <c r="AM17" s="15"/>
      <c r="AN17" s="15"/>
      <c r="AO17" s="15"/>
      <c r="AP17" s="15"/>
      <c r="AQ17" s="15"/>
      <c r="AR17" s="15"/>
      <c r="AS17" s="15"/>
      <c r="AT17" s="15"/>
      <c r="AU17" s="15"/>
      <c r="AV17" s="15"/>
      <c r="AW17" s="15"/>
      <c r="AX17" s="15"/>
      <c r="AY17" s="15"/>
      <c r="AZ17" s="15"/>
      <c r="BA17" s="15"/>
      <c r="BB17" s="15"/>
      <c r="BC17" s="15"/>
      <c r="BD17" s="15"/>
      <c r="BE17" s="15"/>
      <c r="BF17" s="15"/>
      <c r="BG17" s="15"/>
      <c r="BH17" s="15"/>
      <c r="BI17" s="15"/>
      <c r="BJ17" s="16"/>
      <c r="BK17" s="1"/>
    </row>
    <row r="18" spans="1:63" ht="15.75" x14ac:dyDescent="0.25">
      <c r="A18" s="1"/>
      <c r="B18" s="14"/>
      <c r="C18" s="15"/>
      <c r="D18" s="24" t="s">
        <v>78</v>
      </c>
      <c r="E18" s="38">
        <v>19485</v>
      </c>
      <c r="F18" s="15"/>
      <c r="G18" s="43"/>
      <c r="H18" s="15"/>
      <c r="I18" s="15"/>
      <c r="J18" s="15"/>
      <c r="K18" s="15"/>
      <c r="L18" s="15"/>
      <c r="M18" s="15"/>
      <c r="N18" s="15"/>
      <c r="O18" s="15"/>
      <c r="P18" s="15"/>
      <c r="Q18" s="15"/>
      <c r="R18" s="15"/>
      <c r="S18" s="15"/>
      <c r="T18" s="15"/>
      <c r="U18" s="15"/>
      <c r="V18" s="15"/>
      <c r="W18" s="15"/>
      <c r="X18" s="15"/>
      <c r="Y18" s="15"/>
      <c r="Z18" s="15"/>
      <c r="AA18" s="15"/>
      <c r="AB18" s="15"/>
      <c r="AC18" s="15"/>
      <c r="AD18" s="15"/>
      <c r="AE18" s="15"/>
      <c r="AF18" s="15"/>
      <c r="AG18" s="15"/>
      <c r="AH18" s="15"/>
      <c r="AI18" s="15"/>
      <c r="AJ18" s="15"/>
      <c r="AK18" s="15"/>
      <c r="AL18" s="15"/>
      <c r="AM18" s="15"/>
      <c r="AN18" s="15"/>
      <c r="AO18" s="15"/>
      <c r="AP18" s="15"/>
      <c r="AQ18" s="15"/>
      <c r="AR18" s="15"/>
      <c r="AS18" s="15"/>
      <c r="AT18" s="15"/>
      <c r="AU18" s="15"/>
      <c r="AV18" s="15"/>
      <c r="AW18" s="15"/>
      <c r="AX18" s="15"/>
      <c r="AY18" s="15"/>
      <c r="AZ18" s="15"/>
      <c r="BA18" s="15"/>
      <c r="BB18" s="15"/>
      <c r="BC18" s="15"/>
      <c r="BD18" s="15"/>
      <c r="BE18" s="15"/>
      <c r="BF18" s="15"/>
      <c r="BG18" s="15"/>
      <c r="BH18" s="15"/>
      <c r="BI18" s="15"/>
      <c r="BJ18" s="16"/>
      <c r="BK18" s="1"/>
    </row>
    <row r="19" spans="1:63" ht="15.75" x14ac:dyDescent="0.25">
      <c r="A19" s="1"/>
      <c r="B19" s="14"/>
      <c r="C19" s="15"/>
      <c r="D19" s="24" t="s">
        <v>79</v>
      </c>
      <c r="E19" s="38">
        <v>29835</v>
      </c>
      <c r="F19" s="15"/>
      <c r="G19" s="43"/>
      <c r="H19" s="15"/>
      <c r="I19" s="15"/>
      <c r="J19" s="15"/>
      <c r="K19" s="15"/>
      <c r="L19" s="15"/>
      <c r="M19" s="15"/>
      <c r="N19" s="15"/>
      <c r="O19" s="15"/>
      <c r="P19" s="15"/>
      <c r="Q19" s="15"/>
      <c r="R19" s="15"/>
      <c r="S19" s="15"/>
      <c r="T19" s="15"/>
      <c r="U19" s="15"/>
      <c r="V19" s="15"/>
      <c r="W19" s="15"/>
      <c r="X19" s="15"/>
      <c r="Y19" s="15"/>
      <c r="Z19" s="15"/>
      <c r="AA19" s="15"/>
      <c r="AB19" s="15"/>
      <c r="AC19" s="15"/>
      <c r="AD19" s="15"/>
      <c r="AE19" s="15"/>
      <c r="AF19" s="15"/>
      <c r="AG19" s="15"/>
      <c r="AH19" s="15"/>
      <c r="AI19" s="15"/>
      <c r="AJ19" s="15"/>
      <c r="AK19" s="15"/>
      <c r="AL19" s="15"/>
      <c r="AM19" s="15"/>
      <c r="AN19" s="15"/>
      <c r="AO19" s="15"/>
      <c r="AP19" s="15"/>
      <c r="AQ19" s="15"/>
      <c r="AR19" s="15"/>
      <c r="AS19" s="15"/>
      <c r="AT19" s="15"/>
      <c r="AU19" s="15"/>
      <c r="AV19" s="15"/>
      <c r="AW19" s="15"/>
      <c r="AX19" s="15"/>
      <c r="AY19" s="15"/>
      <c r="AZ19" s="15"/>
      <c r="BA19" s="15"/>
      <c r="BB19" s="15"/>
      <c r="BC19" s="15"/>
      <c r="BD19" s="15"/>
      <c r="BE19" s="15"/>
      <c r="BF19" s="15"/>
      <c r="BG19" s="15"/>
      <c r="BH19" s="15"/>
      <c r="BI19" s="15"/>
      <c r="BJ19" s="16"/>
      <c r="BK19" s="1"/>
    </row>
    <row r="20" spans="1:63" ht="15.75" x14ac:dyDescent="0.25">
      <c r="A20" s="1"/>
      <c r="B20" s="14"/>
      <c r="C20" s="15"/>
      <c r="D20" s="15"/>
      <c r="E20" s="15"/>
      <c r="F20" s="15"/>
      <c r="G20" s="43"/>
      <c r="H20" s="15"/>
      <c r="I20" s="15"/>
      <c r="J20" s="15"/>
      <c r="K20" s="15"/>
      <c r="L20" s="15"/>
      <c r="M20" s="15"/>
      <c r="N20" s="15"/>
      <c r="O20" s="15"/>
      <c r="P20" s="15"/>
      <c r="Q20" s="15"/>
      <c r="R20" s="15"/>
      <c r="S20" s="15"/>
      <c r="T20" s="15"/>
      <c r="U20" s="15"/>
      <c r="V20" s="15"/>
      <c r="W20" s="15"/>
      <c r="X20" s="15"/>
      <c r="Y20" s="15"/>
      <c r="Z20" s="15"/>
      <c r="AA20" s="15"/>
      <c r="AB20" s="15"/>
      <c r="AC20" s="15"/>
      <c r="AD20" s="15"/>
      <c r="AE20" s="15"/>
      <c r="AF20" s="15"/>
      <c r="AG20" s="15"/>
      <c r="AH20" s="15"/>
      <c r="AI20" s="15"/>
      <c r="AJ20" s="15"/>
      <c r="AK20" s="15"/>
      <c r="AL20" s="15"/>
      <c r="AM20" s="15"/>
      <c r="AN20" s="15"/>
      <c r="AO20" s="15"/>
      <c r="AP20" s="15"/>
      <c r="AQ20" s="15"/>
      <c r="AR20" s="15"/>
      <c r="AS20" s="15"/>
      <c r="AT20" s="15"/>
      <c r="AU20" s="15"/>
      <c r="AV20" s="15"/>
      <c r="AW20" s="15"/>
      <c r="AX20" s="15"/>
      <c r="AY20" s="15"/>
      <c r="AZ20" s="15"/>
      <c r="BA20" s="15"/>
      <c r="BB20" s="15"/>
      <c r="BC20" s="15"/>
      <c r="BD20" s="15"/>
      <c r="BE20" s="15"/>
      <c r="BF20" s="15"/>
      <c r="BG20" s="15"/>
      <c r="BH20" s="15"/>
      <c r="BI20" s="15"/>
      <c r="BJ20" s="16"/>
      <c r="BK20" s="1"/>
    </row>
    <row r="21" spans="1:63" ht="16.5" thickBot="1" x14ac:dyDescent="0.3">
      <c r="A21" s="1"/>
      <c r="B21" s="14"/>
      <c r="C21" s="15"/>
      <c r="D21" s="30" t="s">
        <v>59</v>
      </c>
      <c r="E21" s="17" t="s">
        <v>8</v>
      </c>
      <c r="F21" s="17" t="s">
        <v>9</v>
      </c>
      <c r="G21" s="17" t="s">
        <v>3</v>
      </c>
      <c r="H21" s="15"/>
      <c r="I21" s="15"/>
      <c r="J21" s="15"/>
      <c r="K21" s="15"/>
      <c r="L21" s="15"/>
      <c r="M21" s="15"/>
      <c r="N21" s="15"/>
      <c r="O21" s="15"/>
      <c r="P21" s="15"/>
      <c r="Q21" s="15"/>
      <c r="R21" s="15"/>
      <c r="S21" s="15"/>
      <c r="T21" s="15"/>
      <c r="U21" s="15"/>
      <c r="V21" s="15"/>
      <c r="W21" s="15"/>
      <c r="X21" s="15"/>
      <c r="Y21" s="15"/>
      <c r="Z21" s="15"/>
      <c r="AA21" s="15"/>
      <c r="AB21" s="15"/>
      <c r="AC21" s="15"/>
      <c r="AD21" s="15"/>
      <c r="AE21" s="15"/>
      <c r="AF21" s="15"/>
      <c r="AG21" s="15"/>
      <c r="AH21" s="15"/>
      <c r="AI21" s="15"/>
      <c r="AJ21" s="15"/>
      <c r="AK21" s="15"/>
      <c r="AL21" s="15"/>
      <c r="AM21" s="15"/>
      <c r="AN21" s="15"/>
      <c r="AO21" s="15"/>
      <c r="AP21" s="15"/>
      <c r="AQ21" s="15"/>
      <c r="AR21" s="15"/>
      <c r="AS21" s="15"/>
      <c r="AT21" s="15"/>
      <c r="AU21" s="15"/>
      <c r="AV21" s="15"/>
      <c r="AW21" s="15"/>
      <c r="AX21" s="15"/>
      <c r="AY21" s="15"/>
      <c r="AZ21" s="15"/>
      <c r="BA21" s="15"/>
      <c r="BB21" s="15"/>
      <c r="BC21" s="15"/>
      <c r="BD21" s="15"/>
      <c r="BE21" s="15"/>
      <c r="BF21" s="15"/>
      <c r="BG21" s="15"/>
      <c r="BH21" s="15"/>
      <c r="BI21" s="15"/>
      <c r="BJ21" s="16"/>
      <c r="BK21" s="1"/>
    </row>
    <row r="22" spans="1:63" ht="16.5" thickTop="1" x14ac:dyDescent="0.25">
      <c r="A22" s="1"/>
      <c r="B22" s="14"/>
      <c r="C22" s="15"/>
      <c r="D22" s="24" t="s">
        <v>60</v>
      </c>
      <c r="E22" s="24" t="s">
        <v>62</v>
      </c>
      <c r="F22" s="24" t="s">
        <v>63</v>
      </c>
      <c r="G22" s="28" t="s">
        <v>64</v>
      </c>
      <c r="H22" s="32">
        <v>32</v>
      </c>
      <c r="I22" s="15"/>
      <c r="J22" s="15"/>
      <c r="K22" s="15"/>
      <c r="L22" s="15"/>
      <c r="M22" s="15"/>
      <c r="N22" s="15"/>
      <c r="O22" s="15"/>
      <c r="P22" s="15"/>
      <c r="Q22" s="15"/>
      <c r="R22" s="15"/>
      <c r="S22" s="15"/>
      <c r="T22" s="15"/>
      <c r="U22" s="15"/>
      <c r="V22" s="15"/>
      <c r="W22" s="15"/>
      <c r="X22" s="15"/>
      <c r="Y22" s="15"/>
      <c r="Z22" s="15"/>
      <c r="AA22" s="15"/>
      <c r="AB22" s="15"/>
      <c r="AC22" s="15"/>
      <c r="AD22" s="15"/>
      <c r="AE22" s="15"/>
      <c r="AF22" s="15"/>
      <c r="AG22" s="15"/>
      <c r="AH22" s="15"/>
      <c r="AI22" s="15"/>
      <c r="AJ22" s="15"/>
      <c r="AK22" s="15"/>
      <c r="AL22" s="15"/>
      <c r="AM22" s="15"/>
      <c r="AN22" s="15"/>
      <c r="AO22" s="15"/>
      <c r="AP22" s="15"/>
      <c r="AQ22" s="15"/>
      <c r="AR22" s="15"/>
      <c r="AS22" s="15"/>
      <c r="AT22" s="15"/>
      <c r="AU22" s="15"/>
      <c r="AV22" s="15"/>
      <c r="AW22" s="15"/>
      <c r="AX22" s="15"/>
      <c r="AY22" s="15"/>
      <c r="AZ22" s="15"/>
      <c r="BA22" s="15"/>
      <c r="BB22" s="15"/>
      <c r="BC22" s="15"/>
      <c r="BD22" s="15"/>
      <c r="BE22" s="15"/>
      <c r="BF22" s="15"/>
      <c r="BG22" s="15"/>
      <c r="BH22" s="15"/>
      <c r="BI22" s="15"/>
      <c r="BJ22" s="16"/>
      <c r="BK22" s="1"/>
    </row>
    <row r="23" spans="1:63" ht="15.75" x14ac:dyDescent="0.25">
      <c r="A23" s="1"/>
      <c r="B23" s="14"/>
      <c r="C23" s="15"/>
      <c r="D23" s="24" t="s">
        <v>61</v>
      </c>
      <c r="E23" s="24" t="s">
        <v>66</v>
      </c>
      <c r="F23" s="24" t="s">
        <v>67</v>
      </c>
      <c r="G23" s="28" t="s">
        <v>65</v>
      </c>
      <c r="H23" s="33">
        <v>5.4</v>
      </c>
      <c r="I23" s="15"/>
      <c r="J23" s="15"/>
      <c r="K23" s="15"/>
      <c r="L23" s="15"/>
      <c r="M23" s="15"/>
      <c r="N23" s="15"/>
      <c r="O23" s="15"/>
      <c r="P23" s="15"/>
      <c r="Q23" s="15"/>
      <c r="R23" s="15"/>
      <c r="S23" s="15"/>
      <c r="T23" s="15"/>
      <c r="U23" s="15"/>
      <c r="V23" s="15"/>
      <c r="W23" s="15"/>
      <c r="X23" s="15"/>
      <c r="Y23" s="15"/>
      <c r="Z23" s="15"/>
      <c r="AA23" s="15"/>
      <c r="AB23" s="15"/>
      <c r="AC23" s="15"/>
      <c r="AD23" s="15"/>
      <c r="AE23" s="15"/>
      <c r="AF23" s="15"/>
      <c r="AG23" s="15"/>
      <c r="AH23" s="15"/>
      <c r="AI23" s="15"/>
      <c r="AJ23" s="15"/>
      <c r="AK23" s="15"/>
      <c r="AL23" s="15"/>
      <c r="AM23" s="15"/>
      <c r="AN23" s="15"/>
      <c r="AO23" s="15"/>
      <c r="AP23" s="15"/>
      <c r="AQ23" s="15"/>
      <c r="AR23" s="15"/>
      <c r="AS23" s="15"/>
      <c r="AT23" s="15"/>
      <c r="AU23" s="15"/>
      <c r="AV23" s="15"/>
      <c r="AW23" s="15"/>
      <c r="AX23" s="15"/>
      <c r="AY23" s="15"/>
      <c r="AZ23" s="15"/>
      <c r="BA23" s="15"/>
      <c r="BB23" s="15"/>
      <c r="BC23" s="15"/>
      <c r="BD23" s="15"/>
      <c r="BE23" s="15"/>
      <c r="BF23" s="15"/>
      <c r="BG23" s="15"/>
      <c r="BH23" s="15"/>
      <c r="BI23" s="15"/>
      <c r="BJ23" s="16"/>
      <c r="BK23" s="1"/>
    </row>
    <row r="24" spans="1:63" ht="15.75" x14ac:dyDescent="0.25">
      <c r="A24" s="1"/>
      <c r="B24" s="14"/>
      <c r="C24" s="15"/>
      <c r="D24" s="15"/>
      <c r="E24" s="15"/>
      <c r="F24" s="15"/>
      <c r="G24" s="43"/>
      <c r="H24" s="15"/>
      <c r="I24" s="15"/>
      <c r="J24" s="15"/>
      <c r="K24" s="15"/>
      <c r="L24" s="15"/>
      <c r="M24" s="15"/>
      <c r="N24" s="15"/>
      <c r="O24" s="15"/>
      <c r="P24" s="15"/>
      <c r="Q24" s="15"/>
      <c r="R24" s="15"/>
      <c r="S24" s="15"/>
      <c r="T24" s="15"/>
      <c r="U24" s="15"/>
      <c r="V24" s="15"/>
      <c r="W24" s="15"/>
      <c r="X24" s="15"/>
      <c r="Y24" s="15"/>
      <c r="Z24" s="15"/>
      <c r="AA24" s="15"/>
      <c r="AB24" s="15"/>
      <c r="AC24" s="15"/>
      <c r="AD24" s="15"/>
      <c r="AE24" s="15"/>
      <c r="AF24" s="15"/>
      <c r="AG24" s="15"/>
      <c r="AH24" s="15"/>
      <c r="AI24" s="15"/>
      <c r="AJ24" s="15"/>
      <c r="AK24" s="15"/>
      <c r="AL24" s="15"/>
      <c r="AM24" s="15"/>
      <c r="AN24" s="15"/>
      <c r="AO24" s="15"/>
      <c r="AP24" s="15"/>
      <c r="AQ24" s="15"/>
      <c r="AR24" s="15"/>
      <c r="AS24" s="15"/>
      <c r="AT24" s="15"/>
      <c r="AU24" s="15"/>
      <c r="AV24" s="15"/>
      <c r="AW24" s="15"/>
      <c r="AX24" s="15"/>
      <c r="AY24" s="15"/>
      <c r="AZ24" s="15"/>
      <c r="BA24" s="15"/>
      <c r="BB24" s="15"/>
      <c r="BC24" s="15"/>
      <c r="BD24" s="15"/>
      <c r="BE24" s="15"/>
      <c r="BF24" s="15"/>
      <c r="BG24" s="15"/>
      <c r="BH24" s="15"/>
      <c r="BI24" s="15"/>
      <c r="BJ24" s="16"/>
      <c r="BK24" s="1"/>
    </row>
    <row r="25" spans="1:63" ht="16.5" thickBot="1" x14ac:dyDescent="0.3">
      <c r="A25" s="1"/>
      <c r="B25" s="14"/>
      <c r="C25" s="15"/>
      <c r="D25" s="30" t="s">
        <v>33</v>
      </c>
      <c r="E25" s="15"/>
      <c r="F25" s="15"/>
      <c r="G25" s="43"/>
      <c r="H25" s="26" t="s">
        <v>34</v>
      </c>
      <c r="I25" s="26" t="s">
        <v>35</v>
      </c>
      <c r="J25" s="26" t="s">
        <v>36</v>
      </c>
      <c r="K25" s="26" t="s">
        <v>37</v>
      </c>
      <c r="L25" s="26" t="s">
        <v>38</v>
      </c>
      <c r="M25" s="15"/>
      <c r="N25" s="15"/>
      <c r="O25" s="15"/>
      <c r="P25" s="15"/>
      <c r="Q25" s="15"/>
      <c r="R25" s="15"/>
      <c r="S25" s="15"/>
      <c r="T25" s="15"/>
      <c r="U25" s="15"/>
      <c r="V25" s="15"/>
      <c r="W25" s="15"/>
      <c r="X25" s="15"/>
      <c r="Y25" s="15"/>
      <c r="Z25" s="15"/>
      <c r="AA25" s="15"/>
      <c r="AB25" s="15"/>
      <c r="AC25" s="15"/>
      <c r="AD25" s="15"/>
      <c r="AE25" s="15"/>
      <c r="AF25" s="15"/>
      <c r="AG25" s="15"/>
      <c r="AH25" s="15"/>
      <c r="AI25" s="15"/>
      <c r="AJ25" s="15"/>
      <c r="AK25" s="15"/>
      <c r="AL25" s="15"/>
      <c r="AM25" s="15"/>
      <c r="AN25" s="15"/>
      <c r="AO25" s="15"/>
      <c r="AP25" s="15"/>
      <c r="AQ25" s="15"/>
      <c r="AR25" s="15"/>
      <c r="AS25" s="15"/>
      <c r="AT25" s="15"/>
      <c r="AU25" s="15"/>
      <c r="AV25" s="15"/>
      <c r="AW25" s="15"/>
      <c r="AX25" s="15"/>
      <c r="AY25" s="15"/>
      <c r="AZ25" s="15"/>
      <c r="BA25" s="15"/>
      <c r="BB25" s="15"/>
      <c r="BC25" s="15"/>
      <c r="BD25" s="15"/>
      <c r="BE25" s="15"/>
      <c r="BF25" s="15"/>
      <c r="BG25" s="15"/>
      <c r="BH25" s="15"/>
      <c r="BI25" s="15"/>
      <c r="BJ25" s="16"/>
      <c r="BK25" s="1"/>
    </row>
    <row r="26" spans="1:63" ht="16.5" thickTop="1" x14ac:dyDescent="0.25">
      <c r="A26" s="1"/>
      <c r="B26" s="14"/>
      <c r="C26" s="15"/>
      <c r="D26" s="24" t="s">
        <v>39</v>
      </c>
      <c r="E26" s="24" t="s">
        <v>47</v>
      </c>
      <c r="F26" s="24" t="s">
        <v>48</v>
      </c>
      <c r="G26" s="28" t="s">
        <v>49</v>
      </c>
      <c r="H26" s="25">
        <v>5062</v>
      </c>
      <c r="I26" s="25">
        <v>1178</v>
      </c>
      <c r="J26" s="25">
        <v>942</v>
      </c>
      <c r="K26" s="25">
        <v>872</v>
      </c>
      <c r="L26" s="25">
        <v>754</v>
      </c>
      <c r="M26" s="15"/>
      <c r="N26" s="15"/>
      <c r="O26" s="15"/>
      <c r="P26" s="15"/>
      <c r="Q26" s="15"/>
      <c r="R26" s="15"/>
      <c r="S26" s="15"/>
      <c r="T26" s="15"/>
      <c r="U26" s="15"/>
      <c r="V26" s="15"/>
      <c r="W26" s="15"/>
      <c r="X26" s="15"/>
      <c r="Y26" s="15"/>
      <c r="Z26" s="15"/>
      <c r="AA26" s="15"/>
      <c r="AB26" s="15"/>
      <c r="AC26" s="15"/>
      <c r="AD26" s="15"/>
      <c r="AE26" s="15"/>
      <c r="AF26" s="15"/>
      <c r="AG26" s="15"/>
      <c r="AH26" s="15"/>
      <c r="AI26" s="15"/>
      <c r="AJ26" s="15"/>
      <c r="AK26" s="15"/>
      <c r="AL26" s="15"/>
      <c r="AM26" s="15"/>
      <c r="AN26" s="15"/>
      <c r="AO26" s="15"/>
      <c r="AP26" s="15"/>
      <c r="AQ26" s="15"/>
      <c r="AR26" s="15"/>
      <c r="AS26" s="15"/>
      <c r="AT26" s="15"/>
      <c r="AU26" s="15"/>
      <c r="AV26" s="15"/>
      <c r="AW26" s="15"/>
      <c r="AX26" s="15"/>
      <c r="AY26" s="15"/>
      <c r="AZ26" s="15"/>
      <c r="BA26" s="15"/>
      <c r="BB26" s="15"/>
      <c r="BC26" s="15"/>
      <c r="BD26" s="15"/>
      <c r="BE26" s="15"/>
      <c r="BF26" s="15"/>
      <c r="BG26" s="15"/>
      <c r="BH26" s="15"/>
      <c r="BI26" s="15"/>
      <c r="BJ26" s="16"/>
      <c r="BK26" s="1"/>
    </row>
    <row r="27" spans="1:63" ht="15.75" x14ac:dyDescent="0.25">
      <c r="A27" s="1"/>
      <c r="B27" s="14"/>
      <c r="C27" s="15"/>
      <c r="D27" s="24" t="s">
        <v>39</v>
      </c>
      <c r="E27" s="24"/>
      <c r="F27" s="24"/>
      <c r="G27" s="28" t="s">
        <v>72</v>
      </c>
      <c r="H27" s="35">
        <f>H26/$E$18</f>
        <v>0.25978958172953553</v>
      </c>
      <c r="I27" s="35">
        <f t="shared" ref="I27" si="0">I26/$E$18</f>
        <v>6.0456761611496025E-2</v>
      </c>
      <c r="J27" s="35">
        <f t="shared" ref="J27" si="1">J26/$E$18</f>
        <v>4.8344880677444191E-2</v>
      </c>
      <c r="K27" s="35">
        <f t="shared" ref="K27" si="2">K26/$E$18</f>
        <v>4.47523736207339E-2</v>
      </c>
      <c r="L27" s="35">
        <f t="shared" ref="L27" si="3">L26/$E$18</f>
        <v>3.8696433153707979E-2</v>
      </c>
      <c r="M27" s="15"/>
      <c r="N27" s="15"/>
      <c r="O27" s="15"/>
      <c r="P27" s="15"/>
      <c r="Q27" s="15"/>
      <c r="R27" s="15"/>
      <c r="S27" s="15"/>
      <c r="T27" s="15"/>
      <c r="U27" s="15"/>
      <c r="V27" s="15"/>
      <c r="W27" s="15"/>
      <c r="X27" s="15"/>
      <c r="Y27" s="15"/>
      <c r="Z27" s="15"/>
      <c r="AA27" s="15"/>
      <c r="AB27" s="15"/>
      <c r="AC27" s="15"/>
      <c r="AD27" s="15"/>
      <c r="AE27" s="15"/>
      <c r="AF27" s="15"/>
      <c r="AG27" s="15"/>
      <c r="AH27" s="15"/>
      <c r="AI27" s="15"/>
      <c r="AJ27" s="15"/>
      <c r="AK27" s="15"/>
      <c r="AL27" s="15"/>
      <c r="AM27" s="15"/>
      <c r="AN27" s="15"/>
      <c r="AO27" s="15"/>
      <c r="AP27" s="15"/>
      <c r="AQ27" s="15"/>
      <c r="AR27" s="15"/>
      <c r="AS27" s="15"/>
      <c r="AT27" s="15"/>
      <c r="AU27" s="15"/>
      <c r="AV27" s="15"/>
      <c r="AW27" s="15"/>
      <c r="AX27" s="15"/>
      <c r="AY27" s="15"/>
      <c r="AZ27" s="15"/>
      <c r="BA27" s="15"/>
      <c r="BB27" s="15"/>
      <c r="BC27" s="15"/>
      <c r="BD27" s="15"/>
      <c r="BE27" s="15"/>
      <c r="BF27" s="15"/>
      <c r="BG27" s="15"/>
      <c r="BH27" s="15"/>
      <c r="BI27" s="15"/>
      <c r="BJ27" s="16"/>
      <c r="BK27" s="1"/>
    </row>
    <row r="28" spans="1:63" ht="15.75" x14ac:dyDescent="0.25">
      <c r="A28" s="1"/>
      <c r="B28" s="14"/>
      <c r="C28" s="15"/>
      <c r="D28" s="24" t="s">
        <v>40</v>
      </c>
      <c r="E28" s="24" t="s">
        <v>47</v>
      </c>
      <c r="F28" s="24" t="s">
        <v>48</v>
      </c>
      <c r="G28" s="28" t="s">
        <v>49</v>
      </c>
      <c r="H28" s="25">
        <v>810</v>
      </c>
      <c r="I28" s="25">
        <v>65</v>
      </c>
      <c r="J28" s="25">
        <v>71</v>
      </c>
      <c r="K28" s="25">
        <v>60</v>
      </c>
      <c r="L28" s="25">
        <v>67</v>
      </c>
      <c r="M28" s="15"/>
      <c r="N28" s="15"/>
      <c r="O28" s="15"/>
      <c r="P28" s="15"/>
      <c r="Q28" s="15"/>
      <c r="R28" s="15"/>
      <c r="S28" s="15"/>
      <c r="T28" s="15"/>
      <c r="U28" s="15"/>
      <c r="V28" s="15"/>
      <c r="W28" s="15"/>
      <c r="X28" s="15"/>
      <c r="Y28" s="15"/>
      <c r="Z28" s="15"/>
      <c r="AA28" s="15"/>
      <c r="AB28" s="15"/>
      <c r="AC28" s="15"/>
      <c r="AD28" s="15"/>
      <c r="AE28" s="15"/>
      <c r="AF28" s="15"/>
      <c r="AG28" s="15"/>
      <c r="AH28" s="15"/>
      <c r="AI28" s="15"/>
      <c r="AJ28" s="15"/>
      <c r="AK28" s="15"/>
      <c r="AL28" s="15"/>
      <c r="AM28" s="15"/>
      <c r="AN28" s="15"/>
      <c r="AO28" s="15"/>
      <c r="AP28" s="15"/>
      <c r="AQ28" s="15"/>
      <c r="AR28" s="15"/>
      <c r="AS28" s="15"/>
      <c r="AT28" s="15"/>
      <c r="AU28" s="15"/>
      <c r="AV28" s="15"/>
      <c r="AW28" s="15"/>
      <c r="AX28" s="15"/>
      <c r="AY28" s="15"/>
      <c r="AZ28" s="15"/>
      <c r="BA28" s="15"/>
      <c r="BB28" s="15"/>
      <c r="BC28" s="15"/>
      <c r="BD28" s="15"/>
      <c r="BE28" s="15"/>
      <c r="BF28" s="15"/>
      <c r="BG28" s="15"/>
      <c r="BH28" s="15"/>
      <c r="BI28" s="15"/>
      <c r="BJ28" s="16"/>
      <c r="BK28" s="1"/>
    </row>
    <row r="29" spans="1:63" ht="15.75" x14ac:dyDescent="0.25">
      <c r="A29" s="1"/>
      <c r="B29" s="14"/>
      <c r="C29" s="15"/>
      <c r="D29" s="24" t="s">
        <v>41</v>
      </c>
      <c r="E29" s="24" t="s">
        <v>47</v>
      </c>
      <c r="F29" s="24" t="s">
        <v>48</v>
      </c>
      <c r="G29" s="28" t="s">
        <v>49</v>
      </c>
      <c r="H29" s="25">
        <v>325</v>
      </c>
      <c r="I29" s="25">
        <v>257</v>
      </c>
      <c r="J29" s="25">
        <v>187</v>
      </c>
      <c r="K29" s="25">
        <v>116</v>
      </c>
      <c r="L29" s="25">
        <v>41</v>
      </c>
      <c r="M29" s="15"/>
      <c r="N29" s="15"/>
      <c r="O29" s="15"/>
      <c r="P29" s="15"/>
      <c r="Q29" s="15"/>
      <c r="R29" s="15"/>
      <c r="S29" s="15"/>
      <c r="T29" s="15"/>
      <c r="U29" s="15"/>
      <c r="V29" s="15"/>
      <c r="W29" s="15"/>
      <c r="X29" s="15"/>
      <c r="Y29" s="15"/>
      <c r="Z29" s="15"/>
      <c r="AA29" s="15"/>
      <c r="AB29" s="15"/>
      <c r="AC29" s="15"/>
      <c r="AD29" s="15"/>
      <c r="AE29" s="15"/>
      <c r="AF29" s="15"/>
      <c r="AG29" s="15"/>
      <c r="AH29" s="15"/>
      <c r="AI29" s="15"/>
      <c r="AJ29" s="15"/>
      <c r="AK29" s="15"/>
      <c r="AL29" s="15"/>
      <c r="AM29" s="15"/>
      <c r="AN29" s="15"/>
      <c r="AO29" s="15"/>
      <c r="AP29" s="15"/>
      <c r="AQ29" s="15"/>
      <c r="AR29" s="15"/>
      <c r="AS29" s="15"/>
      <c r="AT29" s="15"/>
      <c r="AU29" s="15"/>
      <c r="AV29" s="15"/>
      <c r="AW29" s="15"/>
      <c r="AX29" s="15"/>
      <c r="AY29" s="15"/>
      <c r="AZ29" s="15"/>
      <c r="BA29" s="15"/>
      <c r="BB29" s="15"/>
      <c r="BC29" s="15"/>
      <c r="BD29" s="15"/>
      <c r="BE29" s="15"/>
      <c r="BF29" s="15"/>
      <c r="BG29" s="15"/>
      <c r="BH29" s="15"/>
      <c r="BI29" s="15"/>
      <c r="BJ29" s="16"/>
      <c r="BK29" s="1"/>
    </row>
    <row r="30" spans="1:63" ht="15.75" x14ac:dyDescent="0.25">
      <c r="A30" s="1"/>
      <c r="B30" s="14"/>
      <c r="C30" s="15"/>
      <c r="D30" s="24" t="s">
        <v>41</v>
      </c>
      <c r="E30" s="24"/>
      <c r="F30" s="24"/>
      <c r="G30" s="28" t="s">
        <v>72</v>
      </c>
      <c r="H30" s="35">
        <f>H29/$E$18</f>
        <v>1.667949704901206E-2</v>
      </c>
      <c r="I30" s="35">
        <f t="shared" ref="I30" si="4">I29/$E$18</f>
        <v>1.3189633051064922E-2</v>
      </c>
      <c r="J30" s="35">
        <f t="shared" ref="J30" si="5">J29/$E$18</f>
        <v>9.5971259943546314E-3</v>
      </c>
      <c r="K30" s="35">
        <f t="shared" ref="K30" si="6">K29/$E$18</f>
        <v>5.9532974082627662E-3</v>
      </c>
      <c r="L30" s="35">
        <f t="shared" ref="L30" si="7">L29/$E$18</f>
        <v>2.1041827046445983E-3</v>
      </c>
      <c r="M30" s="15"/>
      <c r="N30" s="15"/>
      <c r="O30" s="15"/>
      <c r="P30" s="15"/>
      <c r="Q30" s="15"/>
      <c r="R30" s="15"/>
      <c r="S30" s="15"/>
      <c r="T30" s="15"/>
      <c r="U30" s="15"/>
      <c r="V30" s="15"/>
      <c r="W30" s="15"/>
      <c r="X30" s="15"/>
      <c r="Y30" s="15"/>
      <c r="Z30" s="15"/>
      <c r="AA30" s="15"/>
      <c r="AB30" s="15"/>
      <c r="AC30" s="15"/>
      <c r="AD30" s="15"/>
      <c r="AE30" s="15"/>
      <c r="AF30" s="15"/>
      <c r="AG30" s="15"/>
      <c r="AH30" s="15"/>
      <c r="AI30" s="15"/>
      <c r="AJ30" s="15"/>
      <c r="AK30" s="15"/>
      <c r="AL30" s="15"/>
      <c r="AM30" s="15"/>
      <c r="AN30" s="15"/>
      <c r="AO30" s="15"/>
      <c r="AP30" s="15"/>
      <c r="AQ30" s="15"/>
      <c r="AR30" s="15"/>
      <c r="AS30" s="15"/>
      <c r="AT30" s="15"/>
      <c r="AU30" s="15"/>
      <c r="AV30" s="15"/>
      <c r="AW30" s="15"/>
      <c r="AX30" s="15"/>
      <c r="AY30" s="15"/>
      <c r="AZ30" s="15"/>
      <c r="BA30" s="15"/>
      <c r="BB30" s="15"/>
      <c r="BC30" s="15"/>
      <c r="BD30" s="15"/>
      <c r="BE30" s="15"/>
      <c r="BF30" s="15"/>
      <c r="BG30" s="15"/>
      <c r="BH30" s="15"/>
      <c r="BI30" s="15"/>
      <c r="BJ30" s="16"/>
      <c r="BK30" s="1"/>
    </row>
    <row r="31" spans="1:63" ht="15.75" x14ac:dyDescent="0.25">
      <c r="A31" s="1"/>
      <c r="B31" s="14"/>
      <c r="C31" s="15"/>
      <c r="D31" s="24" t="s">
        <v>42</v>
      </c>
      <c r="E31" s="24" t="s">
        <v>47</v>
      </c>
      <c r="F31" s="24" t="s">
        <v>48</v>
      </c>
      <c r="G31" s="28" t="s">
        <v>49</v>
      </c>
      <c r="H31" s="25">
        <v>1079</v>
      </c>
      <c r="I31" s="25">
        <v>1067</v>
      </c>
      <c r="J31" s="25">
        <v>1056</v>
      </c>
      <c r="K31" s="25">
        <v>1045</v>
      </c>
      <c r="L31" s="25">
        <v>1035</v>
      </c>
      <c r="M31" s="15"/>
      <c r="N31" s="15"/>
      <c r="O31" s="15"/>
      <c r="P31" s="15"/>
      <c r="Q31" s="15"/>
      <c r="R31" s="15"/>
      <c r="S31" s="15"/>
      <c r="T31" s="15"/>
      <c r="U31" s="15"/>
      <c r="V31" s="15"/>
      <c r="W31" s="15"/>
      <c r="X31" s="15"/>
      <c r="Y31" s="15"/>
      <c r="Z31" s="15"/>
      <c r="AA31" s="15"/>
      <c r="AB31" s="15"/>
      <c r="AC31" s="15"/>
      <c r="AD31" s="15"/>
      <c r="AE31" s="15"/>
      <c r="AF31" s="15"/>
      <c r="AG31" s="15"/>
      <c r="AH31" s="15"/>
      <c r="AI31" s="15"/>
      <c r="AJ31" s="15"/>
      <c r="AK31" s="15"/>
      <c r="AL31" s="15"/>
      <c r="AM31" s="15"/>
      <c r="AN31" s="15"/>
      <c r="AO31" s="15"/>
      <c r="AP31" s="15"/>
      <c r="AQ31" s="15"/>
      <c r="AR31" s="15"/>
      <c r="AS31" s="15"/>
      <c r="AT31" s="15"/>
      <c r="AU31" s="15"/>
      <c r="AV31" s="15"/>
      <c r="AW31" s="15"/>
      <c r="AX31" s="15"/>
      <c r="AY31" s="15"/>
      <c r="AZ31" s="15"/>
      <c r="BA31" s="15"/>
      <c r="BB31" s="15"/>
      <c r="BC31" s="15"/>
      <c r="BD31" s="15"/>
      <c r="BE31" s="15"/>
      <c r="BF31" s="15"/>
      <c r="BG31" s="15"/>
      <c r="BH31" s="15"/>
      <c r="BI31" s="15"/>
      <c r="BJ31" s="16"/>
      <c r="BK31" s="1"/>
    </row>
    <row r="32" spans="1:63" ht="15.75" x14ac:dyDescent="0.25">
      <c r="A32" s="1"/>
      <c r="B32" s="14"/>
      <c r="C32" s="15"/>
      <c r="D32" s="24" t="s">
        <v>43</v>
      </c>
      <c r="E32" s="24" t="s">
        <v>47</v>
      </c>
      <c r="F32" s="24" t="s">
        <v>48</v>
      </c>
      <c r="G32" s="28" t="s">
        <v>49</v>
      </c>
      <c r="H32" s="25">
        <v>1559</v>
      </c>
      <c r="I32" s="25">
        <v>1614</v>
      </c>
      <c r="J32" s="25">
        <v>1672</v>
      </c>
      <c r="K32" s="25">
        <v>1731</v>
      </c>
      <c r="L32" s="25">
        <v>1793</v>
      </c>
      <c r="M32" s="15"/>
      <c r="N32" s="15"/>
      <c r="O32" s="15"/>
      <c r="P32" s="15"/>
      <c r="Q32" s="15"/>
      <c r="R32" s="15"/>
      <c r="S32" s="15"/>
      <c r="T32" s="15"/>
      <c r="U32" s="15"/>
      <c r="V32" s="15"/>
      <c r="W32" s="15"/>
      <c r="X32" s="15"/>
      <c r="Y32" s="15"/>
      <c r="Z32" s="15"/>
      <c r="AA32" s="15"/>
      <c r="AB32" s="15"/>
      <c r="AC32" s="15"/>
      <c r="AD32" s="15"/>
      <c r="AE32" s="15"/>
      <c r="AF32" s="15"/>
      <c r="AG32" s="15"/>
      <c r="AH32" s="15"/>
      <c r="AI32" s="15"/>
      <c r="AJ32" s="15"/>
      <c r="AK32" s="15"/>
      <c r="AL32" s="15"/>
      <c r="AM32" s="15"/>
      <c r="AN32" s="15"/>
      <c r="AO32" s="15"/>
      <c r="AP32" s="15"/>
      <c r="AQ32" s="15"/>
      <c r="AR32" s="15"/>
      <c r="AS32" s="15"/>
      <c r="AT32" s="15"/>
      <c r="AU32" s="15"/>
      <c r="AV32" s="15"/>
      <c r="AW32" s="15"/>
      <c r="AX32" s="15"/>
      <c r="AY32" s="15"/>
      <c r="AZ32" s="15"/>
      <c r="BA32" s="15"/>
      <c r="BB32" s="15"/>
      <c r="BC32" s="15"/>
      <c r="BD32" s="15"/>
      <c r="BE32" s="15"/>
      <c r="BF32" s="15"/>
      <c r="BG32" s="15"/>
      <c r="BH32" s="15"/>
      <c r="BI32" s="15"/>
      <c r="BJ32" s="16"/>
      <c r="BK32" s="1"/>
    </row>
    <row r="33" spans="1:63" ht="15.75" x14ac:dyDescent="0.25">
      <c r="A33" s="1"/>
      <c r="B33" s="14"/>
      <c r="C33" s="15"/>
      <c r="D33" s="24" t="s">
        <v>44</v>
      </c>
      <c r="E33" s="24" t="s">
        <v>47</v>
      </c>
      <c r="F33" s="24" t="s">
        <v>48</v>
      </c>
      <c r="G33" s="28" t="s">
        <v>49</v>
      </c>
      <c r="H33" s="25">
        <v>320</v>
      </c>
      <c r="I33" s="25">
        <v>495</v>
      </c>
      <c r="J33" s="25">
        <v>2062</v>
      </c>
      <c r="K33" s="25">
        <v>658</v>
      </c>
      <c r="L33" s="25">
        <v>320</v>
      </c>
      <c r="M33" s="15"/>
      <c r="N33" s="15"/>
      <c r="O33" s="15"/>
      <c r="P33" s="15"/>
      <c r="Q33" s="15"/>
      <c r="R33" s="15"/>
      <c r="S33" s="15"/>
      <c r="T33" s="15"/>
      <c r="U33" s="15"/>
      <c r="V33" s="15"/>
      <c r="W33" s="15"/>
      <c r="X33" s="15"/>
      <c r="Y33" s="15"/>
      <c r="Z33" s="15"/>
      <c r="AA33" s="15"/>
      <c r="AB33" s="15"/>
      <c r="AC33" s="15"/>
      <c r="AD33" s="15"/>
      <c r="AE33" s="15"/>
      <c r="AF33" s="15"/>
      <c r="AG33" s="15"/>
      <c r="AH33" s="15"/>
      <c r="AI33" s="15"/>
      <c r="AJ33" s="15"/>
      <c r="AK33" s="15"/>
      <c r="AL33" s="15"/>
      <c r="AM33" s="15"/>
      <c r="AN33" s="15"/>
      <c r="AO33" s="15"/>
      <c r="AP33" s="15"/>
      <c r="AQ33" s="15"/>
      <c r="AR33" s="15"/>
      <c r="AS33" s="15"/>
      <c r="AT33" s="15"/>
      <c r="AU33" s="15"/>
      <c r="AV33" s="15"/>
      <c r="AW33" s="15"/>
      <c r="AX33" s="15"/>
      <c r="AY33" s="15"/>
      <c r="AZ33" s="15"/>
      <c r="BA33" s="15"/>
      <c r="BB33" s="15"/>
      <c r="BC33" s="15"/>
      <c r="BD33" s="15"/>
      <c r="BE33" s="15"/>
      <c r="BF33" s="15"/>
      <c r="BG33" s="15"/>
      <c r="BH33" s="15"/>
      <c r="BI33" s="15"/>
      <c r="BJ33" s="16"/>
      <c r="BK33" s="1"/>
    </row>
    <row r="34" spans="1:63" ht="15.75" x14ac:dyDescent="0.25">
      <c r="A34" s="1"/>
      <c r="B34" s="14"/>
      <c r="C34" s="15"/>
      <c r="D34" s="24" t="s">
        <v>45</v>
      </c>
      <c r="E34" s="24" t="s">
        <v>47</v>
      </c>
      <c r="F34" s="24" t="s">
        <v>48</v>
      </c>
      <c r="G34" s="28" t="s">
        <v>49</v>
      </c>
      <c r="H34" s="25">
        <v>29</v>
      </c>
      <c r="I34" s="25">
        <v>47</v>
      </c>
      <c r="J34" s="25">
        <v>73</v>
      </c>
      <c r="K34" s="25">
        <v>93</v>
      </c>
      <c r="L34" s="25">
        <v>112</v>
      </c>
      <c r="M34" s="15"/>
      <c r="N34" s="15"/>
      <c r="O34" s="15"/>
      <c r="P34" s="15"/>
      <c r="Q34" s="15"/>
      <c r="R34" s="15"/>
      <c r="S34" s="15"/>
      <c r="T34" s="15"/>
      <c r="U34" s="15"/>
      <c r="V34" s="15"/>
      <c r="W34" s="15"/>
      <c r="X34" s="15"/>
      <c r="Y34" s="15"/>
      <c r="Z34" s="15"/>
      <c r="AA34" s="15"/>
      <c r="AB34" s="15"/>
      <c r="AC34" s="15"/>
      <c r="AD34" s="15"/>
      <c r="AE34" s="15"/>
      <c r="AF34" s="15"/>
      <c r="AG34" s="15"/>
      <c r="AH34" s="15"/>
      <c r="AI34" s="15"/>
      <c r="AJ34" s="15"/>
      <c r="AK34" s="15"/>
      <c r="AL34" s="15"/>
      <c r="AM34" s="15"/>
      <c r="AN34" s="15"/>
      <c r="AO34" s="15"/>
      <c r="AP34" s="15"/>
      <c r="AQ34" s="15"/>
      <c r="AR34" s="15"/>
      <c r="AS34" s="15"/>
      <c r="AT34" s="15"/>
      <c r="AU34" s="15"/>
      <c r="AV34" s="15"/>
      <c r="AW34" s="15"/>
      <c r="AX34" s="15"/>
      <c r="AY34" s="15"/>
      <c r="AZ34" s="15"/>
      <c r="BA34" s="15"/>
      <c r="BB34" s="15"/>
      <c r="BC34" s="15"/>
      <c r="BD34" s="15"/>
      <c r="BE34" s="15"/>
      <c r="BF34" s="15"/>
      <c r="BG34" s="15"/>
      <c r="BH34" s="15"/>
      <c r="BI34" s="15"/>
      <c r="BJ34" s="16"/>
      <c r="BK34" s="1"/>
    </row>
    <row r="35" spans="1:63" ht="15.75" x14ac:dyDescent="0.25">
      <c r="A35" s="1"/>
      <c r="B35" s="14"/>
      <c r="C35" s="15"/>
      <c r="D35" s="24" t="s">
        <v>45</v>
      </c>
      <c r="E35" s="24"/>
      <c r="F35" s="24"/>
      <c r="G35" s="28" t="s">
        <v>72</v>
      </c>
      <c r="H35" s="35">
        <f>H34/$E$18</f>
        <v>1.4883243520656916E-3</v>
      </c>
      <c r="I35" s="35">
        <f t="shared" ref="I35" si="8">I34/$E$18</f>
        <v>2.412111880934052E-3</v>
      </c>
      <c r="J35" s="35">
        <f t="shared" ref="J35" si="9">J34/$E$18</f>
        <v>3.7464716448550165E-3</v>
      </c>
      <c r="K35" s="35">
        <f t="shared" ref="K35" si="10">K34/$E$18</f>
        <v>4.7729022324865282E-3</v>
      </c>
      <c r="L35" s="35">
        <f t="shared" ref="L35" si="11">L34/$E$18</f>
        <v>5.7480112907364643E-3</v>
      </c>
      <c r="M35" s="15"/>
      <c r="N35" s="15"/>
      <c r="O35" s="15"/>
      <c r="P35" s="15"/>
      <c r="Q35" s="15"/>
      <c r="R35" s="15"/>
      <c r="S35" s="15"/>
      <c r="T35" s="15"/>
      <c r="U35" s="15"/>
      <c r="V35" s="15"/>
      <c r="W35" s="15"/>
      <c r="X35" s="15"/>
      <c r="Y35" s="15"/>
      <c r="Z35" s="15"/>
      <c r="AA35" s="15"/>
      <c r="AB35" s="15"/>
      <c r="AC35" s="15"/>
      <c r="AD35" s="15"/>
      <c r="AE35" s="15"/>
      <c r="AF35" s="15"/>
      <c r="AG35" s="15"/>
      <c r="AH35" s="15"/>
      <c r="AI35" s="15"/>
      <c r="AJ35" s="15"/>
      <c r="AK35" s="15"/>
      <c r="AL35" s="15"/>
      <c r="AM35" s="15"/>
      <c r="AN35" s="15"/>
      <c r="AO35" s="15"/>
      <c r="AP35" s="15"/>
      <c r="AQ35" s="15"/>
      <c r="AR35" s="15"/>
      <c r="AS35" s="15"/>
      <c r="AT35" s="15"/>
      <c r="AU35" s="15"/>
      <c r="AV35" s="15"/>
      <c r="AW35" s="15"/>
      <c r="AX35" s="15"/>
      <c r="AY35" s="15"/>
      <c r="AZ35" s="15"/>
      <c r="BA35" s="15"/>
      <c r="BB35" s="15"/>
      <c r="BC35" s="15"/>
      <c r="BD35" s="15"/>
      <c r="BE35" s="15"/>
      <c r="BF35" s="15"/>
      <c r="BG35" s="15"/>
      <c r="BH35" s="15"/>
      <c r="BI35" s="15"/>
      <c r="BJ35" s="16"/>
      <c r="BK35" s="1"/>
    </row>
    <row r="36" spans="1:63" ht="15.75" x14ac:dyDescent="0.25">
      <c r="A36" s="1"/>
      <c r="B36" s="14"/>
      <c r="C36" s="15"/>
      <c r="D36" s="24" t="s">
        <v>46</v>
      </c>
      <c r="E36" s="24" t="s">
        <v>47</v>
      </c>
      <c r="F36" s="24" t="s">
        <v>48</v>
      </c>
      <c r="G36" s="28" t="s">
        <v>49</v>
      </c>
      <c r="H36" s="25">
        <v>0</v>
      </c>
      <c r="I36" s="25">
        <v>0</v>
      </c>
      <c r="J36" s="25">
        <v>215</v>
      </c>
      <c r="K36" s="25">
        <v>444</v>
      </c>
      <c r="L36" s="25">
        <v>550</v>
      </c>
      <c r="M36" s="15"/>
      <c r="N36" s="15"/>
      <c r="O36" s="15"/>
      <c r="P36" s="15"/>
      <c r="Q36" s="15"/>
      <c r="R36" s="15"/>
      <c r="S36" s="15"/>
      <c r="T36" s="15"/>
      <c r="U36" s="15"/>
      <c r="V36" s="15"/>
      <c r="W36" s="15"/>
      <c r="X36" s="15"/>
      <c r="Y36" s="15"/>
      <c r="Z36" s="15"/>
      <c r="AA36" s="15"/>
      <c r="AB36" s="15"/>
      <c r="AC36" s="15"/>
      <c r="AD36" s="15"/>
      <c r="AE36" s="15"/>
      <c r="AF36" s="15"/>
      <c r="AG36" s="15"/>
      <c r="AH36" s="15"/>
      <c r="AI36" s="15"/>
      <c r="AJ36" s="15"/>
      <c r="AK36" s="15"/>
      <c r="AL36" s="15"/>
      <c r="AM36" s="15"/>
      <c r="AN36" s="15"/>
      <c r="AO36" s="15"/>
      <c r="AP36" s="15"/>
      <c r="AQ36" s="15"/>
      <c r="AR36" s="15"/>
      <c r="AS36" s="15"/>
      <c r="AT36" s="15"/>
      <c r="AU36" s="15"/>
      <c r="AV36" s="15"/>
      <c r="AW36" s="15"/>
      <c r="AX36" s="15"/>
      <c r="AY36" s="15"/>
      <c r="AZ36" s="15"/>
      <c r="BA36" s="15"/>
      <c r="BB36" s="15"/>
      <c r="BC36" s="15"/>
      <c r="BD36" s="15"/>
      <c r="BE36" s="15"/>
      <c r="BF36" s="15"/>
      <c r="BG36" s="15"/>
      <c r="BH36" s="15"/>
      <c r="BI36" s="15"/>
      <c r="BJ36" s="16"/>
      <c r="BK36" s="1"/>
    </row>
    <row r="37" spans="1:63" ht="15.75" x14ac:dyDescent="0.25">
      <c r="A37" s="1"/>
      <c r="B37" s="14"/>
      <c r="C37" s="15"/>
      <c r="D37" s="15"/>
      <c r="E37" s="15"/>
      <c r="F37" s="15"/>
      <c r="G37" s="43"/>
      <c r="H37" s="15"/>
      <c r="I37" s="15"/>
      <c r="J37" s="15"/>
      <c r="K37" s="15"/>
      <c r="L37" s="15"/>
      <c r="M37" s="15"/>
      <c r="N37" s="15"/>
      <c r="O37" s="15"/>
      <c r="P37" s="15"/>
      <c r="Q37" s="15"/>
      <c r="R37" s="15"/>
      <c r="S37" s="15"/>
      <c r="T37" s="15"/>
      <c r="U37" s="15"/>
      <c r="V37" s="15"/>
      <c r="W37" s="15"/>
      <c r="X37" s="15"/>
      <c r="Y37" s="15"/>
      <c r="Z37" s="15"/>
      <c r="AA37" s="15"/>
      <c r="AB37" s="15"/>
      <c r="AC37" s="15"/>
      <c r="AD37" s="15"/>
      <c r="AE37" s="15"/>
      <c r="AF37" s="15"/>
      <c r="AG37" s="15"/>
      <c r="AH37" s="15"/>
      <c r="AI37" s="15"/>
      <c r="AJ37" s="15"/>
      <c r="AK37" s="15"/>
      <c r="AL37" s="15"/>
      <c r="AM37" s="15"/>
      <c r="AN37" s="15"/>
      <c r="AO37" s="15"/>
      <c r="AP37" s="15"/>
      <c r="AQ37" s="15"/>
      <c r="AR37" s="15"/>
      <c r="AS37" s="15"/>
      <c r="AT37" s="15"/>
      <c r="AU37" s="15"/>
      <c r="AV37" s="15"/>
      <c r="AW37" s="15"/>
      <c r="AX37" s="15"/>
      <c r="AY37" s="15"/>
      <c r="AZ37" s="15"/>
      <c r="BA37" s="15"/>
      <c r="BB37" s="15"/>
      <c r="BC37" s="15"/>
      <c r="BD37" s="15"/>
      <c r="BE37" s="15"/>
      <c r="BF37" s="15"/>
      <c r="BG37" s="15"/>
      <c r="BH37" s="15"/>
      <c r="BI37" s="15"/>
      <c r="BJ37" s="16"/>
      <c r="BK37" s="1"/>
    </row>
    <row r="38" spans="1:63" ht="16.5" thickBot="1" x14ac:dyDescent="0.3">
      <c r="A38" s="1"/>
      <c r="B38" s="14"/>
      <c r="C38" s="15"/>
      <c r="D38" s="30" t="s">
        <v>50</v>
      </c>
      <c r="E38" s="15"/>
      <c r="F38" s="15"/>
      <c r="G38" s="43"/>
      <c r="H38" s="26" t="s">
        <v>34</v>
      </c>
      <c r="I38" s="26" t="s">
        <v>35</v>
      </c>
      <c r="J38" s="26" t="s">
        <v>36</v>
      </c>
      <c r="K38" s="26" t="s">
        <v>37</v>
      </c>
      <c r="L38" s="26" t="s">
        <v>38</v>
      </c>
      <c r="M38" s="15"/>
      <c r="N38" s="15"/>
      <c r="O38" s="15"/>
      <c r="P38" s="15"/>
      <c r="Q38" s="15"/>
      <c r="R38" s="15"/>
      <c r="S38" s="15"/>
      <c r="T38" s="15"/>
      <c r="U38" s="15"/>
      <c r="V38" s="15"/>
      <c r="W38" s="15"/>
      <c r="X38" s="15"/>
      <c r="Y38" s="15"/>
      <c r="Z38" s="15"/>
      <c r="AA38" s="15"/>
      <c r="AB38" s="15"/>
      <c r="AC38" s="15"/>
      <c r="AD38" s="15"/>
      <c r="AE38" s="15"/>
      <c r="AF38" s="15"/>
      <c r="AG38" s="15"/>
      <c r="AH38" s="15"/>
      <c r="AI38" s="15"/>
      <c r="AJ38" s="15"/>
      <c r="AK38" s="15"/>
      <c r="AL38" s="15"/>
      <c r="AM38" s="15"/>
      <c r="AN38" s="15"/>
      <c r="AO38" s="15"/>
      <c r="AP38" s="15"/>
      <c r="AQ38" s="15"/>
      <c r="AR38" s="15"/>
      <c r="AS38" s="15"/>
      <c r="AT38" s="15"/>
      <c r="AU38" s="15"/>
      <c r="AV38" s="15"/>
      <c r="AW38" s="15"/>
      <c r="AX38" s="15"/>
      <c r="AY38" s="15"/>
      <c r="AZ38" s="15"/>
      <c r="BA38" s="15"/>
      <c r="BB38" s="15"/>
      <c r="BC38" s="15"/>
      <c r="BD38" s="15"/>
      <c r="BE38" s="15"/>
      <c r="BF38" s="15"/>
      <c r="BG38" s="15"/>
      <c r="BH38" s="15"/>
      <c r="BI38" s="15"/>
      <c r="BJ38" s="16"/>
      <c r="BK38" s="1"/>
    </row>
    <row r="39" spans="1:63" ht="16.5" thickTop="1" x14ac:dyDescent="0.25">
      <c r="A39" s="1"/>
      <c r="B39" s="14"/>
      <c r="C39" s="15"/>
      <c r="D39" s="24" t="s">
        <v>39</v>
      </c>
      <c r="E39" s="24" t="s">
        <v>57</v>
      </c>
      <c r="F39" s="24" t="s">
        <v>55</v>
      </c>
      <c r="G39" s="28" t="s">
        <v>49</v>
      </c>
      <c r="H39" s="25">
        <v>3373</v>
      </c>
      <c r="I39" s="25">
        <v>1535</v>
      </c>
      <c r="J39" s="25">
        <v>1352</v>
      </c>
      <c r="K39" s="25">
        <v>1198</v>
      </c>
      <c r="L39" s="25">
        <v>1075</v>
      </c>
      <c r="M39" s="15"/>
      <c r="N39" s="15"/>
      <c r="O39" s="15"/>
      <c r="P39" s="15"/>
      <c r="Q39" s="15"/>
      <c r="R39" s="15"/>
      <c r="S39" s="15"/>
      <c r="T39" s="15"/>
      <c r="U39" s="15"/>
      <c r="V39" s="15"/>
      <c r="W39" s="15"/>
      <c r="X39" s="15"/>
      <c r="Y39" s="15"/>
      <c r="Z39" s="15"/>
      <c r="AA39" s="15"/>
      <c r="AB39" s="15"/>
      <c r="AC39" s="15"/>
      <c r="AD39" s="15"/>
      <c r="AE39" s="15"/>
      <c r="AF39" s="15"/>
      <c r="AG39" s="15"/>
      <c r="AH39" s="15"/>
      <c r="AI39" s="15"/>
      <c r="AJ39" s="15"/>
      <c r="AK39" s="15"/>
      <c r="AL39" s="15"/>
      <c r="AM39" s="15"/>
      <c r="AN39" s="15"/>
      <c r="AO39" s="15"/>
      <c r="AP39" s="15"/>
      <c r="AQ39" s="15"/>
      <c r="AR39" s="15"/>
      <c r="AS39" s="15"/>
      <c r="AT39" s="15"/>
      <c r="AU39" s="15"/>
      <c r="AV39" s="15"/>
      <c r="AW39" s="15"/>
      <c r="AX39" s="15"/>
      <c r="AY39" s="15"/>
      <c r="AZ39" s="15"/>
      <c r="BA39" s="15"/>
      <c r="BB39" s="15"/>
      <c r="BC39" s="15"/>
      <c r="BD39" s="15"/>
      <c r="BE39" s="15"/>
      <c r="BF39" s="15"/>
      <c r="BG39" s="15"/>
      <c r="BH39" s="15"/>
      <c r="BI39" s="15"/>
      <c r="BJ39" s="16"/>
      <c r="BK39" s="1"/>
    </row>
    <row r="40" spans="1:63" ht="15.75" x14ac:dyDescent="0.25">
      <c r="A40" s="1"/>
      <c r="B40" s="14"/>
      <c r="C40" s="15"/>
      <c r="D40" s="24" t="s">
        <v>39</v>
      </c>
      <c r="E40" s="24"/>
      <c r="F40" s="24"/>
      <c r="G40" s="28" t="s">
        <v>72</v>
      </c>
      <c r="H40" s="35">
        <f>H39/$E$18</f>
        <v>0.17310751860405441</v>
      </c>
      <c r="I40" s="35">
        <f t="shared" ref="I40" si="12">I39/$E$18</f>
        <v>7.8778547600718507E-2</v>
      </c>
      <c r="J40" s="35">
        <f t="shared" ref="J40" si="13">J39/$E$18</f>
        <v>6.9386707723890176E-2</v>
      </c>
      <c r="K40" s="35">
        <f t="shared" ref="K40" si="14">K39/$E$18</f>
        <v>6.1483192199127533E-2</v>
      </c>
      <c r="L40" s="35">
        <f t="shared" ref="L40" si="15">L39/$E$18</f>
        <v>5.5170644085193739E-2</v>
      </c>
      <c r="M40" s="15"/>
      <c r="N40" s="15"/>
      <c r="O40" s="15"/>
      <c r="P40" s="15"/>
      <c r="Q40" s="15"/>
      <c r="R40" s="15"/>
      <c r="S40" s="15"/>
      <c r="T40" s="15"/>
      <c r="U40" s="15"/>
      <c r="V40" s="15"/>
      <c r="W40" s="15"/>
      <c r="X40" s="15"/>
      <c r="Y40" s="15"/>
      <c r="Z40" s="15"/>
      <c r="AA40" s="15"/>
      <c r="AB40" s="15"/>
      <c r="AC40" s="15"/>
      <c r="AD40" s="15"/>
      <c r="AE40" s="15"/>
      <c r="AF40" s="15"/>
      <c r="AG40" s="15"/>
      <c r="AH40" s="15"/>
      <c r="AI40" s="15"/>
      <c r="AJ40" s="15"/>
      <c r="AK40" s="15"/>
      <c r="AL40" s="15"/>
      <c r="AM40" s="15"/>
      <c r="AN40" s="15"/>
      <c r="AO40" s="15"/>
      <c r="AP40" s="15"/>
      <c r="AQ40" s="15"/>
      <c r="AR40" s="15"/>
      <c r="AS40" s="15"/>
      <c r="AT40" s="15"/>
      <c r="AU40" s="15"/>
      <c r="AV40" s="15"/>
      <c r="AW40" s="15"/>
      <c r="AX40" s="15"/>
      <c r="AY40" s="15"/>
      <c r="AZ40" s="15"/>
      <c r="BA40" s="15"/>
      <c r="BB40" s="15"/>
      <c r="BC40" s="15"/>
      <c r="BD40" s="15"/>
      <c r="BE40" s="15"/>
      <c r="BF40" s="15"/>
      <c r="BG40" s="15"/>
      <c r="BH40" s="15"/>
      <c r="BI40" s="15"/>
      <c r="BJ40" s="16"/>
      <c r="BK40" s="1"/>
    </row>
    <row r="41" spans="1:63" ht="15.75" x14ac:dyDescent="0.25">
      <c r="A41" s="1"/>
      <c r="B41" s="14"/>
      <c r="C41" s="15"/>
      <c r="D41" s="24" t="s">
        <v>51</v>
      </c>
      <c r="E41" s="24" t="s">
        <v>57</v>
      </c>
      <c r="F41" s="24" t="s">
        <v>55</v>
      </c>
      <c r="G41" s="28" t="s">
        <v>49</v>
      </c>
      <c r="H41" s="25">
        <v>1493</v>
      </c>
      <c r="I41" s="25">
        <v>114</v>
      </c>
      <c r="J41" s="25">
        <v>104</v>
      </c>
      <c r="K41" s="25">
        <v>95</v>
      </c>
      <c r="L41" s="25">
        <v>87</v>
      </c>
      <c r="M41" s="15"/>
      <c r="N41" s="15"/>
      <c r="O41" s="15"/>
      <c r="P41" s="15"/>
      <c r="Q41" s="15"/>
      <c r="R41" s="15"/>
      <c r="S41" s="15"/>
      <c r="T41" s="15"/>
      <c r="U41" s="15"/>
      <c r="V41" s="15"/>
      <c r="W41" s="15"/>
      <c r="X41" s="15"/>
      <c r="Y41" s="15"/>
      <c r="Z41" s="15"/>
      <c r="AA41" s="15"/>
      <c r="AB41" s="15"/>
      <c r="AC41" s="15"/>
      <c r="AD41" s="15"/>
      <c r="AE41" s="15"/>
      <c r="AF41" s="15"/>
      <c r="AG41" s="15"/>
      <c r="AH41" s="15"/>
      <c r="AI41" s="15"/>
      <c r="AJ41" s="15"/>
      <c r="AK41" s="15"/>
      <c r="AL41" s="15"/>
      <c r="AM41" s="15"/>
      <c r="AN41" s="15"/>
      <c r="AO41" s="15"/>
      <c r="AP41" s="15"/>
      <c r="AQ41" s="15"/>
      <c r="AR41" s="15"/>
      <c r="AS41" s="15"/>
      <c r="AT41" s="15"/>
      <c r="AU41" s="15"/>
      <c r="AV41" s="15"/>
      <c r="AW41" s="15"/>
      <c r="AX41" s="15"/>
      <c r="AY41" s="15"/>
      <c r="AZ41" s="15"/>
      <c r="BA41" s="15"/>
      <c r="BB41" s="15"/>
      <c r="BC41" s="15"/>
      <c r="BD41" s="15"/>
      <c r="BE41" s="15"/>
      <c r="BF41" s="15"/>
      <c r="BG41" s="15"/>
      <c r="BH41" s="15"/>
      <c r="BI41" s="15"/>
      <c r="BJ41" s="16"/>
      <c r="BK41" s="1"/>
    </row>
    <row r="42" spans="1:63" ht="15.75" x14ac:dyDescent="0.25">
      <c r="A42" s="1"/>
      <c r="B42" s="14"/>
      <c r="C42" s="15"/>
      <c r="D42" s="24" t="s">
        <v>41</v>
      </c>
      <c r="E42" s="24" t="s">
        <v>57</v>
      </c>
      <c r="F42" s="24" t="s">
        <v>55</v>
      </c>
      <c r="G42" s="28" t="s">
        <v>49</v>
      </c>
      <c r="H42" s="25">
        <v>525</v>
      </c>
      <c r="I42" s="25">
        <v>417</v>
      </c>
      <c r="J42" s="25">
        <v>304</v>
      </c>
      <c r="K42" s="25">
        <v>188</v>
      </c>
      <c r="L42" s="25">
        <v>67</v>
      </c>
      <c r="M42" s="15"/>
      <c r="N42" s="15"/>
      <c r="O42" s="15"/>
      <c r="P42" s="15"/>
      <c r="Q42" s="15"/>
      <c r="R42" s="15"/>
      <c r="S42" s="15"/>
      <c r="T42" s="15"/>
      <c r="U42" s="15"/>
      <c r="V42" s="15"/>
      <c r="W42" s="15"/>
      <c r="X42" s="15"/>
      <c r="Y42" s="15"/>
      <c r="Z42" s="15"/>
      <c r="AA42" s="15"/>
      <c r="AB42" s="15"/>
      <c r="AC42" s="15"/>
      <c r="AD42" s="15"/>
      <c r="AE42" s="15"/>
      <c r="AF42" s="15"/>
      <c r="AG42" s="15"/>
      <c r="AH42" s="15"/>
      <c r="AI42" s="15"/>
      <c r="AJ42" s="15"/>
      <c r="AK42" s="15"/>
      <c r="AL42" s="15"/>
      <c r="AM42" s="15"/>
      <c r="AN42" s="15"/>
      <c r="AO42" s="15"/>
      <c r="AP42" s="15"/>
      <c r="AQ42" s="15"/>
      <c r="AR42" s="15"/>
      <c r="AS42" s="15"/>
      <c r="AT42" s="15"/>
      <c r="AU42" s="15"/>
      <c r="AV42" s="15"/>
      <c r="AW42" s="15"/>
      <c r="AX42" s="15"/>
      <c r="AY42" s="15"/>
      <c r="AZ42" s="15"/>
      <c r="BA42" s="15"/>
      <c r="BB42" s="15"/>
      <c r="BC42" s="15"/>
      <c r="BD42" s="15"/>
      <c r="BE42" s="15"/>
      <c r="BF42" s="15"/>
      <c r="BG42" s="15"/>
      <c r="BH42" s="15"/>
      <c r="BI42" s="15"/>
      <c r="BJ42" s="16"/>
      <c r="BK42" s="1"/>
    </row>
    <row r="43" spans="1:63" ht="15.75" x14ac:dyDescent="0.25">
      <c r="A43" s="1"/>
      <c r="B43" s="14"/>
      <c r="C43" s="15"/>
      <c r="D43" s="24"/>
      <c r="E43" s="24"/>
      <c r="F43" s="24"/>
      <c r="G43" s="28" t="s">
        <v>72</v>
      </c>
      <c r="H43" s="35">
        <f>H42/$E$18</f>
        <v>2.6943802925327175E-2</v>
      </c>
      <c r="I43" s="35">
        <f t="shared" ref="I43" si="16">I42/$E$18</f>
        <v>2.1401077752117012E-2</v>
      </c>
      <c r="J43" s="35">
        <f t="shared" ref="J43" si="17">J42/$E$18</f>
        <v>1.5601744931998974E-2</v>
      </c>
      <c r="K43" s="35">
        <f t="shared" ref="K43" si="18">K42/$E$18</f>
        <v>9.6484475237362081E-3</v>
      </c>
      <c r="L43" s="35">
        <f t="shared" ref="L43" si="19">L42/$E$18</f>
        <v>3.4385424685655632E-3</v>
      </c>
      <c r="M43" s="15"/>
      <c r="N43" s="15"/>
      <c r="O43" s="15"/>
      <c r="P43" s="15"/>
      <c r="Q43" s="15"/>
      <c r="R43" s="15"/>
      <c r="S43" s="15"/>
      <c r="T43" s="15"/>
      <c r="U43" s="15"/>
      <c r="V43" s="15"/>
      <c r="W43" s="15"/>
      <c r="X43" s="15"/>
      <c r="Y43" s="15"/>
      <c r="Z43" s="15"/>
      <c r="AA43" s="15"/>
      <c r="AB43" s="15"/>
      <c r="AC43" s="15"/>
      <c r="AD43" s="15"/>
      <c r="AE43" s="15"/>
      <c r="AF43" s="15"/>
      <c r="AG43" s="15"/>
      <c r="AH43" s="15"/>
      <c r="AI43" s="15"/>
      <c r="AJ43" s="15"/>
      <c r="AK43" s="15"/>
      <c r="AL43" s="15"/>
      <c r="AM43" s="15"/>
      <c r="AN43" s="15"/>
      <c r="AO43" s="15"/>
      <c r="AP43" s="15"/>
      <c r="AQ43" s="15"/>
      <c r="AR43" s="15"/>
      <c r="AS43" s="15"/>
      <c r="AT43" s="15"/>
      <c r="AU43" s="15"/>
      <c r="AV43" s="15"/>
      <c r="AW43" s="15"/>
      <c r="AX43" s="15"/>
      <c r="AY43" s="15"/>
      <c r="AZ43" s="15"/>
      <c r="BA43" s="15"/>
      <c r="BB43" s="15"/>
      <c r="BC43" s="15"/>
      <c r="BD43" s="15"/>
      <c r="BE43" s="15"/>
      <c r="BF43" s="15"/>
      <c r="BG43" s="15"/>
      <c r="BH43" s="15"/>
      <c r="BI43" s="15"/>
      <c r="BJ43" s="16"/>
      <c r="BK43" s="1"/>
    </row>
    <row r="44" spans="1:63" ht="15.75" x14ac:dyDescent="0.25">
      <c r="A44" s="1"/>
      <c r="B44" s="14"/>
      <c r="C44" s="15"/>
      <c r="D44" s="24" t="s">
        <v>43</v>
      </c>
      <c r="E44" s="24" t="s">
        <v>57</v>
      </c>
      <c r="F44" s="24" t="s">
        <v>55</v>
      </c>
      <c r="G44" s="28" t="s">
        <v>49</v>
      </c>
      <c r="H44" s="25">
        <v>1665</v>
      </c>
      <c r="I44" s="25">
        <v>1714</v>
      </c>
      <c r="J44" s="25">
        <v>1766</v>
      </c>
      <c r="K44" s="25">
        <v>1819</v>
      </c>
      <c r="L44" s="25">
        <v>1873</v>
      </c>
      <c r="M44" s="15"/>
      <c r="N44" s="15"/>
      <c r="O44" s="15"/>
      <c r="P44" s="15"/>
      <c r="Q44" s="15"/>
      <c r="R44" s="15"/>
      <c r="S44" s="15"/>
      <c r="T44" s="15"/>
      <c r="U44" s="15"/>
      <c r="V44" s="15"/>
      <c r="W44" s="15"/>
      <c r="X44" s="15"/>
      <c r="Y44" s="15"/>
      <c r="Z44" s="15"/>
      <c r="AA44" s="15"/>
      <c r="AB44" s="15"/>
      <c r="AC44" s="15"/>
      <c r="AD44" s="15"/>
      <c r="AE44" s="15"/>
      <c r="AF44" s="15"/>
      <c r="AG44" s="15"/>
      <c r="AH44" s="15"/>
      <c r="AI44" s="15"/>
      <c r="AJ44" s="15"/>
      <c r="AK44" s="15"/>
      <c r="AL44" s="15"/>
      <c r="AM44" s="15"/>
      <c r="AN44" s="15"/>
      <c r="AO44" s="15"/>
      <c r="AP44" s="15"/>
      <c r="AQ44" s="15"/>
      <c r="AR44" s="15"/>
      <c r="AS44" s="15"/>
      <c r="AT44" s="15"/>
      <c r="AU44" s="15"/>
      <c r="AV44" s="15"/>
      <c r="AW44" s="15"/>
      <c r="AX44" s="15"/>
      <c r="AY44" s="15"/>
      <c r="AZ44" s="15"/>
      <c r="BA44" s="15"/>
      <c r="BB44" s="15"/>
      <c r="BC44" s="15"/>
      <c r="BD44" s="15"/>
      <c r="BE44" s="15"/>
      <c r="BF44" s="15"/>
      <c r="BG44" s="15"/>
      <c r="BH44" s="15"/>
      <c r="BI44" s="15"/>
      <c r="BJ44" s="16"/>
      <c r="BK44" s="1"/>
    </row>
    <row r="45" spans="1:63" ht="15.75" x14ac:dyDescent="0.25">
      <c r="A45" s="1"/>
      <c r="B45" s="14"/>
      <c r="C45" s="15"/>
      <c r="D45" s="24" t="s">
        <v>42</v>
      </c>
      <c r="E45" s="24" t="s">
        <v>57</v>
      </c>
      <c r="F45" s="24" t="s">
        <v>55</v>
      </c>
      <c r="G45" s="28" t="s">
        <v>49</v>
      </c>
      <c r="H45" s="25">
        <v>1868</v>
      </c>
      <c r="I45" s="25">
        <v>1933</v>
      </c>
      <c r="J45" s="25">
        <v>2001</v>
      </c>
      <c r="K45" s="25">
        <v>2071</v>
      </c>
      <c r="L45" s="25">
        <v>2144</v>
      </c>
      <c r="M45" s="15"/>
      <c r="N45" s="15"/>
      <c r="O45" s="15"/>
      <c r="P45" s="15"/>
      <c r="Q45" s="15"/>
      <c r="R45" s="15"/>
      <c r="S45" s="15"/>
      <c r="T45" s="15"/>
      <c r="U45" s="15"/>
      <c r="V45" s="15"/>
      <c r="W45" s="15"/>
      <c r="X45" s="15"/>
      <c r="Y45" s="15"/>
      <c r="Z45" s="15"/>
      <c r="AA45" s="15"/>
      <c r="AB45" s="15"/>
      <c r="AC45" s="15"/>
      <c r="AD45" s="15"/>
      <c r="AE45" s="15"/>
      <c r="AF45" s="15"/>
      <c r="AG45" s="15"/>
      <c r="AH45" s="15"/>
      <c r="AI45" s="15"/>
      <c r="AJ45" s="15"/>
      <c r="AK45" s="15"/>
      <c r="AL45" s="15"/>
      <c r="AM45" s="15"/>
      <c r="AN45" s="15"/>
      <c r="AO45" s="15"/>
      <c r="AP45" s="15"/>
      <c r="AQ45" s="15"/>
      <c r="AR45" s="15"/>
      <c r="AS45" s="15"/>
      <c r="AT45" s="15"/>
      <c r="AU45" s="15"/>
      <c r="AV45" s="15"/>
      <c r="AW45" s="15"/>
      <c r="AX45" s="15"/>
      <c r="AY45" s="15"/>
      <c r="AZ45" s="15"/>
      <c r="BA45" s="15"/>
      <c r="BB45" s="15"/>
      <c r="BC45" s="15"/>
      <c r="BD45" s="15"/>
      <c r="BE45" s="15"/>
      <c r="BF45" s="15"/>
      <c r="BG45" s="15"/>
      <c r="BH45" s="15"/>
      <c r="BI45" s="15"/>
      <c r="BJ45" s="16"/>
      <c r="BK45" s="1"/>
    </row>
    <row r="46" spans="1:63" ht="15.75" x14ac:dyDescent="0.25">
      <c r="A46" s="1"/>
      <c r="B46" s="14"/>
      <c r="C46" s="15"/>
      <c r="D46" s="24" t="s">
        <v>44</v>
      </c>
      <c r="E46" s="24" t="s">
        <v>57</v>
      </c>
      <c r="F46" s="24" t="s">
        <v>55</v>
      </c>
      <c r="G46" s="28" t="s">
        <v>49</v>
      </c>
      <c r="H46" s="25">
        <v>302</v>
      </c>
      <c r="I46" s="25">
        <v>509</v>
      </c>
      <c r="J46" s="25">
        <v>377</v>
      </c>
      <c r="K46" s="25">
        <v>934</v>
      </c>
      <c r="L46" s="25">
        <v>1241</v>
      </c>
      <c r="M46" s="15"/>
      <c r="N46" s="15"/>
      <c r="O46" s="15"/>
      <c r="P46" s="15"/>
      <c r="Q46" s="15"/>
      <c r="R46" s="15"/>
      <c r="S46" s="15"/>
      <c r="T46" s="15"/>
      <c r="U46" s="15"/>
      <c r="V46" s="15"/>
      <c r="W46" s="15"/>
      <c r="X46" s="15"/>
      <c r="Y46" s="15"/>
      <c r="Z46" s="15"/>
      <c r="AA46" s="15"/>
      <c r="AB46" s="15"/>
      <c r="AC46" s="15"/>
      <c r="AD46" s="15"/>
      <c r="AE46" s="15"/>
      <c r="AF46" s="15"/>
      <c r="AG46" s="15"/>
      <c r="AH46" s="15"/>
      <c r="AI46" s="15"/>
      <c r="AJ46" s="15"/>
      <c r="AK46" s="15"/>
      <c r="AL46" s="15"/>
      <c r="AM46" s="15"/>
      <c r="AN46" s="15"/>
      <c r="AO46" s="15"/>
      <c r="AP46" s="15"/>
      <c r="AQ46" s="15"/>
      <c r="AR46" s="15"/>
      <c r="AS46" s="15"/>
      <c r="AT46" s="15"/>
      <c r="AU46" s="15"/>
      <c r="AV46" s="15"/>
      <c r="AW46" s="15"/>
      <c r="AX46" s="15"/>
      <c r="AY46" s="15"/>
      <c r="AZ46" s="15"/>
      <c r="BA46" s="15"/>
      <c r="BB46" s="15"/>
      <c r="BC46" s="15"/>
      <c r="BD46" s="15"/>
      <c r="BE46" s="15"/>
      <c r="BF46" s="15"/>
      <c r="BG46" s="15"/>
      <c r="BH46" s="15"/>
      <c r="BI46" s="15"/>
      <c r="BJ46" s="16"/>
      <c r="BK46" s="1"/>
    </row>
    <row r="47" spans="1:63" ht="15.75" x14ac:dyDescent="0.25">
      <c r="A47" s="1"/>
      <c r="B47" s="14"/>
      <c r="C47" s="15"/>
      <c r="D47" s="24" t="s">
        <v>46</v>
      </c>
      <c r="E47" s="24" t="s">
        <v>57</v>
      </c>
      <c r="F47" s="24" t="s">
        <v>55</v>
      </c>
      <c r="G47" s="28" t="s">
        <v>49</v>
      </c>
      <c r="H47" s="25">
        <v>0</v>
      </c>
      <c r="I47" s="25">
        <v>0</v>
      </c>
      <c r="J47" s="25">
        <v>111</v>
      </c>
      <c r="K47" s="25">
        <v>269</v>
      </c>
      <c r="L47" s="25">
        <v>393</v>
      </c>
      <c r="M47" s="15"/>
      <c r="N47" s="15"/>
      <c r="O47" s="15"/>
      <c r="P47" s="15"/>
      <c r="Q47" s="15"/>
      <c r="R47" s="15"/>
      <c r="S47" s="15"/>
      <c r="T47" s="15"/>
      <c r="U47" s="15"/>
      <c r="V47" s="15"/>
      <c r="W47" s="15"/>
      <c r="X47" s="15"/>
      <c r="Y47" s="15"/>
      <c r="Z47" s="15"/>
      <c r="AA47" s="15"/>
      <c r="AB47" s="15"/>
      <c r="AC47" s="15"/>
      <c r="AD47" s="15"/>
      <c r="AE47" s="15"/>
      <c r="AF47" s="15"/>
      <c r="AG47" s="15"/>
      <c r="AH47" s="15"/>
      <c r="AI47" s="15"/>
      <c r="AJ47" s="15"/>
      <c r="AK47" s="15"/>
      <c r="AL47" s="15"/>
      <c r="AM47" s="15"/>
      <c r="AN47" s="15"/>
      <c r="AO47" s="15"/>
      <c r="AP47" s="15"/>
      <c r="AQ47" s="15"/>
      <c r="AR47" s="15"/>
      <c r="AS47" s="15"/>
      <c r="AT47" s="15"/>
      <c r="AU47" s="15"/>
      <c r="AV47" s="15"/>
      <c r="AW47" s="15"/>
      <c r="AX47" s="15"/>
      <c r="AY47" s="15"/>
      <c r="AZ47" s="15"/>
      <c r="BA47" s="15"/>
      <c r="BB47" s="15"/>
      <c r="BC47" s="15"/>
      <c r="BD47" s="15"/>
      <c r="BE47" s="15"/>
      <c r="BF47" s="15"/>
      <c r="BG47" s="15"/>
      <c r="BH47" s="15"/>
      <c r="BI47" s="15"/>
      <c r="BJ47" s="16"/>
      <c r="BK47" s="1"/>
    </row>
    <row r="48" spans="1:63" ht="15.75" x14ac:dyDescent="0.25">
      <c r="A48" s="1"/>
      <c r="B48" s="14"/>
      <c r="C48" s="15"/>
      <c r="D48" s="24" t="s">
        <v>52</v>
      </c>
      <c r="E48" s="24" t="s">
        <v>57</v>
      </c>
      <c r="F48" s="24" t="s">
        <v>55</v>
      </c>
      <c r="G48" s="28" t="s">
        <v>49</v>
      </c>
      <c r="H48" s="25">
        <v>0</v>
      </c>
      <c r="I48" s="25"/>
      <c r="J48" s="25"/>
      <c r="K48" s="25"/>
      <c r="L48" s="25"/>
      <c r="M48" s="15"/>
      <c r="N48" s="15"/>
      <c r="O48" s="15"/>
      <c r="P48" s="15"/>
      <c r="Q48" s="15"/>
      <c r="R48" s="15"/>
      <c r="S48" s="15"/>
      <c r="T48" s="15"/>
      <c r="U48" s="15"/>
      <c r="V48" s="15"/>
      <c r="W48" s="15"/>
      <c r="X48" s="15"/>
      <c r="Y48" s="15"/>
      <c r="Z48" s="15"/>
      <c r="AA48" s="15"/>
      <c r="AB48" s="15"/>
      <c r="AC48" s="15"/>
      <c r="AD48" s="15"/>
      <c r="AE48" s="15"/>
      <c r="AF48" s="15"/>
      <c r="AG48" s="15"/>
      <c r="AH48" s="15"/>
      <c r="AI48" s="15"/>
      <c r="AJ48" s="15"/>
      <c r="AK48" s="15"/>
      <c r="AL48" s="15"/>
      <c r="AM48" s="15"/>
      <c r="AN48" s="15"/>
      <c r="AO48" s="15"/>
      <c r="AP48" s="15"/>
      <c r="AQ48" s="15"/>
      <c r="AR48" s="15"/>
      <c r="AS48" s="15"/>
      <c r="AT48" s="15"/>
      <c r="AU48" s="15"/>
      <c r="AV48" s="15"/>
      <c r="AW48" s="15"/>
      <c r="AX48" s="15"/>
      <c r="AY48" s="15"/>
      <c r="AZ48" s="15"/>
      <c r="BA48" s="15"/>
      <c r="BB48" s="15"/>
      <c r="BC48" s="15"/>
      <c r="BD48" s="15"/>
      <c r="BE48" s="15"/>
      <c r="BF48" s="15"/>
      <c r="BG48" s="15"/>
      <c r="BH48" s="15"/>
      <c r="BI48" s="15"/>
      <c r="BJ48" s="16"/>
      <c r="BK48" s="1"/>
    </row>
    <row r="49" spans="1:63" ht="15.75" x14ac:dyDescent="0.25">
      <c r="A49" s="1"/>
      <c r="B49" s="14"/>
      <c r="C49" s="15"/>
      <c r="D49" s="15"/>
      <c r="E49" s="15"/>
      <c r="F49" s="15"/>
      <c r="G49" s="43"/>
      <c r="H49" s="15"/>
      <c r="I49" s="15"/>
      <c r="J49" s="15"/>
      <c r="K49" s="15"/>
      <c r="L49" s="15"/>
      <c r="M49" s="15"/>
      <c r="N49" s="15"/>
      <c r="O49" s="15"/>
      <c r="P49" s="15"/>
      <c r="Q49" s="15"/>
      <c r="R49" s="15"/>
      <c r="S49" s="15"/>
      <c r="T49" s="15"/>
      <c r="U49" s="15"/>
      <c r="V49" s="15"/>
      <c r="W49" s="15"/>
      <c r="X49" s="15"/>
      <c r="Y49" s="15"/>
      <c r="Z49" s="15"/>
      <c r="AA49" s="15"/>
      <c r="AB49" s="15"/>
      <c r="AC49" s="15"/>
      <c r="AD49" s="15"/>
      <c r="AE49" s="15"/>
      <c r="AF49" s="15"/>
      <c r="AG49" s="15"/>
      <c r="AH49" s="15"/>
      <c r="AI49" s="15"/>
      <c r="AJ49" s="15"/>
      <c r="AK49" s="15"/>
      <c r="AL49" s="15"/>
      <c r="AM49" s="15"/>
      <c r="AN49" s="15"/>
      <c r="AO49" s="15"/>
      <c r="AP49" s="15"/>
      <c r="AQ49" s="15"/>
      <c r="AR49" s="15"/>
      <c r="AS49" s="15"/>
      <c r="AT49" s="15"/>
      <c r="AU49" s="15"/>
      <c r="AV49" s="15"/>
      <c r="AW49" s="15"/>
      <c r="AX49" s="15"/>
      <c r="AY49" s="15"/>
      <c r="AZ49" s="15"/>
      <c r="BA49" s="15"/>
      <c r="BB49" s="15"/>
      <c r="BC49" s="15"/>
      <c r="BD49" s="15"/>
      <c r="BE49" s="15"/>
      <c r="BF49" s="15"/>
      <c r="BG49" s="15"/>
      <c r="BH49" s="15"/>
      <c r="BI49" s="15"/>
      <c r="BJ49" s="16"/>
      <c r="BK49" s="1"/>
    </row>
    <row r="50" spans="1:63" ht="16.5" thickBot="1" x14ac:dyDescent="0.3">
      <c r="A50" s="1"/>
      <c r="B50" s="14"/>
      <c r="C50" s="15"/>
      <c r="D50" s="30" t="s">
        <v>85</v>
      </c>
      <c r="E50" s="15"/>
      <c r="F50" s="15"/>
      <c r="G50" s="26" t="s">
        <v>87</v>
      </c>
      <c r="H50" s="26">
        <v>1</v>
      </c>
      <c r="I50" s="26">
        <v>2</v>
      </c>
      <c r="J50" s="26">
        <v>3</v>
      </c>
      <c r="K50" s="26">
        <v>4</v>
      </c>
      <c r="L50" s="26">
        <v>5</v>
      </c>
      <c r="M50" s="15"/>
      <c r="N50" s="15"/>
      <c r="O50" s="15"/>
      <c r="P50" s="15"/>
      <c r="Q50" s="15"/>
      <c r="R50" s="15"/>
      <c r="S50" s="15"/>
      <c r="T50" s="15"/>
      <c r="U50" s="15"/>
      <c r="V50" s="15"/>
      <c r="W50" s="15"/>
      <c r="X50" s="15"/>
      <c r="Y50" s="15"/>
      <c r="Z50" s="15"/>
      <c r="AA50" s="15"/>
      <c r="AB50" s="15"/>
      <c r="AC50" s="15"/>
      <c r="AD50" s="15"/>
      <c r="AE50" s="15"/>
      <c r="AF50" s="15"/>
      <c r="AG50" s="15"/>
      <c r="AH50" s="15"/>
      <c r="AI50" s="15"/>
      <c r="AJ50" s="15"/>
      <c r="AK50" s="15"/>
      <c r="AL50" s="15"/>
      <c r="AM50" s="15"/>
      <c r="AN50" s="15"/>
      <c r="AO50" s="15"/>
      <c r="AP50" s="15"/>
      <c r="AQ50" s="15"/>
      <c r="AR50" s="15"/>
      <c r="AS50" s="15"/>
      <c r="AT50" s="15"/>
      <c r="AU50" s="15"/>
      <c r="AV50" s="15"/>
      <c r="AW50" s="15"/>
      <c r="AX50" s="15"/>
      <c r="AY50" s="15"/>
      <c r="AZ50" s="15"/>
      <c r="BA50" s="15"/>
      <c r="BB50" s="15"/>
      <c r="BC50" s="15"/>
      <c r="BD50" s="15"/>
      <c r="BE50" s="15"/>
      <c r="BF50" s="15"/>
      <c r="BG50" s="15"/>
      <c r="BH50" s="15"/>
      <c r="BI50" s="15"/>
      <c r="BJ50" s="16"/>
      <c r="BK50" s="1"/>
    </row>
    <row r="51" spans="1:63" ht="16.5" thickTop="1" x14ac:dyDescent="0.25">
      <c r="A51" s="1"/>
      <c r="B51" s="14"/>
      <c r="C51" s="15"/>
      <c r="D51" s="24" t="s">
        <v>89</v>
      </c>
      <c r="E51" s="24"/>
      <c r="F51" s="24"/>
      <c r="G51" s="28" t="s">
        <v>72</v>
      </c>
      <c r="H51" s="35">
        <f>AVERAGE(SUM(H27,H30,H35),SUM(H40,H43))</f>
        <v>0.23900436232999744</v>
      </c>
      <c r="I51" s="35">
        <f t="shared" ref="I51:L51" si="20">AVERAGE(SUM(I27,I30,I35),SUM(I40,I43))</f>
        <v>8.8119065948165265E-2</v>
      </c>
      <c r="J51" s="35">
        <f t="shared" si="20"/>
        <v>7.3338465486271501E-2</v>
      </c>
      <c r="K51" s="35">
        <f t="shared" si="20"/>
        <v>6.3305106492173469E-2</v>
      </c>
      <c r="L51" s="35">
        <f t="shared" si="20"/>
        <v>5.2578906851424176E-2</v>
      </c>
      <c r="M51" s="15"/>
      <c r="N51" s="15"/>
      <c r="O51" s="15"/>
      <c r="P51" s="15"/>
      <c r="Q51" s="15"/>
      <c r="R51" s="15"/>
      <c r="S51" s="15"/>
      <c r="T51" s="15"/>
      <c r="U51" s="15"/>
      <c r="V51" s="15"/>
      <c r="W51" s="15"/>
      <c r="X51" s="15"/>
      <c r="Y51" s="15"/>
      <c r="Z51" s="15"/>
      <c r="AA51" s="15"/>
      <c r="AB51" s="15"/>
      <c r="AC51" s="15"/>
      <c r="AD51" s="15"/>
      <c r="AE51" s="15"/>
      <c r="AF51" s="15"/>
      <c r="AG51" s="15"/>
      <c r="AH51" s="15"/>
      <c r="AI51" s="15"/>
      <c r="AJ51" s="15"/>
      <c r="AK51" s="15"/>
      <c r="AL51" s="15"/>
      <c r="AM51" s="15"/>
      <c r="AN51" s="15"/>
      <c r="AO51" s="15"/>
      <c r="AP51" s="15"/>
      <c r="AQ51" s="15"/>
      <c r="AR51" s="15"/>
      <c r="AS51" s="15"/>
      <c r="AT51" s="15"/>
      <c r="AU51" s="15"/>
      <c r="AV51" s="15"/>
      <c r="AW51" s="15"/>
      <c r="AX51" s="15"/>
      <c r="AY51" s="15"/>
      <c r="AZ51" s="15"/>
      <c r="BA51" s="15"/>
      <c r="BB51" s="15"/>
      <c r="BC51" s="15"/>
      <c r="BD51" s="15"/>
      <c r="BE51" s="15"/>
      <c r="BF51" s="15"/>
      <c r="BG51" s="15"/>
      <c r="BH51" s="15"/>
      <c r="BI51" s="15"/>
      <c r="BJ51" s="16"/>
      <c r="BK51" s="1"/>
    </row>
    <row r="52" spans="1:63" ht="15.75" x14ac:dyDescent="0.25">
      <c r="A52" s="1"/>
      <c r="B52" s="14"/>
      <c r="C52" s="15"/>
      <c r="D52" s="24" t="s">
        <v>51</v>
      </c>
      <c r="E52" s="24"/>
      <c r="F52" s="24"/>
      <c r="G52" s="28" t="s">
        <v>49</v>
      </c>
      <c r="H52" s="31">
        <f>AVERAGE(H41,H28)</f>
        <v>1151.5</v>
      </c>
      <c r="I52" s="31">
        <f t="shared" ref="I52:L52" si="21">AVERAGE(I41,I28)</f>
        <v>89.5</v>
      </c>
      <c r="J52" s="31">
        <f t="shared" si="21"/>
        <v>87.5</v>
      </c>
      <c r="K52" s="31">
        <f t="shared" si="21"/>
        <v>77.5</v>
      </c>
      <c r="L52" s="31">
        <f t="shared" si="21"/>
        <v>77</v>
      </c>
      <c r="M52" s="15"/>
      <c r="N52" s="15"/>
      <c r="O52" s="15"/>
      <c r="P52" s="15"/>
      <c r="Q52" s="15"/>
      <c r="R52" s="15"/>
      <c r="S52" s="15"/>
      <c r="T52" s="15"/>
      <c r="U52" s="15"/>
      <c r="V52" s="15"/>
      <c r="W52" s="15"/>
      <c r="X52" s="15"/>
      <c r="Y52" s="15"/>
      <c r="Z52" s="15"/>
      <c r="AA52" s="15"/>
      <c r="AB52" s="15"/>
      <c r="AC52" s="15"/>
      <c r="AD52" s="15"/>
      <c r="AE52" s="15"/>
      <c r="AF52" s="15"/>
      <c r="AG52" s="15"/>
      <c r="AH52" s="15"/>
      <c r="AI52" s="15"/>
      <c r="AJ52" s="15"/>
      <c r="AK52" s="15"/>
      <c r="AL52" s="15"/>
      <c r="AM52" s="15"/>
      <c r="AN52" s="15"/>
      <c r="AO52" s="15"/>
      <c r="AP52" s="15"/>
      <c r="AQ52" s="15"/>
      <c r="AR52" s="15"/>
      <c r="AS52" s="15"/>
      <c r="AT52" s="15"/>
      <c r="AU52" s="15"/>
      <c r="AV52" s="15"/>
      <c r="AW52" s="15"/>
      <c r="AX52" s="15"/>
      <c r="AY52" s="15"/>
      <c r="AZ52" s="15"/>
      <c r="BA52" s="15"/>
      <c r="BB52" s="15"/>
      <c r="BC52" s="15"/>
      <c r="BD52" s="15"/>
      <c r="BE52" s="15"/>
      <c r="BF52" s="15"/>
      <c r="BG52" s="15"/>
      <c r="BH52" s="15"/>
      <c r="BI52" s="15"/>
      <c r="BJ52" s="16"/>
      <c r="BK52" s="1"/>
    </row>
    <row r="53" spans="1:63" ht="15.75" x14ac:dyDescent="0.25">
      <c r="A53" s="1"/>
      <c r="B53" s="14"/>
      <c r="C53" s="15"/>
      <c r="D53" s="24" t="s">
        <v>42</v>
      </c>
      <c r="E53" s="24"/>
      <c r="F53" s="24"/>
      <c r="G53" s="28" t="s">
        <v>49</v>
      </c>
      <c r="H53" s="31">
        <f>AVERAGE(H45,H31)</f>
        <v>1473.5</v>
      </c>
      <c r="I53" s="31">
        <f t="shared" ref="I53:L53" si="22">AVERAGE(I45,I31)</f>
        <v>1500</v>
      </c>
      <c r="J53" s="31">
        <f t="shared" si="22"/>
        <v>1528.5</v>
      </c>
      <c r="K53" s="31">
        <f t="shared" si="22"/>
        <v>1558</v>
      </c>
      <c r="L53" s="31">
        <f t="shared" si="22"/>
        <v>1589.5</v>
      </c>
      <c r="M53" s="15"/>
      <c r="N53" s="15"/>
      <c r="O53" s="15"/>
      <c r="P53" s="15"/>
      <c r="Q53" s="15"/>
      <c r="R53" s="15"/>
      <c r="S53" s="15"/>
      <c r="T53" s="15"/>
      <c r="U53" s="15"/>
      <c r="V53" s="15"/>
      <c r="W53" s="15"/>
      <c r="X53" s="15"/>
      <c r="Y53" s="15"/>
      <c r="Z53" s="15"/>
      <c r="AA53" s="15"/>
      <c r="AB53" s="15"/>
      <c r="AC53" s="15"/>
      <c r="AD53" s="15"/>
      <c r="AE53" s="15"/>
      <c r="AF53" s="15"/>
      <c r="AG53" s="15"/>
      <c r="AH53" s="15"/>
      <c r="AI53" s="15"/>
      <c r="AJ53" s="15"/>
      <c r="AK53" s="15"/>
      <c r="AL53" s="15"/>
      <c r="AM53" s="15"/>
      <c r="AN53" s="15"/>
      <c r="AO53" s="15"/>
      <c r="AP53" s="15"/>
      <c r="AQ53" s="15"/>
      <c r="AR53" s="15"/>
      <c r="AS53" s="15"/>
      <c r="AT53" s="15"/>
      <c r="AU53" s="15"/>
      <c r="AV53" s="15"/>
      <c r="AW53" s="15"/>
      <c r="AX53" s="15"/>
      <c r="AY53" s="15"/>
      <c r="AZ53" s="15"/>
      <c r="BA53" s="15"/>
      <c r="BB53" s="15"/>
      <c r="BC53" s="15"/>
      <c r="BD53" s="15"/>
      <c r="BE53" s="15"/>
      <c r="BF53" s="15"/>
      <c r="BG53" s="15"/>
      <c r="BH53" s="15"/>
      <c r="BI53" s="15"/>
      <c r="BJ53" s="16"/>
      <c r="BK53" s="1"/>
    </row>
    <row r="54" spans="1:63" ht="15.75" x14ac:dyDescent="0.25">
      <c r="A54" s="1"/>
      <c r="B54" s="14"/>
      <c r="C54" s="15"/>
      <c r="D54" s="24" t="s">
        <v>44</v>
      </c>
      <c r="E54" s="24"/>
      <c r="F54" s="24"/>
      <c r="G54" s="28" t="s">
        <v>49</v>
      </c>
      <c r="H54" s="31">
        <f>AVERAGE(H33,H46)</f>
        <v>311</v>
      </c>
      <c r="I54" s="31">
        <f t="shared" ref="I54:L54" si="23">AVERAGE(I33,I46)</f>
        <v>502</v>
      </c>
      <c r="J54" s="31">
        <f t="shared" si="23"/>
        <v>1219.5</v>
      </c>
      <c r="K54" s="31">
        <f t="shared" si="23"/>
        <v>796</v>
      </c>
      <c r="L54" s="31">
        <f t="shared" si="23"/>
        <v>780.5</v>
      </c>
      <c r="M54" s="15"/>
      <c r="N54" s="15"/>
      <c r="O54" s="15"/>
      <c r="P54" s="15"/>
      <c r="Q54" s="15"/>
      <c r="R54" s="15"/>
      <c r="S54" s="15"/>
      <c r="T54" s="15"/>
      <c r="U54" s="15"/>
      <c r="V54" s="15"/>
      <c r="W54" s="15"/>
      <c r="X54" s="15"/>
      <c r="Y54" s="15"/>
      <c r="Z54" s="15"/>
      <c r="AA54" s="15"/>
      <c r="AB54" s="15"/>
      <c r="AC54" s="15"/>
      <c r="AD54" s="15"/>
      <c r="AE54" s="15"/>
      <c r="AF54" s="15"/>
      <c r="AG54" s="15"/>
      <c r="AH54" s="15"/>
      <c r="AI54" s="15"/>
      <c r="AJ54" s="15"/>
      <c r="AK54" s="15"/>
      <c r="AL54" s="15"/>
      <c r="AM54" s="15"/>
      <c r="AN54" s="15"/>
      <c r="AO54" s="15"/>
      <c r="AP54" s="15"/>
      <c r="AQ54" s="15"/>
      <c r="AR54" s="15"/>
      <c r="AS54" s="15"/>
      <c r="AT54" s="15"/>
      <c r="AU54" s="15"/>
      <c r="AV54" s="15"/>
      <c r="AW54" s="15"/>
      <c r="AX54" s="15"/>
      <c r="AY54" s="15"/>
      <c r="AZ54" s="15"/>
      <c r="BA54" s="15"/>
      <c r="BB54" s="15"/>
      <c r="BC54" s="15"/>
      <c r="BD54" s="15"/>
      <c r="BE54" s="15"/>
      <c r="BF54" s="15"/>
      <c r="BG54" s="15"/>
      <c r="BH54" s="15"/>
      <c r="BI54" s="15"/>
      <c r="BJ54" s="16"/>
      <c r="BK54" s="1"/>
    </row>
    <row r="55" spans="1:63" ht="15.75" x14ac:dyDescent="0.25">
      <c r="A55" s="1"/>
      <c r="B55" s="14"/>
      <c r="C55" s="15"/>
      <c r="D55" s="24" t="s">
        <v>46</v>
      </c>
      <c r="E55" s="24"/>
      <c r="F55" s="24"/>
      <c r="G55" s="28" t="s">
        <v>49</v>
      </c>
      <c r="H55" s="31">
        <f>AVERAGE(H36,H47)</f>
        <v>0</v>
      </c>
      <c r="I55" s="31">
        <f t="shared" ref="I55:L55" si="24">AVERAGE(I36,I47)</f>
        <v>0</v>
      </c>
      <c r="J55" s="31">
        <f t="shared" si="24"/>
        <v>163</v>
      </c>
      <c r="K55" s="31">
        <f t="shared" si="24"/>
        <v>356.5</v>
      </c>
      <c r="L55" s="31">
        <f t="shared" si="24"/>
        <v>471.5</v>
      </c>
      <c r="M55" s="15"/>
      <c r="N55" s="15"/>
      <c r="O55" s="15"/>
      <c r="P55" s="15"/>
      <c r="Q55" s="15"/>
      <c r="R55" s="15"/>
      <c r="S55" s="15"/>
      <c r="T55" s="15"/>
      <c r="U55" s="15"/>
      <c r="V55" s="15"/>
      <c r="W55" s="15"/>
      <c r="X55" s="15"/>
      <c r="Y55" s="15"/>
      <c r="Z55" s="15"/>
      <c r="AA55" s="15"/>
      <c r="AB55" s="15"/>
      <c r="AC55" s="15"/>
      <c r="AD55" s="15"/>
      <c r="AE55" s="15"/>
      <c r="AF55" s="15"/>
      <c r="AG55" s="15"/>
      <c r="AH55" s="15"/>
      <c r="AI55" s="15"/>
      <c r="AJ55" s="15"/>
      <c r="AK55" s="15"/>
      <c r="AL55" s="15"/>
      <c r="AM55" s="15"/>
      <c r="AN55" s="15"/>
      <c r="AO55" s="15"/>
      <c r="AP55" s="15"/>
      <c r="AQ55" s="15"/>
      <c r="AR55" s="15"/>
      <c r="AS55" s="15"/>
      <c r="AT55" s="15"/>
      <c r="AU55" s="15"/>
      <c r="AV55" s="15"/>
      <c r="AW55" s="15"/>
      <c r="AX55" s="15"/>
      <c r="AY55" s="15"/>
      <c r="AZ55" s="15"/>
      <c r="BA55" s="15"/>
      <c r="BB55" s="15"/>
      <c r="BC55" s="15"/>
      <c r="BD55" s="15"/>
      <c r="BE55" s="15"/>
      <c r="BF55" s="15"/>
      <c r="BG55" s="15"/>
      <c r="BH55" s="15"/>
      <c r="BI55" s="15"/>
      <c r="BJ55" s="16"/>
      <c r="BK55" s="1"/>
    </row>
    <row r="56" spans="1:63" ht="15.75" x14ac:dyDescent="0.25">
      <c r="A56" s="1"/>
      <c r="B56" s="14"/>
      <c r="C56" s="15"/>
      <c r="D56" s="15"/>
      <c r="E56" s="15"/>
      <c r="F56" s="15"/>
      <c r="G56" s="43"/>
      <c r="H56" s="15"/>
      <c r="I56" s="15"/>
      <c r="J56" s="15"/>
      <c r="K56" s="15"/>
      <c r="L56" s="15"/>
      <c r="M56" s="15"/>
      <c r="N56" s="15"/>
      <c r="O56" s="15"/>
      <c r="P56" s="15"/>
      <c r="Q56" s="15"/>
      <c r="R56" s="15"/>
      <c r="S56" s="15"/>
      <c r="T56" s="15"/>
      <c r="U56" s="15"/>
      <c r="V56" s="15"/>
      <c r="W56" s="15"/>
      <c r="X56" s="15"/>
      <c r="Y56" s="15"/>
      <c r="Z56" s="15"/>
      <c r="AA56" s="15"/>
      <c r="AB56" s="15"/>
      <c r="AC56" s="15"/>
      <c r="AD56" s="15"/>
      <c r="AE56" s="15"/>
      <c r="AF56" s="15"/>
      <c r="AG56" s="15"/>
      <c r="AH56" s="15"/>
      <c r="AI56" s="15"/>
      <c r="AJ56" s="15"/>
      <c r="AK56" s="15"/>
      <c r="AL56" s="15"/>
      <c r="AM56" s="15"/>
      <c r="AN56" s="15"/>
      <c r="AO56" s="15"/>
      <c r="AP56" s="15"/>
      <c r="AQ56" s="15"/>
      <c r="AR56" s="15"/>
      <c r="AS56" s="15"/>
      <c r="AT56" s="15"/>
      <c r="AU56" s="15"/>
      <c r="AV56" s="15"/>
      <c r="AW56" s="15"/>
      <c r="AX56" s="15"/>
      <c r="AY56" s="15"/>
      <c r="AZ56" s="15"/>
      <c r="BA56" s="15"/>
      <c r="BB56" s="15"/>
      <c r="BC56" s="15"/>
      <c r="BD56" s="15"/>
      <c r="BE56" s="15"/>
      <c r="BF56" s="15"/>
      <c r="BG56" s="15"/>
      <c r="BH56" s="15"/>
      <c r="BI56" s="15"/>
      <c r="BJ56" s="16"/>
      <c r="BK56" s="1"/>
    </row>
    <row r="57" spans="1:63" ht="16.5" thickBot="1" x14ac:dyDescent="0.3">
      <c r="A57" s="1"/>
      <c r="B57" s="14"/>
      <c r="C57" s="15"/>
      <c r="D57" s="30" t="s">
        <v>54</v>
      </c>
      <c r="E57" s="15"/>
      <c r="F57" s="15"/>
      <c r="G57" s="43"/>
      <c r="H57" s="26" t="s">
        <v>34</v>
      </c>
      <c r="I57" s="26" t="s">
        <v>35</v>
      </c>
      <c r="J57" s="26" t="s">
        <v>36</v>
      </c>
      <c r="K57" s="26" t="s">
        <v>37</v>
      </c>
      <c r="L57" s="26" t="s">
        <v>38</v>
      </c>
      <c r="M57" s="15"/>
      <c r="N57" s="15"/>
      <c r="O57" s="15"/>
      <c r="P57" s="15"/>
      <c r="Q57" s="15"/>
      <c r="R57" s="15"/>
      <c r="S57" s="15"/>
      <c r="T57" s="15"/>
      <c r="U57" s="15"/>
      <c r="V57" s="15"/>
      <c r="W57" s="15"/>
      <c r="X57" s="15"/>
      <c r="Y57" s="15"/>
      <c r="Z57" s="15"/>
      <c r="AA57" s="15"/>
      <c r="AB57" s="15"/>
      <c r="AC57" s="15"/>
      <c r="AD57" s="15"/>
      <c r="AE57" s="15"/>
      <c r="AF57" s="15"/>
      <c r="AG57" s="15"/>
      <c r="AH57" s="15"/>
      <c r="AI57" s="15"/>
      <c r="AJ57" s="15"/>
      <c r="AK57" s="15"/>
      <c r="AL57" s="15"/>
      <c r="AM57" s="15"/>
      <c r="AN57" s="15"/>
      <c r="AO57" s="15"/>
      <c r="AP57" s="15"/>
      <c r="AQ57" s="15"/>
      <c r="AR57" s="15"/>
      <c r="AS57" s="15"/>
      <c r="AT57" s="15"/>
      <c r="AU57" s="15"/>
      <c r="AV57" s="15"/>
      <c r="AW57" s="15"/>
      <c r="AX57" s="15"/>
      <c r="AY57" s="15"/>
      <c r="AZ57" s="15"/>
      <c r="BA57" s="15"/>
      <c r="BB57" s="15"/>
      <c r="BC57" s="15"/>
      <c r="BD57" s="15"/>
      <c r="BE57" s="15"/>
      <c r="BF57" s="15"/>
      <c r="BG57" s="15"/>
      <c r="BH57" s="15"/>
      <c r="BI57" s="15"/>
      <c r="BJ57" s="16"/>
      <c r="BK57" s="1"/>
    </row>
    <row r="58" spans="1:63" ht="16.5" thickTop="1" x14ac:dyDescent="0.25">
      <c r="A58" s="1"/>
      <c r="B58" s="14"/>
      <c r="C58" s="15"/>
      <c r="D58" s="24" t="s">
        <v>39</v>
      </c>
      <c r="E58" s="24" t="s">
        <v>47</v>
      </c>
      <c r="F58" s="24" t="s">
        <v>56</v>
      </c>
      <c r="G58" s="28" t="s">
        <v>49</v>
      </c>
      <c r="H58" s="25">
        <v>15034</v>
      </c>
      <c r="I58" s="25">
        <v>1864</v>
      </c>
      <c r="J58" s="25">
        <v>1601</v>
      </c>
      <c r="K58" s="25">
        <v>1339</v>
      </c>
      <c r="L58" s="25">
        <v>1219</v>
      </c>
      <c r="M58" s="15"/>
      <c r="N58" s="15"/>
      <c r="O58" s="15"/>
      <c r="P58" s="15"/>
      <c r="Q58" s="15"/>
      <c r="R58" s="15"/>
      <c r="S58" s="15"/>
      <c r="T58" s="15"/>
      <c r="U58" s="15"/>
      <c r="V58" s="15"/>
      <c r="W58" s="15"/>
      <c r="X58" s="15"/>
      <c r="Y58" s="15"/>
      <c r="Z58" s="15"/>
      <c r="AA58" s="15"/>
      <c r="AB58" s="15"/>
      <c r="AC58" s="15"/>
      <c r="AD58" s="15"/>
      <c r="AE58" s="15"/>
      <c r="AF58" s="15"/>
      <c r="AG58" s="15"/>
      <c r="AH58" s="15"/>
      <c r="AI58" s="15"/>
      <c r="AJ58" s="15"/>
      <c r="AK58" s="15"/>
      <c r="AL58" s="15"/>
      <c r="AM58" s="15"/>
      <c r="AN58" s="15"/>
      <c r="AO58" s="15"/>
      <c r="AP58" s="15"/>
      <c r="AQ58" s="15"/>
      <c r="AR58" s="15"/>
      <c r="AS58" s="15"/>
      <c r="AT58" s="15"/>
      <c r="AU58" s="15"/>
      <c r="AV58" s="15"/>
      <c r="AW58" s="15"/>
      <c r="AX58" s="15"/>
      <c r="AY58" s="15"/>
      <c r="AZ58" s="15"/>
      <c r="BA58" s="15"/>
      <c r="BB58" s="15"/>
      <c r="BC58" s="15"/>
      <c r="BD58" s="15"/>
      <c r="BE58" s="15"/>
      <c r="BF58" s="15"/>
      <c r="BG58" s="15"/>
      <c r="BH58" s="15"/>
      <c r="BI58" s="15"/>
      <c r="BJ58" s="16"/>
      <c r="BK58" s="1"/>
    </row>
    <row r="59" spans="1:63" ht="15.75" x14ac:dyDescent="0.25">
      <c r="A59" s="1"/>
      <c r="B59" s="14"/>
      <c r="C59" s="15"/>
      <c r="D59" s="24" t="s">
        <v>39</v>
      </c>
      <c r="E59" s="24"/>
      <c r="F59" s="24"/>
      <c r="G59" s="28" t="s">
        <v>72</v>
      </c>
      <c r="H59" s="35">
        <f>H58/$E$19</f>
        <v>0.50390480978716268</v>
      </c>
      <c r="I59" s="35">
        <f t="shared" ref="I59:L59" si="25">I58/$E$19</f>
        <v>6.2476956594603651E-2</v>
      </c>
      <c r="J59" s="35">
        <f t="shared" si="25"/>
        <v>5.3661806602983073E-2</v>
      </c>
      <c r="K59" s="35">
        <f t="shared" si="25"/>
        <v>4.4880174291938996E-2</v>
      </c>
      <c r="L59" s="35">
        <f t="shared" si="25"/>
        <v>4.0858052622758503E-2</v>
      </c>
      <c r="M59" s="15"/>
      <c r="N59" s="15"/>
      <c r="O59" s="15"/>
      <c r="P59" s="15"/>
      <c r="Q59" s="15"/>
      <c r="R59" s="15"/>
      <c r="S59" s="15"/>
      <c r="T59" s="15"/>
      <c r="U59" s="15"/>
      <c r="V59" s="15"/>
      <c r="W59" s="15"/>
      <c r="X59" s="15"/>
      <c r="Y59" s="15"/>
      <c r="Z59" s="15"/>
      <c r="AA59" s="15"/>
      <c r="AB59" s="15"/>
      <c r="AC59" s="15"/>
      <c r="AD59" s="15"/>
      <c r="AE59" s="15"/>
      <c r="AF59" s="15"/>
      <c r="AG59" s="15"/>
      <c r="AH59" s="15"/>
      <c r="AI59" s="15"/>
      <c r="AJ59" s="15"/>
      <c r="AK59" s="15"/>
      <c r="AL59" s="15"/>
      <c r="AM59" s="15"/>
      <c r="AN59" s="15"/>
      <c r="AO59" s="15"/>
      <c r="AP59" s="15"/>
      <c r="AQ59" s="15"/>
      <c r="AR59" s="15"/>
      <c r="AS59" s="15"/>
      <c r="AT59" s="15"/>
      <c r="AU59" s="15"/>
      <c r="AV59" s="15"/>
      <c r="AW59" s="15"/>
      <c r="AX59" s="15"/>
      <c r="AY59" s="15"/>
      <c r="AZ59" s="15"/>
      <c r="BA59" s="15"/>
      <c r="BB59" s="15"/>
      <c r="BC59" s="15"/>
      <c r="BD59" s="15"/>
      <c r="BE59" s="15"/>
      <c r="BF59" s="15"/>
      <c r="BG59" s="15"/>
      <c r="BH59" s="15"/>
      <c r="BI59" s="15"/>
      <c r="BJ59" s="16"/>
      <c r="BK59" s="1"/>
    </row>
    <row r="60" spans="1:63" ht="15.75" x14ac:dyDescent="0.25">
      <c r="A60" s="1"/>
      <c r="B60" s="14"/>
      <c r="C60" s="15"/>
      <c r="D60" s="24" t="s">
        <v>40</v>
      </c>
      <c r="E60" s="24" t="s">
        <v>47</v>
      </c>
      <c r="F60" s="24" t="s">
        <v>48</v>
      </c>
      <c r="G60" s="28" t="s">
        <v>49</v>
      </c>
      <c r="H60" s="25">
        <v>-5858</v>
      </c>
      <c r="I60" s="25">
        <v>99</v>
      </c>
      <c r="J60" s="25">
        <v>103</v>
      </c>
      <c r="K60" s="25">
        <v>89</v>
      </c>
      <c r="L60" s="25">
        <v>93</v>
      </c>
      <c r="M60" s="15"/>
      <c r="N60" s="15"/>
      <c r="O60" s="15"/>
      <c r="P60" s="15"/>
      <c r="Q60" s="15"/>
      <c r="R60" s="15"/>
      <c r="S60" s="15"/>
      <c r="T60" s="15"/>
      <c r="U60" s="15"/>
      <c r="V60" s="15"/>
      <c r="W60" s="15"/>
      <c r="X60" s="15"/>
      <c r="Y60" s="15"/>
      <c r="Z60" s="15"/>
      <c r="AA60" s="15"/>
      <c r="AB60" s="15"/>
      <c r="AC60" s="15"/>
      <c r="AD60" s="15"/>
      <c r="AE60" s="15"/>
      <c r="AF60" s="15"/>
      <c r="AG60" s="15"/>
      <c r="AH60" s="15"/>
      <c r="AI60" s="15"/>
      <c r="AJ60" s="15"/>
      <c r="AK60" s="15"/>
      <c r="AL60" s="15"/>
      <c r="AM60" s="15"/>
      <c r="AN60" s="15"/>
      <c r="AO60" s="15"/>
      <c r="AP60" s="15"/>
      <c r="AQ60" s="15"/>
      <c r="AR60" s="15"/>
      <c r="AS60" s="15"/>
      <c r="AT60" s="15"/>
      <c r="AU60" s="15"/>
      <c r="AV60" s="15"/>
      <c r="AW60" s="15"/>
      <c r="AX60" s="15"/>
      <c r="AY60" s="15"/>
      <c r="AZ60" s="15"/>
      <c r="BA60" s="15"/>
      <c r="BB60" s="15"/>
      <c r="BC60" s="15"/>
      <c r="BD60" s="15"/>
      <c r="BE60" s="15"/>
      <c r="BF60" s="15"/>
      <c r="BG60" s="15"/>
      <c r="BH60" s="15"/>
      <c r="BI60" s="15"/>
      <c r="BJ60" s="16"/>
      <c r="BK60" s="1"/>
    </row>
    <row r="61" spans="1:63" ht="15.75" x14ac:dyDescent="0.25">
      <c r="A61" s="1"/>
      <c r="B61" s="14"/>
      <c r="C61" s="15"/>
      <c r="D61" s="24" t="s">
        <v>41</v>
      </c>
      <c r="E61" s="24" t="s">
        <v>47</v>
      </c>
      <c r="F61" s="24" t="s">
        <v>48</v>
      </c>
      <c r="G61" s="28" t="s">
        <v>49</v>
      </c>
      <c r="H61" s="25">
        <v>693</v>
      </c>
      <c r="I61" s="25">
        <v>549</v>
      </c>
      <c r="J61" s="25">
        <v>400</v>
      </c>
      <c r="K61" s="25">
        <v>247</v>
      </c>
      <c r="L61" s="25">
        <v>88</v>
      </c>
      <c r="M61" s="15"/>
      <c r="N61" s="15"/>
      <c r="O61" s="15"/>
      <c r="P61" s="15"/>
      <c r="Q61" s="15"/>
      <c r="R61" s="15"/>
      <c r="S61" s="15"/>
      <c r="T61" s="15"/>
      <c r="U61" s="15"/>
      <c r="V61" s="15"/>
      <c r="W61" s="15"/>
      <c r="X61" s="15"/>
      <c r="Y61" s="15"/>
      <c r="Z61" s="15"/>
      <c r="AA61" s="15"/>
      <c r="AB61" s="15"/>
      <c r="AC61" s="15"/>
      <c r="AD61" s="15"/>
      <c r="AE61" s="15"/>
      <c r="AF61" s="15"/>
      <c r="AG61" s="15"/>
      <c r="AH61" s="15"/>
      <c r="AI61" s="15"/>
      <c r="AJ61" s="15"/>
      <c r="AK61" s="15"/>
      <c r="AL61" s="15"/>
      <c r="AM61" s="15"/>
      <c r="AN61" s="15"/>
      <c r="AO61" s="15"/>
      <c r="AP61" s="15"/>
      <c r="AQ61" s="15"/>
      <c r="AR61" s="15"/>
      <c r="AS61" s="15"/>
      <c r="AT61" s="15"/>
      <c r="AU61" s="15"/>
      <c r="AV61" s="15"/>
      <c r="AW61" s="15"/>
      <c r="AX61" s="15"/>
      <c r="AY61" s="15"/>
      <c r="AZ61" s="15"/>
      <c r="BA61" s="15"/>
      <c r="BB61" s="15"/>
      <c r="BC61" s="15"/>
      <c r="BD61" s="15"/>
      <c r="BE61" s="15"/>
      <c r="BF61" s="15"/>
      <c r="BG61" s="15"/>
      <c r="BH61" s="15"/>
      <c r="BI61" s="15"/>
      <c r="BJ61" s="16"/>
      <c r="BK61" s="1"/>
    </row>
    <row r="62" spans="1:63" ht="15.75" x14ac:dyDescent="0.25">
      <c r="A62" s="1"/>
      <c r="B62" s="14"/>
      <c r="C62" s="15"/>
      <c r="D62" s="24"/>
      <c r="E62" s="24"/>
      <c r="F62" s="24"/>
      <c r="G62" s="28" t="s">
        <v>72</v>
      </c>
      <c r="H62" s="35">
        <f>H61/$E$19</f>
        <v>2.3227752639517346E-2</v>
      </c>
      <c r="I62" s="35">
        <f t="shared" ref="I62" si="26">I61/$E$19</f>
        <v>1.8401206636500755E-2</v>
      </c>
      <c r="J62" s="35">
        <f t="shared" ref="J62" si="27">J61/$E$19</f>
        <v>1.3407072230601643E-2</v>
      </c>
      <c r="K62" s="35">
        <f t="shared" ref="K62" si="28">K61/$E$19</f>
        <v>8.2788671023965137E-3</v>
      </c>
      <c r="L62" s="35">
        <f t="shared" ref="L62" si="29">L61/$E$19</f>
        <v>2.9495558907323611E-3</v>
      </c>
      <c r="M62" s="15"/>
      <c r="N62" s="15"/>
      <c r="O62" s="15"/>
      <c r="P62" s="15"/>
      <c r="Q62" s="15"/>
      <c r="R62" s="15"/>
      <c r="S62" s="15"/>
      <c r="T62" s="15"/>
      <c r="U62" s="15"/>
      <c r="V62" s="15"/>
      <c r="W62" s="15"/>
      <c r="X62" s="15"/>
      <c r="Y62" s="15"/>
      <c r="Z62" s="15"/>
      <c r="AA62" s="15"/>
      <c r="AB62" s="15"/>
      <c r="AC62" s="15"/>
      <c r="AD62" s="15"/>
      <c r="AE62" s="15"/>
      <c r="AF62" s="15"/>
      <c r="AG62" s="15"/>
      <c r="AH62" s="15"/>
      <c r="AI62" s="15"/>
      <c r="AJ62" s="15"/>
      <c r="AK62" s="15"/>
      <c r="AL62" s="15"/>
      <c r="AM62" s="15"/>
      <c r="AN62" s="15"/>
      <c r="AO62" s="15"/>
      <c r="AP62" s="15"/>
      <c r="AQ62" s="15"/>
      <c r="AR62" s="15"/>
      <c r="AS62" s="15"/>
      <c r="AT62" s="15"/>
      <c r="AU62" s="15"/>
      <c r="AV62" s="15"/>
      <c r="AW62" s="15"/>
      <c r="AX62" s="15"/>
      <c r="AY62" s="15"/>
      <c r="AZ62" s="15"/>
      <c r="BA62" s="15"/>
      <c r="BB62" s="15"/>
      <c r="BC62" s="15"/>
      <c r="BD62" s="15"/>
      <c r="BE62" s="15"/>
      <c r="BF62" s="15"/>
      <c r="BG62" s="15"/>
      <c r="BH62" s="15"/>
      <c r="BI62" s="15"/>
      <c r="BJ62" s="16"/>
      <c r="BK62" s="1"/>
    </row>
    <row r="63" spans="1:63" ht="15.75" x14ac:dyDescent="0.25">
      <c r="A63" s="1"/>
      <c r="B63" s="14"/>
      <c r="C63" s="15"/>
      <c r="D63" s="24" t="s">
        <v>42</v>
      </c>
      <c r="E63" s="24" t="s">
        <v>47</v>
      </c>
      <c r="F63" s="24" t="s">
        <v>48</v>
      </c>
      <c r="G63" s="28" t="s">
        <v>49</v>
      </c>
      <c r="H63" s="25">
        <v>1137</v>
      </c>
      <c r="I63" s="25">
        <v>1124</v>
      </c>
      <c r="J63" s="25">
        <v>1111</v>
      </c>
      <c r="K63" s="25">
        <v>1099</v>
      </c>
      <c r="L63" s="25">
        <v>1087</v>
      </c>
      <c r="M63" s="15"/>
      <c r="N63" s="15"/>
      <c r="O63" s="15"/>
      <c r="P63" s="15"/>
      <c r="Q63" s="15"/>
      <c r="R63" s="15"/>
      <c r="S63" s="15"/>
      <c r="T63" s="15"/>
      <c r="U63" s="15"/>
      <c r="V63" s="15"/>
      <c r="W63" s="15"/>
      <c r="X63" s="15"/>
      <c r="Y63" s="15"/>
      <c r="Z63" s="15"/>
      <c r="AA63" s="15"/>
      <c r="AB63" s="15"/>
      <c r="AC63" s="15"/>
      <c r="AD63" s="15"/>
      <c r="AE63" s="15"/>
      <c r="AF63" s="15"/>
      <c r="AG63" s="15"/>
      <c r="AH63" s="15"/>
      <c r="AI63" s="15"/>
      <c r="AJ63" s="15"/>
      <c r="AK63" s="15"/>
      <c r="AL63" s="15"/>
      <c r="AM63" s="15"/>
      <c r="AN63" s="15"/>
      <c r="AO63" s="15"/>
      <c r="AP63" s="15"/>
      <c r="AQ63" s="15"/>
      <c r="AR63" s="15"/>
      <c r="AS63" s="15"/>
      <c r="AT63" s="15"/>
      <c r="AU63" s="15"/>
      <c r="AV63" s="15"/>
      <c r="AW63" s="15"/>
      <c r="AX63" s="15"/>
      <c r="AY63" s="15"/>
      <c r="AZ63" s="15"/>
      <c r="BA63" s="15"/>
      <c r="BB63" s="15"/>
      <c r="BC63" s="15"/>
      <c r="BD63" s="15"/>
      <c r="BE63" s="15"/>
      <c r="BF63" s="15"/>
      <c r="BG63" s="15"/>
      <c r="BH63" s="15"/>
      <c r="BI63" s="15"/>
      <c r="BJ63" s="16"/>
      <c r="BK63" s="1"/>
    </row>
    <row r="64" spans="1:63" ht="15.75" x14ac:dyDescent="0.25">
      <c r="A64" s="1"/>
      <c r="B64" s="14"/>
      <c r="C64" s="15"/>
      <c r="D64" s="24" t="s">
        <v>43</v>
      </c>
      <c r="E64" s="24" t="s">
        <v>47</v>
      </c>
      <c r="F64" s="24" t="s">
        <v>48</v>
      </c>
      <c r="G64" s="28" t="s">
        <v>49</v>
      </c>
      <c r="H64" s="25">
        <v>564</v>
      </c>
      <c r="I64" s="25">
        <v>564</v>
      </c>
      <c r="J64" s="25">
        <v>564</v>
      </c>
      <c r="K64" s="25">
        <v>564</v>
      </c>
      <c r="L64" s="25">
        <v>564</v>
      </c>
      <c r="M64" s="15"/>
      <c r="N64" s="15"/>
      <c r="O64" s="15"/>
      <c r="P64" s="15"/>
      <c r="Q64" s="15"/>
      <c r="R64" s="15"/>
      <c r="S64" s="15"/>
      <c r="T64" s="15"/>
      <c r="U64" s="15"/>
      <c r="V64" s="15"/>
      <c r="W64" s="15"/>
      <c r="X64" s="15"/>
      <c r="Y64" s="15"/>
      <c r="Z64" s="15"/>
      <c r="AA64" s="15"/>
      <c r="AB64" s="15"/>
      <c r="AC64" s="15"/>
      <c r="AD64" s="15"/>
      <c r="AE64" s="15"/>
      <c r="AF64" s="15"/>
      <c r="AG64" s="15"/>
      <c r="AH64" s="15"/>
      <c r="AI64" s="15"/>
      <c r="AJ64" s="15"/>
      <c r="AK64" s="15"/>
      <c r="AL64" s="15"/>
      <c r="AM64" s="15"/>
      <c r="AN64" s="15"/>
      <c r="AO64" s="15"/>
      <c r="AP64" s="15"/>
      <c r="AQ64" s="15"/>
      <c r="AR64" s="15"/>
      <c r="AS64" s="15"/>
      <c r="AT64" s="15"/>
      <c r="AU64" s="15"/>
      <c r="AV64" s="15"/>
      <c r="AW64" s="15"/>
      <c r="AX64" s="15"/>
      <c r="AY64" s="15"/>
      <c r="AZ64" s="15"/>
      <c r="BA64" s="15"/>
      <c r="BB64" s="15"/>
      <c r="BC64" s="15"/>
      <c r="BD64" s="15"/>
      <c r="BE64" s="15"/>
      <c r="BF64" s="15"/>
      <c r="BG64" s="15"/>
      <c r="BH64" s="15"/>
      <c r="BI64" s="15"/>
      <c r="BJ64" s="16"/>
      <c r="BK64" s="1"/>
    </row>
    <row r="65" spans="1:63" ht="15.75" x14ac:dyDescent="0.25">
      <c r="A65" s="1"/>
      <c r="B65" s="14"/>
      <c r="C65" s="15"/>
      <c r="D65" s="24" t="s">
        <v>44</v>
      </c>
      <c r="E65" s="24" t="s">
        <v>47</v>
      </c>
      <c r="F65" s="24" t="s">
        <v>48</v>
      </c>
      <c r="G65" s="28" t="s">
        <v>49</v>
      </c>
      <c r="H65" s="25">
        <v>184</v>
      </c>
      <c r="I65" s="25">
        <v>328</v>
      </c>
      <c r="J65" s="25">
        <v>2231</v>
      </c>
      <c r="K65" s="25">
        <v>501</v>
      </c>
      <c r="L65" s="25">
        <v>184</v>
      </c>
      <c r="M65" s="15"/>
      <c r="N65" s="15"/>
      <c r="O65" s="15"/>
      <c r="P65" s="15"/>
      <c r="Q65" s="15"/>
      <c r="R65" s="15"/>
      <c r="S65" s="15"/>
      <c r="T65" s="15"/>
      <c r="U65" s="15"/>
      <c r="V65" s="15"/>
      <c r="W65" s="15"/>
      <c r="X65" s="15"/>
      <c r="Y65" s="15"/>
      <c r="Z65" s="15"/>
      <c r="AA65" s="15"/>
      <c r="AB65" s="15"/>
      <c r="AC65" s="15"/>
      <c r="AD65" s="15"/>
      <c r="AE65" s="15"/>
      <c r="AF65" s="15"/>
      <c r="AG65" s="15"/>
      <c r="AH65" s="15"/>
      <c r="AI65" s="15"/>
      <c r="AJ65" s="15"/>
      <c r="AK65" s="15"/>
      <c r="AL65" s="15"/>
      <c r="AM65" s="15"/>
      <c r="AN65" s="15"/>
      <c r="AO65" s="15"/>
      <c r="AP65" s="15"/>
      <c r="AQ65" s="15"/>
      <c r="AR65" s="15"/>
      <c r="AS65" s="15"/>
      <c r="AT65" s="15"/>
      <c r="AU65" s="15"/>
      <c r="AV65" s="15"/>
      <c r="AW65" s="15"/>
      <c r="AX65" s="15"/>
      <c r="AY65" s="15"/>
      <c r="AZ65" s="15"/>
      <c r="BA65" s="15"/>
      <c r="BB65" s="15"/>
      <c r="BC65" s="15"/>
      <c r="BD65" s="15"/>
      <c r="BE65" s="15"/>
      <c r="BF65" s="15"/>
      <c r="BG65" s="15"/>
      <c r="BH65" s="15"/>
      <c r="BI65" s="15"/>
      <c r="BJ65" s="16"/>
      <c r="BK65" s="1"/>
    </row>
    <row r="66" spans="1:63" ht="15.75" x14ac:dyDescent="0.25">
      <c r="A66" s="1"/>
      <c r="B66" s="14"/>
      <c r="C66" s="15"/>
      <c r="D66" s="24" t="s">
        <v>45</v>
      </c>
      <c r="E66" s="24" t="s">
        <v>47</v>
      </c>
      <c r="F66" s="24" t="s">
        <v>48</v>
      </c>
      <c r="G66" s="28" t="s">
        <v>49</v>
      </c>
      <c r="H66" s="25">
        <v>4</v>
      </c>
      <c r="I66" s="25">
        <v>17</v>
      </c>
      <c r="J66" s="25">
        <v>40</v>
      </c>
      <c r="K66" s="25">
        <v>55</v>
      </c>
      <c r="L66" s="25">
        <v>68</v>
      </c>
      <c r="M66" s="15"/>
      <c r="N66" s="15"/>
      <c r="O66" s="15"/>
      <c r="P66" s="15"/>
      <c r="Q66" s="15"/>
      <c r="R66" s="15"/>
      <c r="S66" s="15"/>
      <c r="T66" s="15"/>
      <c r="U66" s="15"/>
      <c r="V66" s="15"/>
      <c r="W66" s="15"/>
      <c r="X66" s="15"/>
      <c r="Y66" s="15"/>
      <c r="Z66" s="15"/>
      <c r="AA66" s="15"/>
      <c r="AB66" s="15"/>
      <c r="AC66" s="15"/>
      <c r="AD66" s="15"/>
      <c r="AE66" s="15"/>
      <c r="AF66" s="15"/>
      <c r="AG66" s="15"/>
      <c r="AH66" s="15"/>
      <c r="AI66" s="15"/>
      <c r="AJ66" s="15"/>
      <c r="AK66" s="15"/>
      <c r="AL66" s="15"/>
      <c r="AM66" s="15"/>
      <c r="AN66" s="15"/>
      <c r="AO66" s="15"/>
      <c r="AP66" s="15"/>
      <c r="AQ66" s="15"/>
      <c r="AR66" s="15"/>
      <c r="AS66" s="15"/>
      <c r="AT66" s="15"/>
      <c r="AU66" s="15"/>
      <c r="AV66" s="15"/>
      <c r="AW66" s="15"/>
      <c r="AX66" s="15"/>
      <c r="AY66" s="15"/>
      <c r="AZ66" s="15"/>
      <c r="BA66" s="15"/>
      <c r="BB66" s="15"/>
      <c r="BC66" s="15"/>
      <c r="BD66" s="15"/>
      <c r="BE66" s="15"/>
      <c r="BF66" s="15"/>
      <c r="BG66" s="15"/>
      <c r="BH66" s="15"/>
      <c r="BI66" s="15"/>
      <c r="BJ66" s="16"/>
      <c r="BK66" s="1"/>
    </row>
    <row r="67" spans="1:63" ht="15.75" x14ac:dyDescent="0.25">
      <c r="A67" s="1"/>
      <c r="B67" s="14"/>
      <c r="C67" s="15"/>
      <c r="D67" s="24"/>
      <c r="E67" s="24"/>
      <c r="F67" s="24"/>
      <c r="G67" s="28" t="s">
        <v>72</v>
      </c>
      <c r="H67" s="35">
        <f>H66/$E$19</f>
        <v>1.3407072230601643E-4</v>
      </c>
      <c r="I67" s="35">
        <f t="shared" ref="I67" si="30">I66/$E$19</f>
        <v>5.6980056980056976E-4</v>
      </c>
      <c r="J67" s="35">
        <f t="shared" ref="J67" si="31">J66/$E$19</f>
        <v>1.3407072230601643E-3</v>
      </c>
      <c r="K67" s="35">
        <f t="shared" ref="K67" si="32">K66/$E$19</f>
        <v>1.8434724317077259E-3</v>
      </c>
      <c r="L67" s="35">
        <f t="shared" ref="L67" si="33">L66/$E$19</f>
        <v>2.2792022792022791E-3</v>
      </c>
      <c r="M67" s="15"/>
      <c r="N67" s="15"/>
      <c r="O67" s="15"/>
      <c r="P67" s="15"/>
      <c r="Q67" s="15"/>
      <c r="R67" s="15"/>
      <c r="S67" s="15"/>
      <c r="T67" s="15"/>
      <c r="U67" s="15"/>
      <c r="V67" s="15"/>
      <c r="W67" s="15"/>
      <c r="X67" s="15"/>
      <c r="Y67" s="15"/>
      <c r="Z67" s="15"/>
      <c r="AA67" s="15"/>
      <c r="AB67" s="15"/>
      <c r="AC67" s="15"/>
      <c r="AD67" s="15"/>
      <c r="AE67" s="15"/>
      <c r="AF67" s="15"/>
      <c r="AG67" s="15"/>
      <c r="AH67" s="15"/>
      <c r="AI67" s="15"/>
      <c r="AJ67" s="15"/>
      <c r="AK67" s="15"/>
      <c r="AL67" s="15"/>
      <c r="AM67" s="15"/>
      <c r="AN67" s="15"/>
      <c r="AO67" s="15"/>
      <c r="AP67" s="15"/>
      <c r="AQ67" s="15"/>
      <c r="AR67" s="15"/>
      <c r="AS67" s="15"/>
      <c r="AT67" s="15"/>
      <c r="AU67" s="15"/>
      <c r="AV67" s="15"/>
      <c r="AW67" s="15"/>
      <c r="AX67" s="15"/>
      <c r="AY67" s="15"/>
      <c r="AZ67" s="15"/>
      <c r="BA67" s="15"/>
      <c r="BB67" s="15"/>
      <c r="BC67" s="15"/>
      <c r="BD67" s="15"/>
      <c r="BE67" s="15"/>
      <c r="BF67" s="15"/>
      <c r="BG67" s="15"/>
      <c r="BH67" s="15"/>
      <c r="BI67" s="15"/>
      <c r="BJ67" s="16"/>
      <c r="BK67" s="1"/>
    </row>
    <row r="68" spans="1:63" ht="15.75" x14ac:dyDescent="0.25">
      <c r="A68" s="1"/>
      <c r="B68" s="14"/>
      <c r="C68" s="15"/>
      <c r="D68" s="24" t="s">
        <v>46</v>
      </c>
      <c r="E68" s="24" t="s">
        <v>47</v>
      </c>
      <c r="F68" s="24" t="s">
        <v>48</v>
      </c>
      <c r="G68" s="28" t="s">
        <v>49</v>
      </c>
      <c r="H68" s="25">
        <v>0</v>
      </c>
      <c r="I68" s="25">
        <v>0</v>
      </c>
      <c r="J68" s="25">
        <v>226</v>
      </c>
      <c r="K68" s="25">
        <v>466</v>
      </c>
      <c r="L68" s="25">
        <v>578</v>
      </c>
      <c r="M68" s="15"/>
      <c r="N68" s="15"/>
      <c r="O68" s="15"/>
      <c r="P68" s="15"/>
      <c r="Q68" s="15"/>
      <c r="R68" s="15"/>
      <c r="S68" s="15"/>
      <c r="T68" s="15"/>
      <c r="U68" s="15"/>
      <c r="V68" s="15"/>
      <c r="W68" s="15"/>
      <c r="X68" s="15"/>
      <c r="Y68" s="15"/>
      <c r="Z68" s="15"/>
      <c r="AA68" s="15"/>
      <c r="AB68" s="15"/>
      <c r="AC68" s="15"/>
      <c r="AD68" s="15"/>
      <c r="AE68" s="15"/>
      <c r="AF68" s="15"/>
      <c r="AG68" s="15"/>
      <c r="AH68" s="15"/>
      <c r="AI68" s="15"/>
      <c r="AJ68" s="15"/>
      <c r="AK68" s="15"/>
      <c r="AL68" s="15"/>
      <c r="AM68" s="15"/>
      <c r="AN68" s="15"/>
      <c r="AO68" s="15"/>
      <c r="AP68" s="15"/>
      <c r="AQ68" s="15"/>
      <c r="AR68" s="15"/>
      <c r="AS68" s="15"/>
      <c r="AT68" s="15"/>
      <c r="AU68" s="15"/>
      <c r="AV68" s="15"/>
      <c r="AW68" s="15"/>
      <c r="AX68" s="15"/>
      <c r="AY68" s="15"/>
      <c r="AZ68" s="15"/>
      <c r="BA68" s="15"/>
      <c r="BB68" s="15"/>
      <c r="BC68" s="15"/>
      <c r="BD68" s="15"/>
      <c r="BE68" s="15"/>
      <c r="BF68" s="15"/>
      <c r="BG68" s="15"/>
      <c r="BH68" s="15"/>
      <c r="BI68" s="15"/>
      <c r="BJ68" s="16"/>
      <c r="BK68" s="1"/>
    </row>
    <row r="69" spans="1:63" ht="15.75" x14ac:dyDescent="0.25">
      <c r="A69" s="1"/>
      <c r="B69" s="14"/>
      <c r="C69" s="15"/>
      <c r="D69" s="15"/>
      <c r="E69" s="15"/>
      <c r="F69" s="15"/>
      <c r="G69" s="43"/>
      <c r="H69" s="15"/>
      <c r="I69" s="15"/>
      <c r="J69" s="15"/>
      <c r="K69" s="15"/>
      <c r="L69" s="15"/>
      <c r="M69" s="15"/>
      <c r="N69" s="15"/>
      <c r="O69" s="15"/>
      <c r="P69" s="15"/>
      <c r="Q69" s="15"/>
      <c r="R69" s="15"/>
      <c r="S69" s="15"/>
      <c r="T69" s="15"/>
      <c r="U69" s="15"/>
      <c r="V69" s="15"/>
      <c r="W69" s="15"/>
      <c r="X69" s="15"/>
      <c r="Y69" s="15"/>
      <c r="Z69" s="15"/>
      <c r="AA69" s="15"/>
      <c r="AB69" s="15"/>
      <c r="AC69" s="15"/>
      <c r="AD69" s="15"/>
      <c r="AE69" s="15"/>
      <c r="AF69" s="15"/>
      <c r="AG69" s="15"/>
      <c r="AH69" s="15"/>
      <c r="AI69" s="15"/>
      <c r="AJ69" s="15"/>
      <c r="AK69" s="15"/>
      <c r="AL69" s="15"/>
      <c r="AM69" s="15"/>
      <c r="AN69" s="15"/>
      <c r="AO69" s="15"/>
      <c r="AP69" s="15"/>
      <c r="AQ69" s="15"/>
      <c r="AR69" s="15"/>
      <c r="AS69" s="15"/>
      <c r="AT69" s="15"/>
      <c r="AU69" s="15"/>
      <c r="AV69" s="15"/>
      <c r="AW69" s="15"/>
      <c r="AX69" s="15"/>
      <c r="AY69" s="15"/>
      <c r="AZ69" s="15"/>
      <c r="BA69" s="15"/>
      <c r="BB69" s="15"/>
      <c r="BC69" s="15"/>
      <c r="BD69" s="15"/>
      <c r="BE69" s="15"/>
      <c r="BF69" s="15"/>
      <c r="BG69" s="15"/>
      <c r="BH69" s="15"/>
      <c r="BI69" s="15"/>
      <c r="BJ69" s="16"/>
      <c r="BK69" s="1"/>
    </row>
    <row r="70" spans="1:63" ht="16.5" thickBot="1" x14ac:dyDescent="0.3">
      <c r="A70" s="1"/>
      <c r="B70" s="14"/>
      <c r="C70" s="15"/>
      <c r="D70" s="30" t="s">
        <v>53</v>
      </c>
      <c r="E70" s="15"/>
      <c r="F70" s="15"/>
      <c r="G70" s="43"/>
      <c r="H70" s="26" t="s">
        <v>34</v>
      </c>
      <c r="I70" s="26" t="s">
        <v>35</v>
      </c>
      <c r="J70" s="26" t="s">
        <v>36</v>
      </c>
      <c r="K70" s="26" t="s">
        <v>37</v>
      </c>
      <c r="L70" s="26" t="s">
        <v>38</v>
      </c>
      <c r="M70" s="15"/>
      <c r="N70" s="15"/>
      <c r="O70" s="15"/>
      <c r="P70" s="15"/>
      <c r="Q70" s="15"/>
      <c r="R70" s="15"/>
      <c r="S70" s="15"/>
      <c r="T70" s="15"/>
      <c r="U70" s="15"/>
      <c r="V70" s="15"/>
      <c r="W70" s="15"/>
      <c r="X70" s="15"/>
      <c r="Y70" s="15"/>
      <c r="Z70" s="15"/>
      <c r="AA70" s="15"/>
      <c r="AB70" s="15"/>
      <c r="AC70" s="15"/>
      <c r="AD70" s="15"/>
      <c r="AE70" s="15"/>
      <c r="AF70" s="15"/>
      <c r="AG70" s="15"/>
      <c r="AH70" s="15"/>
      <c r="AI70" s="15"/>
      <c r="AJ70" s="15"/>
      <c r="AK70" s="15"/>
      <c r="AL70" s="15"/>
      <c r="AM70" s="15"/>
      <c r="AN70" s="15"/>
      <c r="AO70" s="15"/>
      <c r="AP70" s="15"/>
      <c r="AQ70" s="15"/>
      <c r="AR70" s="15"/>
      <c r="AS70" s="15"/>
      <c r="AT70" s="15"/>
      <c r="AU70" s="15"/>
      <c r="AV70" s="15"/>
      <c r="AW70" s="15"/>
      <c r="AX70" s="15"/>
      <c r="AY70" s="15"/>
      <c r="AZ70" s="15"/>
      <c r="BA70" s="15"/>
      <c r="BB70" s="15"/>
      <c r="BC70" s="15"/>
      <c r="BD70" s="15"/>
      <c r="BE70" s="15"/>
      <c r="BF70" s="15"/>
      <c r="BG70" s="15"/>
      <c r="BH70" s="15"/>
      <c r="BI70" s="15"/>
      <c r="BJ70" s="16"/>
      <c r="BK70" s="1"/>
    </row>
    <row r="71" spans="1:63" ht="16.5" thickTop="1" x14ac:dyDescent="0.25">
      <c r="A71" s="1"/>
      <c r="B71" s="14"/>
      <c r="C71" s="15"/>
      <c r="D71" s="24" t="s">
        <v>39</v>
      </c>
      <c r="E71" s="24" t="s">
        <v>57</v>
      </c>
      <c r="F71" s="24" t="s">
        <v>58</v>
      </c>
      <c r="G71" s="28" t="s">
        <v>49</v>
      </c>
      <c r="H71" s="25">
        <v>3109</v>
      </c>
      <c r="I71" s="25">
        <v>2931</v>
      </c>
      <c r="J71" s="25">
        <v>2580</v>
      </c>
      <c r="K71" s="25">
        <v>2285</v>
      </c>
      <c r="L71" s="25">
        <v>2052</v>
      </c>
      <c r="M71" s="15"/>
      <c r="N71" s="15"/>
      <c r="O71" s="15"/>
      <c r="P71" s="15"/>
      <c r="Q71" s="15"/>
      <c r="R71" s="15"/>
      <c r="S71" s="15"/>
      <c r="T71" s="15"/>
      <c r="U71" s="15"/>
      <c r="V71" s="15"/>
      <c r="W71" s="15"/>
      <c r="X71" s="15"/>
      <c r="Y71" s="15"/>
      <c r="Z71" s="15"/>
      <c r="AA71" s="15"/>
      <c r="AB71" s="15"/>
      <c r="AC71" s="15"/>
      <c r="AD71" s="15"/>
      <c r="AE71" s="15"/>
      <c r="AF71" s="15"/>
      <c r="AG71" s="15"/>
      <c r="AH71" s="15"/>
      <c r="AI71" s="15"/>
      <c r="AJ71" s="15"/>
      <c r="AK71" s="15"/>
      <c r="AL71" s="15"/>
      <c r="AM71" s="15"/>
      <c r="AN71" s="15"/>
      <c r="AO71" s="15"/>
      <c r="AP71" s="15"/>
      <c r="AQ71" s="15"/>
      <c r="AR71" s="15"/>
      <c r="AS71" s="15"/>
      <c r="AT71" s="15"/>
      <c r="AU71" s="15"/>
      <c r="AV71" s="15"/>
      <c r="AW71" s="15"/>
      <c r="AX71" s="15"/>
      <c r="AY71" s="15"/>
      <c r="AZ71" s="15"/>
      <c r="BA71" s="15"/>
      <c r="BB71" s="15"/>
      <c r="BC71" s="15"/>
      <c r="BD71" s="15"/>
      <c r="BE71" s="15"/>
      <c r="BF71" s="15"/>
      <c r="BG71" s="15"/>
      <c r="BH71" s="15"/>
      <c r="BI71" s="15"/>
      <c r="BJ71" s="16"/>
      <c r="BK71" s="1"/>
    </row>
    <row r="72" spans="1:63" ht="15.75" x14ac:dyDescent="0.25">
      <c r="A72" s="1"/>
      <c r="B72" s="14"/>
      <c r="C72" s="15"/>
      <c r="D72" s="24" t="s">
        <v>39</v>
      </c>
      <c r="E72" s="24"/>
      <c r="F72" s="24"/>
      <c r="G72" s="28" t="s">
        <v>72</v>
      </c>
      <c r="H72" s="35">
        <f>H71/$E$19</f>
        <v>0.10420646891235126</v>
      </c>
      <c r="I72" s="35">
        <f t="shared" ref="I72" si="34">I71/$E$19</f>
        <v>9.8240321769733532E-2</v>
      </c>
      <c r="J72" s="35">
        <f t="shared" ref="J72" si="35">J71/$E$19</f>
        <v>8.6475615887380591E-2</v>
      </c>
      <c r="K72" s="35">
        <f t="shared" ref="K72" si="36">K71/$E$19</f>
        <v>7.6587900117311883E-2</v>
      </c>
      <c r="L72" s="35">
        <f t="shared" ref="L72" si="37">L71/$E$19</f>
        <v>6.8778280542986431E-2</v>
      </c>
      <c r="M72" s="15"/>
      <c r="N72" s="15"/>
      <c r="O72" s="15"/>
      <c r="P72" s="15"/>
      <c r="Q72" s="15"/>
      <c r="R72" s="15"/>
      <c r="S72" s="15"/>
      <c r="T72" s="15"/>
      <c r="U72" s="15"/>
      <c r="V72" s="15"/>
      <c r="W72" s="15"/>
      <c r="X72" s="15"/>
      <c r="Y72" s="15"/>
      <c r="Z72" s="15"/>
      <c r="AA72" s="15"/>
      <c r="AB72" s="15"/>
      <c r="AC72" s="15"/>
      <c r="AD72" s="15"/>
      <c r="AE72" s="15"/>
      <c r="AF72" s="15"/>
      <c r="AG72" s="15"/>
      <c r="AH72" s="15"/>
      <c r="AI72" s="15"/>
      <c r="AJ72" s="15"/>
      <c r="AK72" s="15"/>
      <c r="AL72" s="15"/>
      <c r="AM72" s="15"/>
      <c r="AN72" s="15"/>
      <c r="AO72" s="15"/>
      <c r="AP72" s="15"/>
      <c r="AQ72" s="15"/>
      <c r="AR72" s="15"/>
      <c r="AS72" s="15"/>
      <c r="AT72" s="15"/>
      <c r="AU72" s="15"/>
      <c r="AV72" s="15"/>
      <c r="AW72" s="15"/>
      <c r="AX72" s="15"/>
      <c r="AY72" s="15"/>
      <c r="AZ72" s="15"/>
      <c r="BA72" s="15"/>
      <c r="BB72" s="15"/>
      <c r="BC72" s="15"/>
      <c r="BD72" s="15"/>
      <c r="BE72" s="15"/>
      <c r="BF72" s="15"/>
      <c r="BG72" s="15"/>
      <c r="BH72" s="15"/>
      <c r="BI72" s="15"/>
      <c r="BJ72" s="16"/>
      <c r="BK72" s="1"/>
    </row>
    <row r="73" spans="1:63" ht="15.75" x14ac:dyDescent="0.25">
      <c r="A73" s="1"/>
      <c r="B73" s="14"/>
      <c r="C73" s="15"/>
      <c r="D73" s="24" t="s">
        <v>51</v>
      </c>
      <c r="E73" s="24" t="s">
        <v>57</v>
      </c>
      <c r="F73" s="24" t="s">
        <v>58</v>
      </c>
      <c r="G73" s="28" t="s">
        <v>49</v>
      </c>
      <c r="H73" s="25">
        <v>2302</v>
      </c>
      <c r="I73" s="25">
        <v>175</v>
      </c>
      <c r="J73" s="25">
        <v>156</v>
      </c>
      <c r="K73" s="25">
        <v>139</v>
      </c>
      <c r="L73" s="25">
        <v>124</v>
      </c>
      <c r="M73" s="15"/>
      <c r="N73" s="15"/>
      <c r="O73" s="15"/>
      <c r="P73" s="15"/>
      <c r="Q73" s="15"/>
      <c r="R73" s="15"/>
      <c r="S73" s="15"/>
      <c r="T73" s="15"/>
      <c r="U73" s="15"/>
      <c r="V73" s="15"/>
      <c r="W73" s="15"/>
      <c r="X73" s="15"/>
      <c r="Y73" s="15"/>
      <c r="Z73" s="15"/>
      <c r="AA73" s="15"/>
      <c r="AB73" s="15"/>
      <c r="AC73" s="15"/>
      <c r="AD73" s="15"/>
      <c r="AE73" s="15"/>
      <c r="AF73" s="15"/>
      <c r="AG73" s="15"/>
      <c r="AH73" s="15"/>
      <c r="AI73" s="15"/>
      <c r="AJ73" s="15"/>
      <c r="AK73" s="15"/>
      <c r="AL73" s="15"/>
      <c r="AM73" s="15"/>
      <c r="AN73" s="15"/>
      <c r="AO73" s="15"/>
      <c r="AP73" s="15"/>
      <c r="AQ73" s="15"/>
      <c r="AR73" s="15"/>
      <c r="AS73" s="15"/>
      <c r="AT73" s="15"/>
      <c r="AU73" s="15"/>
      <c r="AV73" s="15"/>
      <c r="AW73" s="15"/>
      <c r="AX73" s="15"/>
      <c r="AY73" s="15"/>
      <c r="AZ73" s="15"/>
      <c r="BA73" s="15"/>
      <c r="BB73" s="15"/>
      <c r="BC73" s="15"/>
      <c r="BD73" s="15"/>
      <c r="BE73" s="15"/>
      <c r="BF73" s="15"/>
      <c r="BG73" s="15"/>
      <c r="BH73" s="15"/>
      <c r="BI73" s="15"/>
      <c r="BJ73" s="16"/>
      <c r="BK73" s="1"/>
    </row>
    <row r="74" spans="1:63" ht="15.75" x14ac:dyDescent="0.25">
      <c r="A74" s="1"/>
      <c r="B74" s="14"/>
      <c r="C74" s="15"/>
      <c r="D74" s="24" t="s">
        <v>41</v>
      </c>
      <c r="E74" s="24" t="s">
        <v>57</v>
      </c>
      <c r="F74" s="24" t="s">
        <v>58</v>
      </c>
      <c r="G74" s="28" t="s">
        <v>49</v>
      </c>
      <c r="H74" s="25">
        <v>842</v>
      </c>
      <c r="I74" s="25">
        <v>668</v>
      </c>
      <c r="J74" s="25">
        <v>488</v>
      </c>
      <c r="K74" s="25">
        <v>301</v>
      </c>
      <c r="L74" s="25">
        <v>108</v>
      </c>
      <c r="M74" s="15"/>
      <c r="N74" s="15"/>
      <c r="O74" s="15"/>
      <c r="P74" s="15"/>
      <c r="Q74" s="15"/>
      <c r="R74" s="15"/>
      <c r="S74" s="15"/>
      <c r="T74" s="15"/>
      <c r="U74" s="15"/>
      <c r="V74" s="15"/>
      <c r="W74" s="15"/>
      <c r="X74" s="15"/>
      <c r="Y74" s="15"/>
      <c r="Z74" s="15"/>
      <c r="AA74" s="15"/>
      <c r="AB74" s="15"/>
      <c r="AC74" s="15"/>
      <c r="AD74" s="15"/>
      <c r="AE74" s="15"/>
      <c r="AF74" s="15"/>
      <c r="AG74" s="15"/>
      <c r="AH74" s="15"/>
      <c r="AI74" s="15"/>
      <c r="AJ74" s="15"/>
      <c r="AK74" s="15"/>
      <c r="AL74" s="15"/>
      <c r="AM74" s="15"/>
      <c r="AN74" s="15"/>
      <c r="AO74" s="15"/>
      <c r="AP74" s="15"/>
      <c r="AQ74" s="15"/>
      <c r="AR74" s="15"/>
      <c r="AS74" s="15"/>
      <c r="AT74" s="15"/>
      <c r="AU74" s="15"/>
      <c r="AV74" s="15"/>
      <c r="AW74" s="15"/>
      <c r="AX74" s="15"/>
      <c r="AY74" s="15"/>
      <c r="AZ74" s="15"/>
      <c r="BA74" s="15"/>
      <c r="BB74" s="15"/>
      <c r="BC74" s="15"/>
      <c r="BD74" s="15"/>
      <c r="BE74" s="15"/>
      <c r="BF74" s="15"/>
      <c r="BG74" s="15"/>
      <c r="BH74" s="15"/>
      <c r="BI74" s="15"/>
      <c r="BJ74" s="16"/>
      <c r="BK74" s="1"/>
    </row>
    <row r="75" spans="1:63" ht="15.75" x14ac:dyDescent="0.25">
      <c r="A75" s="1"/>
      <c r="B75" s="14"/>
      <c r="C75" s="15"/>
      <c r="D75" s="24"/>
      <c r="E75" s="24"/>
      <c r="F75" s="24"/>
      <c r="G75" s="28" t="s">
        <v>72</v>
      </c>
      <c r="H75" s="35">
        <f>H74/$E$19</f>
        <v>2.8221887045416456E-2</v>
      </c>
      <c r="I75" s="35">
        <f t="shared" ref="I75" si="38">I74/$E$19</f>
        <v>2.2389810625104742E-2</v>
      </c>
      <c r="J75" s="35">
        <f t="shared" ref="J75" si="39">J74/$E$19</f>
        <v>1.6356628121334003E-2</v>
      </c>
      <c r="K75" s="35">
        <f t="shared" ref="K75" si="40">K74/$E$19</f>
        <v>1.0088821853527736E-2</v>
      </c>
      <c r="L75" s="35">
        <f t="shared" ref="L75" si="41">L74/$E$19</f>
        <v>3.6199095022624436E-3</v>
      </c>
      <c r="M75" s="15"/>
      <c r="N75" s="15"/>
      <c r="O75" s="15"/>
      <c r="P75" s="15"/>
      <c r="Q75" s="15"/>
      <c r="R75" s="15"/>
      <c r="S75" s="15"/>
      <c r="T75" s="15"/>
      <c r="U75" s="15"/>
      <c r="V75" s="15"/>
      <c r="W75" s="15"/>
      <c r="X75" s="15"/>
      <c r="Y75" s="15"/>
      <c r="Z75" s="15"/>
      <c r="AA75" s="15"/>
      <c r="AB75" s="15"/>
      <c r="AC75" s="15"/>
      <c r="AD75" s="15"/>
      <c r="AE75" s="15"/>
      <c r="AF75" s="15"/>
      <c r="AG75" s="15"/>
      <c r="AH75" s="15"/>
      <c r="AI75" s="15"/>
      <c r="AJ75" s="15"/>
      <c r="AK75" s="15"/>
      <c r="AL75" s="15"/>
      <c r="AM75" s="15"/>
      <c r="AN75" s="15"/>
      <c r="AO75" s="15"/>
      <c r="AP75" s="15"/>
      <c r="AQ75" s="15"/>
      <c r="AR75" s="15"/>
      <c r="AS75" s="15"/>
      <c r="AT75" s="15"/>
      <c r="AU75" s="15"/>
      <c r="AV75" s="15"/>
      <c r="AW75" s="15"/>
      <c r="AX75" s="15"/>
      <c r="AY75" s="15"/>
      <c r="AZ75" s="15"/>
      <c r="BA75" s="15"/>
      <c r="BB75" s="15"/>
      <c r="BC75" s="15"/>
      <c r="BD75" s="15"/>
      <c r="BE75" s="15"/>
      <c r="BF75" s="15"/>
      <c r="BG75" s="15"/>
      <c r="BH75" s="15"/>
      <c r="BI75" s="15"/>
      <c r="BJ75" s="16"/>
      <c r="BK75" s="1"/>
    </row>
    <row r="76" spans="1:63" ht="15.75" x14ac:dyDescent="0.25">
      <c r="A76" s="1"/>
      <c r="B76" s="14"/>
      <c r="C76" s="15"/>
      <c r="D76" s="24" t="s">
        <v>43</v>
      </c>
      <c r="E76" s="24" t="s">
        <v>57</v>
      </c>
      <c r="F76" s="24" t="s">
        <v>58</v>
      </c>
      <c r="G76" s="28" t="s">
        <v>49</v>
      </c>
      <c r="H76" s="25">
        <v>678</v>
      </c>
      <c r="I76" s="25">
        <v>699</v>
      </c>
      <c r="J76" s="25">
        <v>720</v>
      </c>
      <c r="K76" s="25">
        <v>741</v>
      </c>
      <c r="L76" s="25">
        <v>764</v>
      </c>
      <c r="M76" s="15"/>
      <c r="N76" s="15"/>
      <c r="O76" s="15"/>
      <c r="P76" s="15"/>
      <c r="Q76" s="15"/>
      <c r="R76" s="15"/>
      <c r="S76" s="15"/>
      <c r="T76" s="15"/>
      <c r="U76" s="15"/>
      <c r="V76" s="15"/>
      <c r="W76" s="15"/>
      <c r="X76" s="15"/>
      <c r="Y76" s="15"/>
      <c r="Z76" s="15"/>
      <c r="AA76" s="15"/>
      <c r="AB76" s="15"/>
      <c r="AC76" s="15"/>
      <c r="AD76" s="15"/>
      <c r="AE76" s="15"/>
      <c r="AF76" s="15"/>
      <c r="AG76" s="15"/>
      <c r="AH76" s="15"/>
      <c r="AI76" s="15"/>
      <c r="AJ76" s="15"/>
      <c r="AK76" s="15"/>
      <c r="AL76" s="15"/>
      <c r="AM76" s="15"/>
      <c r="AN76" s="15"/>
      <c r="AO76" s="15"/>
      <c r="AP76" s="15"/>
      <c r="AQ76" s="15"/>
      <c r="AR76" s="15"/>
      <c r="AS76" s="15"/>
      <c r="AT76" s="15"/>
      <c r="AU76" s="15"/>
      <c r="AV76" s="15"/>
      <c r="AW76" s="15"/>
      <c r="AX76" s="15"/>
      <c r="AY76" s="15"/>
      <c r="AZ76" s="15"/>
      <c r="BA76" s="15"/>
      <c r="BB76" s="15"/>
      <c r="BC76" s="15"/>
      <c r="BD76" s="15"/>
      <c r="BE76" s="15"/>
      <c r="BF76" s="15"/>
      <c r="BG76" s="15"/>
      <c r="BH76" s="15"/>
      <c r="BI76" s="15"/>
      <c r="BJ76" s="16"/>
      <c r="BK76" s="1"/>
    </row>
    <row r="77" spans="1:63" ht="15.75" x14ac:dyDescent="0.25">
      <c r="A77" s="1"/>
      <c r="B77" s="14"/>
      <c r="C77" s="15"/>
      <c r="D77" s="24" t="s">
        <v>42</v>
      </c>
      <c r="E77" s="24" t="s">
        <v>57</v>
      </c>
      <c r="F77" s="24" t="s">
        <v>58</v>
      </c>
      <c r="G77" s="28" t="s">
        <v>49</v>
      </c>
      <c r="H77" s="25">
        <v>1548</v>
      </c>
      <c r="I77" s="25">
        <v>1602</v>
      </c>
      <c r="J77" s="25">
        <v>1658</v>
      </c>
      <c r="K77" s="25">
        <v>1716</v>
      </c>
      <c r="L77" s="25">
        <v>1776</v>
      </c>
      <c r="M77" s="15"/>
      <c r="N77" s="15"/>
      <c r="O77" s="15"/>
      <c r="P77" s="15"/>
      <c r="Q77" s="15"/>
      <c r="R77" s="15"/>
      <c r="S77" s="15"/>
      <c r="T77" s="15"/>
      <c r="U77" s="15"/>
      <c r="V77" s="15"/>
      <c r="W77" s="15"/>
      <c r="X77" s="15"/>
      <c r="Y77" s="15"/>
      <c r="Z77" s="15"/>
      <c r="AA77" s="15"/>
      <c r="AB77" s="15"/>
      <c r="AC77" s="15"/>
      <c r="AD77" s="15"/>
      <c r="AE77" s="15"/>
      <c r="AF77" s="15"/>
      <c r="AG77" s="15"/>
      <c r="AH77" s="15"/>
      <c r="AI77" s="15"/>
      <c r="AJ77" s="15"/>
      <c r="AK77" s="15"/>
      <c r="AL77" s="15"/>
      <c r="AM77" s="15"/>
      <c r="AN77" s="15"/>
      <c r="AO77" s="15"/>
      <c r="AP77" s="15"/>
      <c r="AQ77" s="15"/>
      <c r="AR77" s="15"/>
      <c r="AS77" s="15"/>
      <c r="AT77" s="15"/>
      <c r="AU77" s="15"/>
      <c r="AV77" s="15"/>
      <c r="AW77" s="15"/>
      <c r="AX77" s="15"/>
      <c r="AY77" s="15"/>
      <c r="AZ77" s="15"/>
      <c r="BA77" s="15"/>
      <c r="BB77" s="15"/>
      <c r="BC77" s="15"/>
      <c r="BD77" s="15"/>
      <c r="BE77" s="15"/>
      <c r="BF77" s="15"/>
      <c r="BG77" s="15"/>
      <c r="BH77" s="15"/>
      <c r="BI77" s="15"/>
      <c r="BJ77" s="16"/>
      <c r="BK77" s="1"/>
    </row>
    <row r="78" spans="1:63" ht="15.75" x14ac:dyDescent="0.25">
      <c r="A78" s="1"/>
      <c r="B78" s="14"/>
      <c r="C78" s="15"/>
      <c r="D78" s="24" t="s">
        <v>44</v>
      </c>
      <c r="E78" s="24" t="s">
        <v>57</v>
      </c>
      <c r="F78" s="24" t="s">
        <v>58</v>
      </c>
      <c r="G78" s="28" t="s">
        <v>49</v>
      </c>
      <c r="H78" s="25">
        <v>224</v>
      </c>
      <c r="I78" s="25">
        <v>442</v>
      </c>
      <c r="J78" s="25">
        <v>298</v>
      </c>
      <c r="K78" s="25">
        <v>774</v>
      </c>
      <c r="L78" s="25">
        <v>1090</v>
      </c>
      <c r="M78" s="15"/>
      <c r="N78" s="15"/>
      <c r="O78" s="15"/>
      <c r="P78" s="15"/>
      <c r="Q78" s="15"/>
      <c r="R78" s="15"/>
      <c r="S78" s="15"/>
      <c r="T78" s="15"/>
      <c r="U78" s="15"/>
      <c r="V78" s="15"/>
      <c r="W78" s="15"/>
      <c r="X78" s="15"/>
      <c r="Y78" s="15"/>
      <c r="Z78" s="15"/>
      <c r="AA78" s="15"/>
      <c r="AB78" s="15"/>
      <c r="AC78" s="15"/>
      <c r="AD78" s="15"/>
      <c r="AE78" s="15"/>
      <c r="AF78" s="15"/>
      <c r="AG78" s="15"/>
      <c r="AH78" s="15"/>
      <c r="AI78" s="15"/>
      <c r="AJ78" s="15"/>
      <c r="AK78" s="15"/>
      <c r="AL78" s="15"/>
      <c r="AM78" s="15"/>
      <c r="AN78" s="15"/>
      <c r="AO78" s="15"/>
      <c r="AP78" s="15"/>
      <c r="AQ78" s="15"/>
      <c r="AR78" s="15"/>
      <c r="AS78" s="15"/>
      <c r="AT78" s="15"/>
      <c r="AU78" s="15"/>
      <c r="AV78" s="15"/>
      <c r="AW78" s="15"/>
      <c r="AX78" s="15"/>
      <c r="AY78" s="15"/>
      <c r="AZ78" s="15"/>
      <c r="BA78" s="15"/>
      <c r="BB78" s="15"/>
      <c r="BC78" s="15"/>
      <c r="BD78" s="15"/>
      <c r="BE78" s="15"/>
      <c r="BF78" s="15"/>
      <c r="BG78" s="15"/>
      <c r="BH78" s="15"/>
      <c r="BI78" s="15"/>
      <c r="BJ78" s="16"/>
      <c r="BK78" s="1"/>
    </row>
    <row r="79" spans="1:63" ht="15.75" x14ac:dyDescent="0.25">
      <c r="A79" s="1"/>
      <c r="B79" s="14"/>
      <c r="C79" s="15"/>
      <c r="D79" s="24" t="s">
        <v>46</v>
      </c>
      <c r="E79" s="24" t="s">
        <v>57</v>
      </c>
      <c r="F79" s="24" t="s">
        <v>58</v>
      </c>
      <c r="G79" s="28" t="s">
        <v>49</v>
      </c>
      <c r="H79" s="25">
        <v>0</v>
      </c>
      <c r="I79" s="25">
        <v>0</v>
      </c>
      <c r="J79" s="25">
        <v>111</v>
      </c>
      <c r="K79" s="25">
        <v>269</v>
      </c>
      <c r="L79" s="25">
        <v>393</v>
      </c>
      <c r="M79" s="15"/>
      <c r="N79" s="15"/>
      <c r="O79" s="15"/>
      <c r="P79" s="15"/>
      <c r="Q79" s="15"/>
      <c r="R79" s="15"/>
      <c r="S79" s="15"/>
      <c r="T79" s="15"/>
      <c r="U79" s="15"/>
      <c r="V79" s="15"/>
      <c r="W79" s="15"/>
      <c r="X79" s="15"/>
      <c r="Y79" s="15"/>
      <c r="Z79" s="15"/>
      <c r="AA79" s="15"/>
      <c r="AB79" s="15"/>
      <c r="AC79" s="15"/>
      <c r="AD79" s="15"/>
      <c r="AE79" s="15"/>
      <c r="AF79" s="15"/>
      <c r="AG79" s="15"/>
      <c r="AH79" s="15"/>
      <c r="AI79" s="15"/>
      <c r="AJ79" s="15"/>
      <c r="AK79" s="15"/>
      <c r="AL79" s="15"/>
      <c r="AM79" s="15"/>
      <c r="AN79" s="15"/>
      <c r="AO79" s="15"/>
      <c r="AP79" s="15"/>
      <c r="AQ79" s="15"/>
      <c r="AR79" s="15"/>
      <c r="AS79" s="15"/>
      <c r="AT79" s="15"/>
      <c r="AU79" s="15"/>
      <c r="AV79" s="15"/>
      <c r="AW79" s="15"/>
      <c r="AX79" s="15"/>
      <c r="AY79" s="15"/>
      <c r="AZ79" s="15"/>
      <c r="BA79" s="15"/>
      <c r="BB79" s="15"/>
      <c r="BC79" s="15"/>
      <c r="BD79" s="15"/>
      <c r="BE79" s="15"/>
      <c r="BF79" s="15"/>
      <c r="BG79" s="15"/>
      <c r="BH79" s="15"/>
      <c r="BI79" s="15"/>
      <c r="BJ79" s="16"/>
      <c r="BK79" s="1"/>
    </row>
    <row r="80" spans="1:63" ht="15.75" x14ac:dyDescent="0.25">
      <c r="A80" s="1"/>
      <c r="B80" s="14"/>
      <c r="C80" s="15"/>
      <c r="D80" s="24" t="s">
        <v>52</v>
      </c>
      <c r="E80" s="24" t="s">
        <v>57</v>
      </c>
      <c r="F80" s="24" t="s">
        <v>58</v>
      </c>
      <c r="G80" s="28" t="s">
        <v>49</v>
      </c>
      <c r="H80" s="25">
        <v>-7500</v>
      </c>
      <c r="I80" s="25"/>
      <c r="J80" s="25"/>
      <c r="K80" s="25"/>
      <c r="L80" s="25"/>
      <c r="M80" s="15"/>
      <c r="N80" s="15"/>
      <c r="O80" s="15"/>
      <c r="P80" s="15"/>
      <c r="Q80" s="15"/>
      <c r="R80" s="15"/>
      <c r="S80" s="15"/>
      <c r="T80" s="15"/>
      <c r="U80" s="15"/>
      <c r="V80" s="15"/>
      <c r="W80" s="15"/>
      <c r="X80" s="15"/>
      <c r="Y80" s="15"/>
      <c r="Z80" s="15"/>
      <c r="AA80" s="15"/>
      <c r="AB80" s="15"/>
      <c r="AC80" s="15"/>
      <c r="AD80" s="15"/>
      <c r="AE80" s="15"/>
      <c r="AF80" s="15"/>
      <c r="AG80" s="15"/>
      <c r="AH80" s="15"/>
      <c r="AI80" s="15"/>
      <c r="AJ80" s="15"/>
      <c r="AK80" s="15"/>
      <c r="AL80" s="15"/>
      <c r="AM80" s="15"/>
      <c r="AN80" s="15"/>
      <c r="AO80" s="15"/>
      <c r="AP80" s="15"/>
      <c r="AQ80" s="15"/>
      <c r="AR80" s="15"/>
      <c r="AS80" s="15"/>
      <c r="AT80" s="15"/>
      <c r="AU80" s="15"/>
      <c r="AV80" s="15"/>
      <c r="AW80" s="15"/>
      <c r="AX80" s="15"/>
      <c r="AY80" s="15"/>
      <c r="AZ80" s="15"/>
      <c r="BA80" s="15"/>
      <c r="BB80" s="15"/>
      <c r="BC80" s="15"/>
      <c r="BD80" s="15"/>
      <c r="BE80" s="15"/>
      <c r="BF80" s="15"/>
      <c r="BG80" s="15"/>
      <c r="BH80" s="15"/>
      <c r="BI80" s="15"/>
      <c r="BJ80" s="16"/>
      <c r="BK80" s="1"/>
    </row>
    <row r="81" spans="1:63" ht="15.75" x14ac:dyDescent="0.25">
      <c r="A81" s="1"/>
      <c r="B81" s="14"/>
      <c r="C81" s="15"/>
      <c r="D81" s="15"/>
      <c r="E81" s="15"/>
      <c r="F81" s="15"/>
      <c r="G81" s="43"/>
      <c r="H81" s="15"/>
      <c r="I81" s="15"/>
      <c r="J81" s="15"/>
      <c r="K81" s="15"/>
      <c r="L81" s="15"/>
      <c r="M81" s="15"/>
      <c r="N81" s="15"/>
      <c r="O81" s="15"/>
      <c r="P81" s="15"/>
      <c r="Q81" s="15"/>
      <c r="R81" s="15"/>
      <c r="S81" s="15"/>
      <c r="T81" s="15"/>
      <c r="U81" s="15"/>
      <c r="V81" s="15"/>
      <c r="W81" s="15"/>
      <c r="X81" s="15"/>
      <c r="Y81" s="15"/>
      <c r="Z81" s="15"/>
      <c r="AA81" s="15"/>
      <c r="AB81" s="15"/>
      <c r="AC81" s="15"/>
      <c r="AD81" s="15"/>
      <c r="AE81" s="15"/>
      <c r="AF81" s="15"/>
      <c r="AG81" s="15"/>
      <c r="AH81" s="15"/>
      <c r="AI81" s="15"/>
      <c r="AJ81" s="15"/>
      <c r="AK81" s="15"/>
      <c r="AL81" s="15"/>
      <c r="AM81" s="15"/>
      <c r="AN81" s="15"/>
      <c r="AO81" s="15"/>
      <c r="AP81" s="15"/>
      <c r="AQ81" s="15"/>
      <c r="AR81" s="15"/>
      <c r="AS81" s="15"/>
      <c r="AT81" s="15"/>
      <c r="AU81" s="15"/>
      <c r="AV81" s="15"/>
      <c r="AW81" s="15"/>
      <c r="AX81" s="15"/>
      <c r="AY81" s="15"/>
      <c r="AZ81" s="15"/>
      <c r="BA81" s="15"/>
      <c r="BB81" s="15"/>
      <c r="BC81" s="15"/>
      <c r="BD81" s="15"/>
      <c r="BE81" s="15"/>
      <c r="BF81" s="15"/>
      <c r="BG81" s="15"/>
      <c r="BH81" s="15"/>
      <c r="BI81" s="15"/>
      <c r="BJ81" s="16"/>
      <c r="BK81" s="1"/>
    </row>
    <row r="82" spans="1:63" ht="16.5" thickBot="1" x14ac:dyDescent="0.3">
      <c r="A82" s="1"/>
      <c r="B82" s="14"/>
      <c r="C82" s="15"/>
      <c r="D82" s="30" t="s">
        <v>86</v>
      </c>
      <c r="E82" s="15"/>
      <c r="F82" s="15"/>
      <c r="G82" s="26" t="s">
        <v>87</v>
      </c>
      <c r="H82" s="26">
        <v>1</v>
      </c>
      <c r="I82" s="26">
        <v>2</v>
      </c>
      <c r="J82" s="26">
        <v>3</v>
      </c>
      <c r="K82" s="26">
        <v>4</v>
      </c>
      <c r="L82" s="26">
        <v>5</v>
      </c>
      <c r="M82" s="15"/>
      <c r="N82" s="15"/>
      <c r="O82" s="15"/>
      <c r="P82" s="15"/>
      <c r="Q82" s="15"/>
      <c r="R82" s="15"/>
      <c r="S82" s="15"/>
      <c r="T82" s="15"/>
      <c r="U82" s="15"/>
      <c r="V82" s="15"/>
      <c r="W82" s="15"/>
      <c r="X82" s="15"/>
      <c r="Y82" s="15"/>
      <c r="Z82" s="15"/>
      <c r="AA82" s="15"/>
      <c r="AB82" s="15"/>
      <c r="AC82" s="15"/>
      <c r="AD82" s="15"/>
      <c r="AE82" s="15"/>
      <c r="AF82" s="15"/>
      <c r="AG82" s="15"/>
      <c r="AH82" s="15"/>
      <c r="AI82" s="15"/>
      <c r="AJ82" s="15"/>
      <c r="AK82" s="15"/>
      <c r="AL82" s="15"/>
      <c r="AM82" s="15"/>
      <c r="AN82" s="15"/>
      <c r="AO82" s="15"/>
      <c r="AP82" s="15"/>
      <c r="AQ82" s="15"/>
      <c r="AR82" s="15"/>
      <c r="AS82" s="15"/>
      <c r="AT82" s="15"/>
      <c r="AU82" s="15"/>
      <c r="AV82" s="15"/>
      <c r="AW82" s="15"/>
      <c r="AX82" s="15"/>
      <c r="AY82" s="15"/>
      <c r="AZ82" s="15"/>
      <c r="BA82" s="15"/>
      <c r="BB82" s="15"/>
      <c r="BC82" s="15"/>
      <c r="BD82" s="15"/>
      <c r="BE82" s="15"/>
      <c r="BF82" s="15"/>
      <c r="BG82" s="15"/>
      <c r="BH82" s="15"/>
      <c r="BI82" s="15"/>
      <c r="BJ82" s="16"/>
      <c r="BK82" s="1"/>
    </row>
    <row r="83" spans="1:63" ht="16.5" thickTop="1" x14ac:dyDescent="0.25">
      <c r="A83" s="1"/>
      <c r="B83" s="14"/>
      <c r="C83" s="15"/>
      <c r="D83" s="24" t="s">
        <v>89</v>
      </c>
      <c r="E83" s="24"/>
      <c r="F83" s="24"/>
      <c r="G83" s="28" t="s">
        <v>72</v>
      </c>
      <c r="H83" s="35">
        <f>AVERAGE(SUM(H59,H62,H67),SUM(H72,H75))</f>
        <v>0.32984749455337686</v>
      </c>
      <c r="I83" s="35">
        <f t="shared" ref="I83:L83" si="42">AVERAGE(SUM(I59,I62,I67),SUM(I72,I75))</f>
        <v>0.10103904809787162</v>
      </c>
      <c r="J83" s="35">
        <f t="shared" si="42"/>
        <v>8.562091503267974E-2</v>
      </c>
      <c r="K83" s="35">
        <f t="shared" si="42"/>
        <v>7.0839617898441426E-2</v>
      </c>
      <c r="L83" s="35">
        <f t="shared" si="42"/>
        <v>5.9242500418971014E-2</v>
      </c>
      <c r="M83" s="15"/>
      <c r="N83" s="15"/>
      <c r="O83" s="15"/>
      <c r="P83" s="15"/>
      <c r="Q83" s="15"/>
      <c r="R83" s="15"/>
      <c r="S83" s="15"/>
      <c r="T83" s="15"/>
      <c r="U83" s="15"/>
      <c r="V83" s="15"/>
      <c r="W83" s="15"/>
      <c r="X83" s="15"/>
      <c r="Y83" s="15"/>
      <c r="Z83" s="15"/>
      <c r="AA83" s="15"/>
      <c r="AB83" s="15"/>
      <c r="AC83" s="15"/>
      <c r="AD83" s="15"/>
      <c r="AE83" s="15"/>
      <c r="AF83" s="15"/>
      <c r="AG83" s="15"/>
      <c r="AH83" s="15"/>
      <c r="AI83" s="15"/>
      <c r="AJ83" s="15"/>
      <c r="AK83" s="15"/>
      <c r="AL83" s="15"/>
      <c r="AM83" s="15"/>
      <c r="AN83" s="15"/>
      <c r="AO83" s="15"/>
      <c r="AP83" s="15"/>
      <c r="AQ83" s="15"/>
      <c r="AR83" s="15"/>
      <c r="AS83" s="15"/>
      <c r="AT83" s="15"/>
      <c r="AU83" s="15"/>
      <c r="AV83" s="15"/>
      <c r="AW83" s="15"/>
      <c r="AX83" s="15"/>
      <c r="AY83" s="15"/>
      <c r="AZ83" s="15"/>
      <c r="BA83" s="15"/>
      <c r="BB83" s="15"/>
      <c r="BC83" s="15"/>
      <c r="BD83" s="15"/>
      <c r="BE83" s="15"/>
      <c r="BF83" s="15"/>
      <c r="BG83" s="15"/>
      <c r="BH83" s="15"/>
      <c r="BI83" s="15"/>
      <c r="BJ83" s="16"/>
      <c r="BK83" s="1"/>
    </row>
    <row r="84" spans="1:63" ht="15.75" x14ac:dyDescent="0.25">
      <c r="A84" s="1"/>
      <c r="B84" s="14"/>
      <c r="C84" s="15"/>
      <c r="D84" s="24" t="s">
        <v>51</v>
      </c>
      <c r="E84" s="24"/>
      <c r="F84" s="24"/>
      <c r="G84" s="28" t="s">
        <v>49</v>
      </c>
      <c r="H84" s="31">
        <f>H73</f>
        <v>2302</v>
      </c>
      <c r="I84" s="31">
        <f t="shared" ref="I84:L84" si="43">AVERAGE(I73,I60)</f>
        <v>137</v>
      </c>
      <c r="J84" s="31">
        <f t="shared" si="43"/>
        <v>129.5</v>
      </c>
      <c r="K84" s="31">
        <f t="shared" si="43"/>
        <v>114</v>
      </c>
      <c r="L84" s="31">
        <f t="shared" si="43"/>
        <v>108.5</v>
      </c>
      <c r="M84" s="15"/>
      <c r="N84" s="15"/>
      <c r="O84" s="15"/>
      <c r="P84" s="15"/>
      <c r="Q84" s="15"/>
      <c r="R84" s="15"/>
      <c r="S84" s="15"/>
      <c r="T84" s="15"/>
      <c r="U84" s="15"/>
      <c r="V84" s="15"/>
      <c r="W84" s="15"/>
      <c r="X84" s="15"/>
      <c r="Y84" s="15"/>
      <c r="Z84" s="15"/>
      <c r="AA84" s="15"/>
      <c r="AB84" s="15"/>
      <c r="AC84" s="15"/>
      <c r="AD84" s="15"/>
      <c r="AE84" s="15"/>
      <c r="AF84" s="15"/>
      <c r="AG84" s="15"/>
      <c r="AH84" s="15"/>
      <c r="AI84" s="15"/>
      <c r="AJ84" s="15"/>
      <c r="AK84" s="15"/>
      <c r="AL84" s="15"/>
      <c r="AM84" s="15"/>
      <c r="AN84" s="15"/>
      <c r="AO84" s="15"/>
      <c r="AP84" s="15"/>
      <c r="AQ84" s="15"/>
      <c r="AR84" s="15"/>
      <c r="AS84" s="15"/>
      <c r="AT84" s="15"/>
      <c r="AU84" s="15"/>
      <c r="AV84" s="15"/>
      <c r="AW84" s="15"/>
      <c r="AX84" s="15"/>
      <c r="AY84" s="15"/>
      <c r="AZ84" s="15"/>
      <c r="BA84" s="15"/>
      <c r="BB84" s="15"/>
      <c r="BC84" s="15"/>
      <c r="BD84" s="15"/>
      <c r="BE84" s="15"/>
      <c r="BF84" s="15"/>
      <c r="BG84" s="15"/>
      <c r="BH84" s="15"/>
      <c r="BI84" s="15"/>
      <c r="BJ84" s="16"/>
      <c r="BK84" s="1"/>
    </row>
    <row r="85" spans="1:63" ht="15.75" x14ac:dyDescent="0.25">
      <c r="A85" s="1"/>
      <c r="B85" s="14"/>
      <c r="C85" s="15"/>
      <c r="D85" s="24" t="s">
        <v>42</v>
      </c>
      <c r="E85" s="24"/>
      <c r="F85" s="24"/>
      <c r="G85" s="28" t="s">
        <v>49</v>
      </c>
      <c r="H85" s="31">
        <f>AVERAGE(H77,H63)</f>
        <v>1342.5</v>
      </c>
      <c r="I85" s="31">
        <f t="shared" ref="I85:L85" si="44">AVERAGE(I77,I63)</f>
        <v>1363</v>
      </c>
      <c r="J85" s="31">
        <f t="shared" si="44"/>
        <v>1384.5</v>
      </c>
      <c r="K85" s="31">
        <f t="shared" si="44"/>
        <v>1407.5</v>
      </c>
      <c r="L85" s="31">
        <f t="shared" si="44"/>
        <v>1431.5</v>
      </c>
      <c r="M85" s="15"/>
      <c r="N85" s="15"/>
      <c r="O85" s="15"/>
      <c r="P85" s="15"/>
      <c r="Q85" s="15"/>
      <c r="R85" s="15"/>
      <c r="S85" s="15"/>
      <c r="T85" s="15"/>
      <c r="U85" s="15"/>
      <c r="V85" s="15"/>
      <c r="W85" s="15"/>
      <c r="X85" s="15"/>
      <c r="Y85" s="15"/>
      <c r="Z85" s="15"/>
      <c r="AA85" s="15"/>
      <c r="AB85" s="15"/>
      <c r="AC85" s="15"/>
      <c r="AD85" s="15"/>
      <c r="AE85" s="15"/>
      <c r="AF85" s="15"/>
      <c r="AG85" s="15"/>
      <c r="AH85" s="15"/>
      <c r="AI85" s="15"/>
      <c r="AJ85" s="15"/>
      <c r="AK85" s="15"/>
      <c r="AL85" s="15"/>
      <c r="AM85" s="15"/>
      <c r="AN85" s="15"/>
      <c r="AO85" s="15"/>
      <c r="AP85" s="15"/>
      <c r="AQ85" s="15"/>
      <c r="AR85" s="15"/>
      <c r="AS85" s="15"/>
      <c r="AT85" s="15"/>
      <c r="AU85" s="15"/>
      <c r="AV85" s="15"/>
      <c r="AW85" s="15"/>
      <c r="AX85" s="15"/>
      <c r="AY85" s="15"/>
      <c r="AZ85" s="15"/>
      <c r="BA85" s="15"/>
      <c r="BB85" s="15"/>
      <c r="BC85" s="15"/>
      <c r="BD85" s="15"/>
      <c r="BE85" s="15"/>
      <c r="BF85" s="15"/>
      <c r="BG85" s="15"/>
      <c r="BH85" s="15"/>
      <c r="BI85" s="15"/>
      <c r="BJ85" s="16"/>
      <c r="BK85" s="1"/>
    </row>
    <row r="86" spans="1:63" ht="15.75" x14ac:dyDescent="0.25">
      <c r="A86" s="1"/>
      <c r="B86" s="14"/>
      <c r="C86" s="15"/>
      <c r="D86" s="24" t="s">
        <v>44</v>
      </c>
      <c r="E86" s="24"/>
      <c r="F86" s="24"/>
      <c r="G86" s="28" t="s">
        <v>49</v>
      </c>
      <c r="H86" s="31">
        <f>AVERAGE(H65,H78)</f>
        <v>204</v>
      </c>
      <c r="I86" s="31">
        <f t="shared" ref="I86:L86" si="45">AVERAGE(I65,I78)</f>
        <v>385</v>
      </c>
      <c r="J86" s="31">
        <f t="shared" si="45"/>
        <v>1264.5</v>
      </c>
      <c r="K86" s="31">
        <f t="shared" si="45"/>
        <v>637.5</v>
      </c>
      <c r="L86" s="31">
        <f t="shared" si="45"/>
        <v>637</v>
      </c>
      <c r="M86" s="15"/>
      <c r="N86" s="15"/>
      <c r="O86" s="15"/>
      <c r="P86" s="15"/>
      <c r="Q86" s="15"/>
      <c r="R86" s="15"/>
      <c r="S86" s="15"/>
      <c r="T86" s="15"/>
      <c r="U86" s="15"/>
      <c r="V86" s="15"/>
      <c r="W86" s="15"/>
      <c r="X86" s="15"/>
      <c r="Y86" s="15"/>
      <c r="Z86" s="15"/>
      <c r="AA86" s="15"/>
      <c r="AB86" s="15"/>
      <c r="AC86" s="15"/>
      <c r="AD86" s="15"/>
      <c r="AE86" s="15"/>
      <c r="AF86" s="15"/>
      <c r="AG86" s="15"/>
      <c r="AH86" s="15"/>
      <c r="AI86" s="15"/>
      <c r="AJ86" s="15"/>
      <c r="AK86" s="15"/>
      <c r="AL86" s="15"/>
      <c r="AM86" s="15"/>
      <c r="AN86" s="15"/>
      <c r="AO86" s="15"/>
      <c r="AP86" s="15"/>
      <c r="AQ86" s="15"/>
      <c r="AR86" s="15"/>
      <c r="AS86" s="15"/>
      <c r="AT86" s="15"/>
      <c r="AU86" s="15"/>
      <c r="AV86" s="15"/>
      <c r="AW86" s="15"/>
      <c r="AX86" s="15"/>
      <c r="AY86" s="15"/>
      <c r="AZ86" s="15"/>
      <c r="BA86" s="15"/>
      <c r="BB86" s="15"/>
      <c r="BC86" s="15"/>
      <c r="BD86" s="15"/>
      <c r="BE86" s="15"/>
      <c r="BF86" s="15"/>
      <c r="BG86" s="15"/>
      <c r="BH86" s="15"/>
      <c r="BI86" s="15"/>
      <c r="BJ86" s="16"/>
      <c r="BK86" s="1"/>
    </row>
    <row r="87" spans="1:63" ht="15.75" x14ac:dyDescent="0.25">
      <c r="A87" s="1"/>
      <c r="B87" s="14"/>
      <c r="C87" s="15"/>
      <c r="D87" s="24" t="s">
        <v>46</v>
      </c>
      <c r="E87" s="24"/>
      <c r="F87" s="24"/>
      <c r="G87" s="28" t="s">
        <v>49</v>
      </c>
      <c r="H87" s="31">
        <f>AVERAGE(H68,H79)</f>
        <v>0</v>
      </c>
      <c r="I87" s="31">
        <f t="shared" ref="I87:L87" si="46">AVERAGE(I68,I79)</f>
        <v>0</v>
      </c>
      <c r="J87" s="31">
        <f t="shared" si="46"/>
        <v>168.5</v>
      </c>
      <c r="K87" s="31">
        <f t="shared" si="46"/>
        <v>367.5</v>
      </c>
      <c r="L87" s="31">
        <f t="shared" si="46"/>
        <v>485.5</v>
      </c>
      <c r="M87" s="15"/>
      <c r="N87" s="15"/>
      <c r="O87" s="15"/>
      <c r="P87" s="15"/>
      <c r="Q87" s="15"/>
      <c r="R87" s="15"/>
      <c r="S87" s="15"/>
      <c r="T87" s="15"/>
      <c r="U87" s="15"/>
      <c r="V87" s="15"/>
      <c r="W87" s="15"/>
      <c r="X87" s="15"/>
      <c r="Y87" s="15"/>
      <c r="Z87" s="15"/>
      <c r="AA87" s="15"/>
      <c r="AB87" s="15"/>
      <c r="AC87" s="15"/>
      <c r="AD87" s="15"/>
      <c r="AE87" s="15"/>
      <c r="AF87" s="15"/>
      <c r="AG87" s="15"/>
      <c r="AH87" s="15"/>
      <c r="AI87" s="15"/>
      <c r="AJ87" s="15"/>
      <c r="AK87" s="15"/>
      <c r="AL87" s="15"/>
      <c r="AM87" s="15"/>
      <c r="AN87" s="15"/>
      <c r="AO87" s="15"/>
      <c r="AP87" s="15"/>
      <c r="AQ87" s="15"/>
      <c r="AR87" s="15"/>
      <c r="AS87" s="15"/>
      <c r="AT87" s="15"/>
      <c r="AU87" s="15"/>
      <c r="AV87" s="15"/>
      <c r="AW87" s="15"/>
      <c r="AX87" s="15"/>
      <c r="AY87" s="15"/>
      <c r="AZ87" s="15"/>
      <c r="BA87" s="15"/>
      <c r="BB87" s="15"/>
      <c r="BC87" s="15"/>
      <c r="BD87" s="15"/>
      <c r="BE87" s="15"/>
      <c r="BF87" s="15"/>
      <c r="BG87" s="15"/>
      <c r="BH87" s="15"/>
      <c r="BI87" s="15"/>
      <c r="BJ87" s="16"/>
      <c r="BK87" s="1"/>
    </row>
    <row r="88" spans="1:63" ht="15.75" x14ac:dyDescent="0.25">
      <c r="A88" s="1"/>
      <c r="B88" s="14"/>
      <c r="C88" s="15"/>
      <c r="D88" s="15"/>
      <c r="E88" s="15"/>
      <c r="F88" s="15"/>
      <c r="G88" s="43"/>
      <c r="H88" s="15"/>
      <c r="I88" s="15"/>
      <c r="J88" s="15"/>
      <c r="K88" s="15"/>
      <c r="L88" s="15"/>
      <c r="M88" s="15"/>
      <c r="N88" s="15"/>
      <c r="O88" s="15"/>
      <c r="P88" s="15"/>
      <c r="Q88" s="15"/>
      <c r="R88" s="15"/>
      <c r="S88" s="15"/>
      <c r="T88" s="15"/>
      <c r="U88" s="15"/>
      <c r="V88" s="15"/>
      <c r="W88" s="15"/>
      <c r="X88" s="15"/>
      <c r="Y88" s="15"/>
      <c r="Z88" s="15"/>
      <c r="AA88" s="15"/>
      <c r="AB88" s="15"/>
      <c r="AC88" s="15"/>
      <c r="AD88" s="15"/>
      <c r="AE88" s="15"/>
      <c r="AF88" s="15"/>
      <c r="AG88" s="15"/>
      <c r="AH88" s="15"/>
      <c r="AI88" s="15"/>
      <c r="AJ88" s="15"/>
      <c r="AK88" s="15"/>
      <c r="AL88" s="15"/>
      <c r="AM88" s="15"/>
      <c r="AN88" s="15"/>
      <c r="AO88" s="15"/>
      <c r="AP88" s="15"/>
      <c r="AQ88" s="15"/>
      <c r="AR88" s="15"/>
      <c r="AS88" s="15"/>
      <c r="AT88" s="15"/>
      <c r="AU88" s="15"/>
      <c r="AV88" s="15"/>
      <c r="AW88" s="15"/>
      <c r="AX88" s="15"/>
      <c r="AY88" s="15"/>
      <c r="AZ88" s="15"/>
      <c r="BA88" s="15"/>
      <c r="BB88" s="15"/>
      <c r="BC88" s="15"/>
      <c r="BD88" s="15"/>
      <c r="BE88" s="15"/>
      <c r="BF88" s="15"/>
      <c r="BG88" s="15"/>
      <c r="BH88" s="15"/>
      <c r="BI88" s="15"/>
      <c r="BJ88" s="16"/>
      <c r="BK88" s="1"/>
    </row>
    <row r="89" spans="1:63" ht="16.5" thickBot="1" x14ac:dyDescent="0.3">
      <c r="A89" s="1"/>
      <c r="B89" s="14"/>
      <c r="C89" s="15"/>
      <c r="D89" s="17" t="s">
        <v>2</v>
      </c>
      <c r="E89" s="17" t="s">
        <v>8</v>
      </c>
      <c r="F89" s="17" t="s">
        <v>9</v>
      </c>
      <c r="G89" s="17" t="s">
        <v>3</v>
      </c>
      <c r="H89" s="26">
        <v>1998</v>
      </c>
      <c r="I89" s="26">
        <v>1999</v>
      </c>
      <c r="J89" s="26">
        <v>2000</v>
      </c>
      <c r="K89" s="26">
        <v>2001</v>
      </c>
      <c r="L89" s="26">
        <v>2002</v>
      </c>
      <c r="M89" s="26">
        <v>2003</v>
      </c>
      <c r="N89" s="26">
        <v>2004</v>
      </c>
      <c r="O89" s="26">
        <v>2005</v>
      </c>
      <c r="P89" s="26">
        <v>2006</v>
      </c>
      <c r="Q89" s="26">
        <v>2007</v>
      </c>
      <c r="R89" s="26">
        <v>2008</v>
      </c>
      <c r="S89" s="26">
        <v>2009</v>
      </c>
      <c r="T89" s="26">
        <v>2010</v>
      </c>
      <c r="U89" s="26">
        <v>2011</v>
      </c>
      <c r="V89" s="26">
        <v>2012</v>
      </c>
      <c r="W89" s="26">
        <v>2013</v>
      </c>
      <c r="X89" s="26">
        <v>2014</v>
      </c>
      <c r="Y89" s="26">
        <v>2015</v>
      </c>
      <c r="Z89" s="26">
        <v>2016</v>
      </c>
      <c r="AA89" s="26">
        <v>2017</v>
      </c>
      <c r="AB89" s="26">
        <v>2018</v>
      </c>
      <c r="AC89" s="26">
        <v>2019</v>
      </c>
      <c r="AD89" s="26">
        <v>2020</v>
      </c>
      <c r="AE89" s="26">
        <v>2021</v>
      </c>
      <c r="AF89" s="26">
        <v>2022</v>
      </c>
      <c r="AG89" s="26">
        <v>2023</v>
      </c>
      <c r="AH89" s="26">
        <v>2024</v>
      </c>
      <c r="AI89" s="26">
        <v>2025</v>
      </c>
      <c r="AJ89" s="26">
        <v>2026</v>
      </c>
      <c r="AK89" s="26">
        <v>2027</v>
      </c>
      <c r="AL89" s="26">
        <v>2028</v>
      </c>
      <c r="AM89" s="26">
        <v>2029</v>
      </c>
      <c r="AN89" s="26">
        <v>2030</v>
      </c>
      <c r="AO89" s="26">
        <v>2031</v>
      </c>
      <c r="AP89" s="26">
        <v>2032</v>
      </c>
      <c r="AQ89" s="26">
        <v>2033</v>
      </c>
      <c r="AR89" s="26">
        <v>2034</v>
      </c>
      <c r="AS89" s="26">
        <v>2035</v>
      </c>
      <c r="AT89" s="26">
        <v>2036</v>
      </c>
      <c r="AU89" s="26">
        <v>2037</v>
      </c>
      <c r="AV89" s="26">
        <v>2038</v>
      </c>
      <c r="AW89" s="26">
        <v>2039</v>
      </c>
      <c r="AX89" s="26">
        <v>2040</v>
      </c>
      <c r="AY89" s="26">
        <v>2041</v>
      </c>
      <c r="AZ89" s="26">
        <v>2042</v>
      </c>
      <c r="BA89" s="26">
        <v>2043</v>
      </c>
      <c r="BB89" s="26">
        <v>2044</v>
      </c>
      <c r="BC89" s="26">
        <v>2045</v>
      </c>
      <c r="BD89" s="26">
        <v>2046</v>
      </c>
      <c r="BE89" s="26">
        <v>2047</v>
      </c>
      <c r="BF89" s="26">
        <v>2048</v>
      </c>
      <c r="BG89" s="26">
        <v>2049</v>
      </c>
      <c r="BH89" s="26">
        <v>2050</v>
      </c>
      <c r="BI89" s="15"/>
      <c r="BJ89" s="16"/>
      <c r="BK89" s="1"/>
    </row>
    <row r="90" spans="1:63" ht="16.5" customHeight="1" thickTop="1" x14ac:dyDescent="0.25">
      <c r="A90" s="1"/>
      <c r="B90" s="14"/>
      <c r="C90" s="15"/>
      <c r="D90" s="24" t="s">
        <v>7</v>
      </c>
      <c r="E90" s="24" t="s">
        <v>10</v>
      </c>
      <c r="F90" s="24" t="s">
        <v>14</v>
      </c>
      <c r="G90" s="28" t="s">
        <v>17</v>
      </c>
      <c r="H90" s="27">
        <v>0.79700000000000004</v>
      </c>
      <c r="I90" s="27">
        <v>0.80600000000000005</v>
      </c>
      <c r="J90" s="27">
        <v>0.751</v>
      </c>
      <c r="K90" s="27">
        <v>0.70899999999999996</v>
      </c>
      <c r="L90" s="27">
        <v>0.71099999999999997</v>
      </c>
      <c r="M90" s="27">
        <v>0.63800000000000001</v>
      </c>
      <c r="N90" s="27">
        <v>0.59599999999999997</v>
      </c>
      <c r="O90" s="27">
        <v>0.57299999999999995</v>
      </c>
      <c r="P90" s="27">
        <v>0.56599999999999995</v>
      </c>
      <c r="Q90" s="27">
        <v>0.58299999999999996</v>
      </c>
      <c r="R90" s="27">
        <v>0.56299999999999994</v>
      </c>
      <c r="S90" s="27">
        <v>0.54200000000000004</v>
      </c>
      <c r="T90" s="27">
        <v>0.45400000000000001</v>
      </c>
      <c r="U90" s="27">
        <v>0.39600000000000002</v>
      </c>
      <c r="V90" s="27">
        <v>0.34599999999999997</v>
      </c>
      <c r="W90" s="27">
        <v>0.29899999999999999</v>
      </c>
      <c r="X90" s="27"/>
      <c r="Y90" s="27"/>
      <c r="Z90" s="27"/>
      <c r="AA90" s="27"/>
      <c r="AB90" s="27"/>
      <c r="AC90" s="27"/>
      <c r="AD90" s="27"/>
      <c r="AE90" s="27"/>
      <c r="AF90" s="27"/>
      <c r="AG90" s="27"/>
      <c r="AH90" s="27"/>
      <c r="AI90" s="27"/>
      <c r="AJ90" s="27"/>
      <c r="AK90" s="27"/>
      <c r="AL90" s="27"/>
      <c r="AM90" s="27"/>
      <c r="AN90" s="27"/>
      <c r="AO90" s="27"/>
      <c r="AP90" s="27"/>
      <c r="AQ90" s="27"/>
      <c r="AR90" s="27"/>
      <c r="AS90" s="27"/>
      <c r="AT90" s="27"/>
      <c r="AU90" s="27"/>
      <c r="AV90" s="27"/>
      <c r="AW90" s="27"/>
      <c r="AX90" s="27"/>
      <c r="AY90" s="27"/>
      <c r="AZ90" s="27"/>
      <c r="BA90" s="27"/>
      <c r="BB90" s="27"/>
      <c r="BC90" s="27"/>
      <c r="BD90" s="27"/>
      <c r="BE90" s="27"/>
      <c r="BF90" s="27"/>
      <c r="BG90" s="27"/>
      <c r="BH90" s="27"/>
      <c r="BI90" s="15"/>
      <c r="BJ90" s="16"/>
      <c r="BK90" s="1"/>
    </row>
    <row r="91" spans="1:63" ht="15.75" x14ac:dyDescent="0.25">
      <c r="A91" s="1"/>
      <c r="B91" s="14"/>
      <c r="C91" s="15"/>
      <c r="D91" s="24" t="s">
        <v>15</v>
      </c>
      <c r="E91" s="24" t="s">
        <v>11</v>
      </c>
      <c r="F91" s="24" t="s">
        <v>14</v>
      </c>
      <c r="G91" s="28" t="s">
        <v>17</v>
      </c>
      <c r="H91" s="27"/>
      <c r="I91" s="27"/>
      <c r="J91" s="27"/>
      <c r="K91" s="27"/>
      <c r="L91" s="27"/>
      <c r="M91" s="27"/>
      <c r="N91" s="27"/>
      <c r="O91" s="27"/>
      <c r="P91" s="27"/>
      <c r="Q91" s="27"/>
      <c r="R91" s="27"/>
      <c r="S91" s="27"/>
      <c r="T91" s="27"/>
      <c r="U91" s="27"/>
      <c r="V91" s="27"/>
      <c r="W91" s="27"/>
      <c r="X91" s="27">
        <v>0.28699999999999998</v>
      </c>
      <c r="Y91" s="27">
        <v>0.28499999999999998</v>
      </c>
      <c r="Z91" s="27">
        <v>0.27900000000000003</v>
      </c>
      <c r="AA91" s="27">
        <v>0.27300000000000002</v>
      </c>
      <c r="AB91" s="27">
        <v>0.26800000000000002</v>
      </c>
      <c r="AC91" s="27">
        <v>0.26100000000000001</v>
      </c>
      <c r="AD91" s="27">
        <v>0.254</v>
      </c>
      <c r="AE91" s="27">
        <v>0.247</v>
      </c>
      <c r="AF91" s="27">
        <v>0.23799999999999999</v>
      </c>
      <c r="AG91" s="27">
        <v>0.22900000000000001</v>
      </c>
      <c r="AH91" s="27">
        <v>0.221</v>
      </c>
      <c r="AI91" s="27">
        <v>0.214</v>
      </c>
      <c r="AJ91" s="27">
        <v>0.20599999999999999</v>
      </c>
      <c r="AK91" s="27">
        <v>0.2</v>
      </c>
      <c r="AL91" s="27">
        <v>0.193</v>
      </c>
      <c r="AM91" s="27">
        <v>0.187</v>
      </c>
      <c r="AN91" s="27">
        <v>0.18099999999999999</v>
      </c>
      <c r="AO91" s="27"/>
      <c r="AP91" s="27"/>
      <c r="AQ91" s="27"/>
      <c r="AR91" s="27"/>
      <c r="AS91" s="27"/>
      <c r="AT91" s="27"/>
      <c r="AU91" s="27"/>
      <c r="AV91" s="27"/>
      <c r="AW91" s="27"/>
      <c r="AX91" s="27"/>
      <c r="AY91" s="27"/>
      <c r="AZ91" s="27"/>
      <c r="BA91" s="27"/>
      <c r="BB91" s="27"/>
      <c r="BC91" s="27"/>
      <c r="BD91" s="27"/>
      <c r="BE91" s="27"/>
      <c r="BF91" s="27"/>
      <c r="BG91" s="27"/>
      <c r="BH91" s="27"/>
      <c r="BI91" s="15"/>
      <c r="BJ91" s="16"/>
      <c r="BK91" s="1"/>
    </row>
    <row r="92" spans="1:63" ht="15.75" x14ac:dyDescent="0.25">
      <c r="A92" s="1"/>
      <c r="B92" s="14"/>
      <c r="C92" s="15"/>
      <c r="D92" s="24" t="s">
        <v>15</v>
      </c>
      <c r="E92" s="24" t="s">
        <v>12</v>
      </c>
      <c r="F92" s="24" t="s">
        <v>14</v>
      </c>
      <c r="G92" s="28" t="s">
        <v>17</v>
      </c>
      <c r="H92" s="27"/>
      <c r="I92" s="27"/>
      <c r="J92" s="27"/>
      <c r="K92" s="27"/>
      <c r="L92" s="27"/>
      <c r="M92" s="27"/>
      <c r="N92" s="27"/>
      <c r="O92" s="27"/>
      <c r="P92" s="27"/>
      <c r="Q92" s="27"/>
      <c r="R92" s="27"/>
      <c r="S92" s="27"/>
      <c r="T92" s="27"/>
      <c r="U92" s="27"/>
      <c r="V92" s="27"/>
      <c r="W92" s="27"/>
      <c r="X92" s="27">
        <v>0.31900000000000001</v>
      </c>
      <c r="Y92" s="27">
        <v>0.314</v>
      </c>
      <c r="Z92" s="27">
        <v>0.30499999999999999</v>
      </c>
      <c r="AA92" s="27">
        <v>0.28499999999999998</v>
      </c>
      <c r="AB92" s="27">
        <v>0.27800000000000002</v>
      </c>
      <c r="AC92" s="27">
        <v>0.27100000000000002</v>
      </c>
      <c r="AD92" s="27">
        <v>0.26400000000000001</v>
      </c>
      <c r="AE92" s="27">
        <v>0.25700000000000001</v>
      </c>
      <c r="AF92" s="27">
        <v>0.249</v>
      </c>
      <c r="AG92" s="27">
        <v>0.24199999999999999</v>
      </c>
      <c r="AH92" s="27">
        <v>0.23499999999999999</v>
      </c>
      <c r="AI92" s="27">
        <v>0.22800000000000001</v>
      </c>
      <c r="AJ92" s="27">
        <v>0.222</v>
      </c>
      <c r="AK92" s="27">
        <v>0.215</v>
      </c>
      <c r="AL92" s="27">
        <v>0.20799999999999999</v>
      </c>
      <c r="AM92" s="27">
        <v>0.20200000000000001</v>
      </c>
      <c r="AN92" s="27">
        <v>0.19500000000000001</v>
      </c>
      <c r="AO92" s="27">
        <v>0.189</v>
      </c>
      <c r="AP92" s="27">
        <v>0.183</v>
      </c>
      <c r="AQ92" s="27">
        <v>0.17699999999999999</v>
      </c>
      <c r="AR92" s="27">
        <v>0.17</v>
      </c>
      <c r="AS92" s="27">
        <v>0.16</v>
      </c>
      <c r="AT92" s="27"/>
      <c r="AU92" s="27"/>
      <c r="AV92" s="27"/>
      <c r="AW92" s="27"/>
      <c r="AX92" s="27"/>
      <c r="AY92" s="27"/>
      <c r="AZ92" s="27"/>
      <c r="BA92" s="27"/>
      <c r="BB92" s="27"/>
      <c r="BC92" s="27"/>
      <c r="BD92" s="27"/>
      <c r="BE92" s="27"/>
      <c r="BF92" s="27"/>
      <c r="BG92" s="27"/>
      <c r="BH92" s="27"/>
      <c r="BI92" s="15"/>
      <c r="BJ92" s="16"/>
      <c r="BK92" s="1"/>
    </row>
    <row r="93" spans="1:63" ht="15.75" x14ac:dyDescent="0.25">
      <c r="A93" s="1"/>
      <c r="B93" s="14"/>
      <c r="C93" s="15"/>
      <c r="D93" s="24" t="s">
        <v>15</v>
      </c>
      <c r="E93" s="24" t="s">
        <v>13</v>
      </c>
      <c r="F93" s="24" t="s">
        <v>14</v>
      </c>
      <c r="G93" s="28" t="s">
        <v>17</v>
      </c>
      <c r="H93" s="27"/>
      <c r="I93" s="27"/>
      <c r="J93" s="27"/>
      <c r="K93" s="27"/>
      <c r="L93" s="27"/>
      <c r="M93" s="27"/>
      <c r="N93" s="27"/>
      <c r="O93" s="27"/>
      <c r="P93" s="27"/>
      <c r="Q93" s="27"/>
      <c r="R93" s="27"/>
      <c r="S93" s="27"/>
      <c r="T93" s="27"/>
      <c r="U93" s="27"/>
      <c r="V93" s="27"/>
      <c r="W93" s="27"/>
      <c r="X93" s="27"/>
      <c r="Y93" s="27"/>
      <c r="Z93" s="27">
        <v>0.27600000000000002</v>
      </c>
      <c r="AA93" s="29">
        <f>Z93+Z93*((AD93/Z93)^(1/(AD$89-Z$89))-1)</f>
        <v>0.26680015170760768</v>
      </c>
      <c r="AB93" s="29">
        <f>AA93+AA93*((AD93/Z93)^(1/(AD$89-Z$89))-1)</f>
        <v>0.2579069599681249</v>
      </c>
      <c r="AC93" s="29">
        <f>AB93+AB93*((AD93/Z93)^(1/(AD$89-Z$89))-1)</f>
        <v>0.24931020306501314</v>
      </c>
      <c r="AD93" s="27">
        <v>0.24099999999999999</v>
      </c>
      <c r="AE93" s="29">
        <f>AD93+AD93*((AI93/AD93)^(1/(AI$89-AD$89))-1)</f>
        <v>0.23728736117923319</v>
      </c>
      <c r="AF93" s="29">
        <f>AE93+AE93*((AI93/AD93)^(1/(AI$89-AD$89))-1)</f>
        <v>0.23363191608051395</v>
      </c>
      <c r="AG93" s="29">
        <f>AF93+AF93*((AI93/AD93)^(1/(AI$89-AD$89))-1)</f>
        <v>0.23003278362652785</v>
      </c>
      <c r="AH93" s="29">
        <f>AG93+AG93*((AI93/AD93)^(1/(AI$89-AD$89))-1)</f>
        <v>0.22648909631308015</v>
      </c>
      <c r="AI93" s="27">
        <v>0.223</v>
      </c>
      <c r="AJ93" s="29">
        <f>AI93+AI93*((AN93/AI93)^(1/(AN$89-AI$89))-1)</f>
        <v>0.2209631289591566</v>
      </c>
      <c r="AK93" s="29">
        <f>AJ93+AJ93*((AN93/AI93)^(1/(AN$89-AI$89))-1)</f>
        <v>0.21894486259829984</v>
      </c>
      <c r="AL93" s="29">
        <f>AK93+AK93*((AN93/AI93)^(1/(AN$89-AI$89))-1)</f>
        <v>0.21694503098319709</v>
      </c>
      <c r="AM93" s="29">
        <f>AL93+AL93*((AN93/AI93)^(1/(AN$89-AI$89))-1)</f>
        <v>0.21496346573178654</v>
      </c>
      <c r="AN93" s="27">
        <v>0.21299999999999999</v>
      </c>
      <c r="AO93" s="29">
        <f>AN93+AN93*((AS93/AN93)^(1/(AS$89-AN$89))-1)</f>
        <v>0.21137540608906799</v>
      </c>
      <c r="AP93" s="29">
        <f>AO93+AO93*((AS93/AN93)^(1/(AS$89-AN$89))-1)</f>
        <v>0.20976320328318498</v>
      </c>
      <c r="AQ93" s="29">
        <f>AP93+AP93*((AS93/AN93)^(1/(AS$89-AN$89))-1)</f>
        <v>0.20816329707289646</v>
      </c>
      <c r="AR93" s="29">
        <f>AQ93+AQ93*((AS93/AN93)^(1/(AS$89-AN$89))-1)</f>
        <v>0.20657559366959055</v>
      </c>
      <c r="AS93" s="27">
        <v>0.20499999999999999</v>
      </c>
      <c r="AT93" s="29">
        <f>AS93+AS93*((AX93/AS93)^(1/(AX$89-AS$89))-1)</f>
        <v>0.20378569933953736</v>
      </c>
      <c r="AU93" s="29">
        <f>AT93+AT93*((AX93/AS93)^(1/(AX$89-AS$89))-1)</f>
        <v>0.20257859148928936</v>
      </c>
      <c r="AV93" s="29">
        <f>AU93+AU93*((AX93/AS93)^(1/(AX$89-AS$89))-1)</f>
        <v>0.20137863384323554</v>
      </c>
      <c r="AW93" s="29">
        <f>AV93+AV93*((AX93/AS93)^(1/(AX$89-AS$89))-1)</f>
        <v>0.20018578404772872</v>
      </c>
      <c r="AX93" s="27">
        <v>0.19900000000000001</v>
      </c>
      <c r="AY93" s="29">
        <f>AX93+AX93*((BC93/AX93)^(1/(BC$89-AX$89))-1)</f>
        <v>0.19778526017119838</v>
      </c>
      <c r="AZ93" s="29">
        <f>AY93+AY93*((BC93/AX93)^(1/(BC$89-AX$89))-1)</f>
        <v>0.19657793538185242</v>
      </c>
      <c r="BA93" s="29">
        <f>AZ93+AZ93*((BC93/AX93)^(1/(BC$89-AX$89))-1)</f>
        <v>0.19537798036892817</v>
      </c>
      <c r="BB93" s="29">
        <f>BA93+BA93*((BC93/AX93)^(1/(BC$89-AX$89))-1)</f>
        <v>0.19418535014568716</v>
      </c>
      <c r="BC93" s="27">
        <v>0.193</v>
      </c>
      <c r="BD93" s="29">
        <f>BC93+BC93*((BH93/BC93)^(1/(BH$89-BC$89))-1)</f>
        <v>0.19178479317319164</v>
      </c>
      <c r="BE93" s="29">
        <f>BD93+BD93*((BH93/BC93)^(1/(BH$89-BC$89))-1)</f>
        <v>0.19057723778489064</v>
      </c>
      <c r="BF93" s="29">
        <f>BE93+BE93*((BH93/BC93)^(1/(BH$89-BC$89))-1)</f>
        <v>0.18937728565851508</v>
      </c>
      <c r="BG93" s="29">
        <f>BF93+BF93*((BH93/BC93)^(1/(BH$89-BC$89))-1)</f>
        <v>0.18818488892082252</v>
      </c>
      <c r="BH93" s="27">
        <v>0.187</v>
      </c>
      <c r="BI93" s="15"/>
      <c r="BJ93" s="16"/>
      <c r="BK93" s="1"/>
    </row>
    <row r="94" spans="1:63" ht="15.75" x14ac:dyDescent="0.25">
      <c r="A94" s="1"/>
      <c r="B94" s="14"/>
      <c r="C94" s="15"/>
      <c r="D94" s="24" t="s">
        <v>21</v>
      </c>
      <c r="E94" s="24"/>
      <c r="F94" s="24"/>
      <c r="G94" s="28" t="s">
        <v>17</v>
      </c>
      <c r="H94" s="29">
        <f>AVERAGE(H90:H93)</f>
        <v>0.79700000000000004</v>
      </c>
      <c r="I94" s="29">
        <f t="shared" ref="I94:BH94" si="47">AVERAGE(I90:I93)</f>
        <v>0.80600000000000005</v>
      </c>
      <c r="J94" s="29">
        <f t="shared" si="47"/>
        <v>0.751</v>
      </c>
      <c r="K94" s="29">
        <f t="shared" si="47"/>
        <v>0.70899999999999996</v>
      </c>
      <c r="L94" s="29">
        <f t="shared" si="47"/>
        <v>0.71099999999999997</v>
      </c>
      <c r="M94" s="29">
        <f t="shared" si="47"/>
        <v>0.63800000000000001</v>
      </c>
      <c r="N94" s="29">
        <f t="shared" si="47"/>
        <v>0.59599999999999997</v>
      </c>
      <c r="O94" s="29">
        <f t="shared" si="47"/>
        <v>0.57299999999999995</v>
      </c>
      <c r="P94" s="29">
        <f t="shared" si="47"/>
        <v>0.56599999999999995</v>
      </c>
      <c r="Q94" s="29">
        <f t="shared" si="47"/>
        <v>0.58299999999999996</v>
      </c>
      <c r="R94" s="29">
        <f t="shared" si="47"/>
        <v>0.56299999999999994</v>
      </c>
      <c r="S94" s="29">
        <f t="shared" si="47"/>
        <v>0.54200000000000004</v>
      </c>
      <c r="T94" s="29">
        <f t="shared" si="47"/>
        <v>0.45400000000000001</v>
      </c>
      <c r="U94" s="29">
        <f t="shared" si="47"/>
        <v>0.39600000000000002</v>
      </c>
      <c r="V94" s="29">
        <f t="shared" si="47"/>
        <v>0.34599999999999997</v>
      </c>
      <c r="W94" s="29">
        <f t="shared" si="47"/>
        <v>0.29899999999999999</v>
      </c>
      <c r="X94" s="29">
        <f t="shared" si="47"/>
        <v>0.30299999999999999</v>
      </c>
      <c r="Y94" s="29">
        <f t="shared" si="47"/>
        <v>0.29949999999999999</v>
      </c>
      <c r="Z94" s="29">
        <f t="shared" si="47"/>
        <v>0.28666666666666668</v>
      </c>
      <c r="AA94" s="29">
        <f t="shared" si="47"/>
        <v>0.27493338390253591</v>
      </c>
      <c r="AB94" s="29">
        <f t="shared" si="47"/>
        <v>0.26796898665604169</v>
      </c>
      <c r="AC94" s="29">
        <f t="shared" si="47"/>
        <v>0.26043673435500442</v>
      </c>
      <c r="AD94" s="29">
        <f t="shared" si="47"/>
        <v>0.253</v>
      </c>
      <c r="AE94" s="29">
        <f t="shared" si="47"/>
        <v>0.24709578705974442</v>
      </c>
      <c r="AF94" s="29">
        <f t="shared" si="47"/>
        <v>0.24021063869350465</v>
      </c>
      <c r="AG94" s="29">
        <f t="shared" si="47"/>
        <v>0.23367759454217593</v>
      </c>
      <c r="AH94" s="29">
        <f t="shared" si="47"/>
        <v>0.22749636543769336</v>
      </c>
      <c r="AI94" s="29">
        <f t="shared" si="47"/>
        <v>0.22166666666666668</v>
      </c>
      <c r="AJ94" s="29">
        <f t="shared" si="47"/>
        <v>0.21632104298638555</v>
      </c>
      <c r="AK94" s="29">
        <f t="shared" si="47"/>
        <v>0.21131495419943327</v>
      </c>
      <c r="AL94" s="29">
        <f t="shared" si="47"/>
        <v>0.20598167699439904</v>
      </c>
      <c r="AM94" s="29">
        <f t="shared" si="47"/>
        <v>0.20132115524392882</v>
      </c>
      <c r="AN94" s="29">
        <f t="shared" si="47"/>
        <v>0.19633333333333333</v>
      </c>
      <c r="AO94" s="29">
        <f t="shared" si="47"/>
        <v>0.20018770304453398</v>
      </c>
      <c r="AP94" s="29">
        <f t="shared" si="47"/>
        <v>0.19638160164159249</v>
      </c>
      <c r="AQ94" s="29">
        <f t="shared" si="47"/>
        <v>0.19258164853644821</v>
      </c>
      <c r="AR94" s="29">
        <f t="shared" si="47"/>
        <v>0.1882877968347953</v>
      </c>
      <c r="AS94" s="29">
        <f t="shared" si="47"/>
        <v>0.1825</v>
      </c>
      <c r="AT94" s="29">
        <f t="shared" si="47"/>
        <v>0.20378569933953736</v>
      </c>
      <c r="AU94" s="29">
        <f t="shared" si="47"/>
        <v>0.20257859148928936</v>
      </c>
      <c r="AV94" s="29">
        <f t="shared" si="47"/>
        <v>0.20137863384323554</v>
      </c>
      <c r="AW94" s="29">
        <f t="shared" si="47"/>
        <v>0.20018578404772872</v>
      </c>
      <c r="AX94" s="29">
        <f t="shared" si="47"/>
        <v>0.19900000000000001</v>
      </c>
      <c r="AY94" s="29">
        <f t="shared" si="47"/>
        <v>0.19778526017119838</v>
      </c>
      <c r="AZ94" s="29">
        <f t="shared" si="47"/>
        <v>0.19657793538185242</v>
      </c>
      <c r="BA94" s="29">
        <f t="shared" si="47"/>
        <v>0.19537798036892817</v>
      </c>
      <c r="BB94" s="29">
        <f t="shared" si="47"/>
        <v>0.19418535014568716</v>
      </c>
      <c r="BC94" s="29">
        <f t="shared" si="47"/>
        <v>0.193</v>
      </c>
      <c r="BD94" s="29">
        <f t="shared" si="47"/>
        <v>0.19178479317319164</v>
      </c>
      <c r="BE94" s="29">
        <f t="shared" si="47"/>
        <v>0.19057723778489064</v>
      </c>
      <c r="BF94" s="29">
        <f t="shared" si="47"/>
        <v>0.18937728565851508</v>
      </c>
      <c r="BG94" s="29">
        <f t="shared" si="47"/>
        <v>0.18818488892082252</v>
      </c>
      <c r="BH94" s="29">
        <f t="shared" si="47"/>
        <v>0.187</v>
      </c>
      <c r="BI94" s="15"/>
      <c r="BJ94" s="16"/>
      <c r="BK94" s="1"/>
    </row>
    <row r="95" spans="1:63" ht="15.75" x14ac:dyDescent="0.25">
      <c r="A95" s="1"/>
      <c r="B95" s="14"/>
      <c r="C95" s="15"/>
      <c r="D95" s="24" t="s">
        <v>16</v>
      </c>
      <c r="E95" s="24"/>
      <c r="F95" s="24" t="s">
        <v>19</v>
      </c>
      <c r="G95" s="28" t="s">
        <v>18</v>
      </c>
      <c r="H95" s="27">
        <v>1.0720000000000001</v>
      </c>
      <c r="I95" s="27">
        <v>1.1759999999999999</v>
      </c>
      <c r="J95" s="27">
        <v>1.5229999999999999</v>
      </c>
      <c r="K95" s="27">
        <v>1.46</v>
      </c>
      <c r="L95" s="27">
        <v>1.3859999999999999</v>
      </c>
      <c r="M95" s="27">
        <v>1.603</v>
      </c>
      <c r="N95" s="27">
        <v>1.895</v>
      </c>
      <c r="O95" s="27">
        <v>2.3140000000000001</v>
      </c>
      <c r="P95" s="27">
        <v>2.6179999999999999</v>
      </c>
      <c r="Q95" s="27">
        <v>2.843</v>
      </c>
      <c r="R95" s="27">
        <v>3.2989999999999999</v>
      </c>
      <c r="S95" s="27">
        <v>2.4060000000000001</v>
      </c>
      <c r="T95" s="27">
        <v>2.835</v>
      </c>
      <c r="U95" s="27">
        <v>3.5760000000000001</v>
      </c>
      <c r="V95" s="27">
        <v>3.68</v>
      </c>
      <c r="W95" s="27">
        <v>3.5750000000000002</v>
      </c>
      <c r="X95" s="25"/>
      <c r="Y95" s="25"/>
      <c r="Z95" s="25"/>
      <c r="AA95" s="25"/>
      <c r="AB95" s="25"/>
      <c r="AC95" s="25"/>
      <c r="AD95" s="25"/>
      <c r="AE95" s="25"/>
      <c r="AF95" s="25"/>
      <c r="AG95" s="25"/>
      <c r="AH95" s="25"/>
      <c r="AI95" s="25"/>
      <c r="AJ95" s="25"/>
      <c r="AK95" s="25"/>
      <c r="AL95" s="25"/>
      <c r="AM95" s="25"/>
      <c r="AN95" s="25"/>
      <c r="AO95" s="25"/>
      <c r="AP95" s="25"/>
      <c r="AQ95" s="25"/>
      <c r="AR95" s="25"/>
      <c r="AS95" s="25"/>
      <c r="AT95" s="25"/>
      <c r="AU95" s="25"/>
      <c r="AV95" s="25"/>
      <c r="AW95" s="25"/>
      <c r="AX95" s="25"/>
      <c r="AY95" s="25"/>
      <c r="AZ95" s="25"/>
      <c r="BA95" s="25"/>
      <c r="BB95" s="25"/>
      <c r="BC95" s="25"/>
      <c r="BD95" s="25"/>
      <c r="BE95" s="25"/>
      <c r="BF95" s="25"/>
      <c r="BG95" s="25"/>
      <c r="BH95" s="25"/>
      <c r="BI95" s="15"/>
      <c r="BJ95" s="16"/>
      <c r="BK95" s="1"/>
    </row>
    <row r="96" spans="1:63" ht="15.75" x14ac:dyDescent="0.25">
      <c r="A96" s="1"/>
      <c r="B96" s="14"/>
      <c r="C96" s="15"/>
      <c r="D96" s="24" t="s">
        <v>20</v>
      </c>
      <c r="E96" s="24"/>
      <c r="F96" s="24"/>
      <c r="G96" s="28" t="s">
        <v>18</v>
      </c>
      <c r="H96" s="29"/>
      <c r="I96" s="29"/>
      <c r="J96" s="29"/>
      <c r="K96" s="29"/>
      <c r="L96" s="29"/>
      <c r="M96" s="29"/>
      <c r="N96" s="29"/>
      <c r="O96" s="29"/>
      <c r="P96" s="29"/>
      <c r="Q96" s="29"/>
      <c r="R96" s="29"/>
      <c r="S96" s="29"/>
      <c r="T96" s="29"/>
      <c r="U96" s="29"/>
      <c r="V96" s="29"/>
      <c r="W96" s="29"/>
      <c r="X96" s="29">
        <f>W95+W95*(($W$95/$R$95)^(1/($W$89-$R$89))-1)</f>
        <v>3.6329112820854501</v>
      </c>
      <c r="Y96" s="29">
        <f t="shared" ref="Y96:BH96" si="48">X96+X96*(($W$95/$R$95)^(1/($W$89-$R$89))-1)</f>
        <v>3.6917606667143352</v>
      </c>
      <c r="Z96" s="29">
        <f t="shared" si="48"/>
        <v>3.7515633501722547</v>
      </c>
      <c r="AA96" s="29">
        <f t="shared" si="48"/>
        <v>3.8123347749088312</v>
      </c>
      <c r="AB96" s="29">
        <f t="shared" si="48"/>
        <v>3.8740906335253111</v>
      </c>
      <c r="AC96" s="29">
        <f t="shared" si="48"/>
        <v>3.9368468728267612</v>
      </c>
      <c r="AD96" s="29">
        <f t="shared" si="48"/>
        <v>4.0006196979399062</v>
      </c>
      <c r="AE96" s="29">
        <f t="shared" si="48"/>
        <v>4.0654255764976703</v>
      </c>
      <c r="AF96" s="29">
        <f t="shared" si="48"/>
        <v>4.1312812428915056</v>
      </c>
      <c r="AG96" s="29">
        <f t="shared" si="48"/>
        <v>4.1982037025926013</v>
      </c>
      <c r="AH96" s="29">
        <f t="shared" si="48"/>
        <v>4.2662102365430963</v>
      </c>
      <c r="AI96" s="29">
        <f t="shared" si="48"/>
        <v>4.3353184056184197</v>
      </c>
      <c r="AJ96" s="29">
        <f t="shared" si="48"/>
        <v>4.4055460551619197</v>
      </c>
      <c r="AK96" s="29">
        <f t="shared" si="48"/>
        <v>4.4769113195929471</v>
      </c>
      <c r="AL96" s="29">
        <f t="shared" si="48"/>
        <v>4.5494326270895877</v>
      </c>
      <c r="AM96" s="29">
        <f t="shared" si="48"/>
        <v>4.6231287043472475</v>
      </c>
      <c r="AN96" s="29">
        <f t="shared" si="48"/>
        <v>4.6980185814143232</v>
      </c>
      <c r="AO96" s="29">
        <f t="shared" si="48"/>
        <v>4.7741215966062027</v>
      </c>
      <c r="AP96" s="29">
        <f t="shared" si="48"/>
        <v>4.8514574014988741</v>
      </c>
      <c r="AQ96" s="29">
        <f t="shared" si="48"/>
        <v>4.9300459660034184</v>
      </c>
      <c r="AR96" s="29">
        <f t="shared" si="48"/>
        <v>5.0099075835227076</v>
      </c>
      <c r="AS96" s="29">
        <f t="shared" si="48"/>
        <v>5.0910628761916357</v>
      </c>
      <c r="AT96" s="29">
        <f t="shared" si="48"/>
        <v>5.1735328002022358</v>
      </c>
      <c r="AU96" s="29">
        <f t="shared" si="48"/>
        <v>5.2573386512150577</v>
      </c>
      <c r="AV96" s="29">
        <f t="shared" si="48"/>
        <v>5.342502069858206</v>
      </c>
      <c r="AW96" s="29">
        <f t="shared" si="48"/>
        <v>5.4290450473154532</v>
      </c>
      <c r="AX96" s="29">
        <f t="shared" si="48"/>
        <v>5.51698993100488</v>
      </c>
      <c r="AY96" s="29">
        <f t="shared" si="48"/>
        <v>5.6063594303494986</v>
      </c>
      <c r="AZ96" s="29">
        <f t="shared" si="48"/>
        <v>5.6971766226413569</v>
      </c>
      <c r="BA96" s="29">
        <f t="shared" si="48"/>
        <v>5.7894649590006342</v>
      </c>
      <c r="BB96" s="29">
        <f t="shared" si="48"/>
        <v>5.8832482704312676</v>
      </c>
      <c r="BC96" s="29">
        <f t="shared" si="48"/>
        <v>5.9785507739746748</v>
      </c>
      <c r="BD96" s="29">
        <f t="shared" si="48"/>
        <v>6.0753970789631593</v>
      </c>
      <c r="BE96" s="29">
        <f t="shared" si="48"/>
        <v>6.1738121933746148</v>
      </c>
      <c r="BF96" s="29">
        <f t="shared" si="48"/>
        <v>6.2738215302901699</v>
      </c>
      <c r="BG96" s="29">
        <f t="shared" si="48"/>
        <v>6.3754509144564366</v>
      </c>
      <c r="BH96" s="29">
        <f t="shared" si="48"/>
        <v>6.4787265889540668</v>
      </c>
      <c r="BI96" s="15"/>
      <c r="BJ96" s="16"/>
      <c r="BK96" s="1"/>
    </row>
    <row r="97" spans="1:63" ht="15.75" x14ac:dyDescent="0.25">
      <c r="A97" s="1"/>
      <c r="B97" s="14"/>
      <c r="C97" s="15"/>
      <c r="D97" s="24" t="s">
        <v>22</v>
      </c>
      <c r="E97" s="24"/>
      <c r="F97" s="24"/>
      <c r="G97" s="28" t="s">
        <v>18</v>
      </c>
      <c r="H97" s="29">
        <f>H95</f>
        <v>1.0720000000000001</v>
      </c>
      <c r="I97" s="29">
        <f t="shared" ref="I97:W97" si="49">I95</f>
        <v>1.1759999999999999</v>
      </c>
      <c r="J97" s="29">
        <f t="shared" si="49"/>
        <v>1.5229999999999999</v>
      </c>
      <c r="K97" s="29">
        <f t="shared" si="49"/>
        <v>1.46</v>
      </c>
      <c r="L97" s="29">
        <f t="shared" si="49"/>
        <v>1.3859999999999999</v>
      </c>
      <c r="M97" s="29">
        <f t="shared" si="49"/>
        <v>1.603</v>
      </c>
      <c r="N97" s="29">
        <f t="shared" si="49"/>
        <v>1.895</v>
      </c>
      <c r="O97" s="29">
        <f t="shared" si="49"/>
        <v>2.3140000000000001</v>
      </c>
      <c r="P97" s="29">
        <f t="shared" si="49"/>
        <v>2.6179999999999999</v>
      </c>
      <c r="Q97" s="29">
        <f t="shared" si="49"/>
        <v>2.843</v>
      </c>
      <c r="R97" s="29">
        <f t="shared" si="49"/>
        <v>3.2989999999999999</v>
      </c>
      <c r="S97" s="29">
        <f t="shared" si="49"/>
        <v>2.4060000000000001</v>
      </c>
      <c r="T97" s="29">
        <f t="shared" si="49"/>
        <v>2.835</v>
      </c>
      <c r="U97" s="29">
        <f t="shared" si="49"/>
        <v>3.5760000000000001</v>
      </c>
      <c r="V97" s="29">
        <f t="shared" si="49"/>
        <v>3.68</v>
      </c>
      <c r="W97" s="29">
        <f t="shared" si="49"/>
        <v>3.5750000000000002</v>
      </c>
      <c r="X97" s="29">
        <f>X96</f>
        <v>3.6329112820854501</v>
      </c>
      <c r="Y97" s="29">
        <f t="shared" ref="Y97:BH97" si="50">Y96</f>
        <v>3.6917606667143352</v>
      </c>
      <c r="Z97" s="29">
        <f t="shared" si="50"/>
        <v>3.7515633501722547</v>
      </c>
      <c r="AA97" s="29">
        <f t="shared" si="50"/>
        <v>3.8123347749088312</v>
      </c>
      <c r="AB97" s="29">
        <f t="shared" si="50"/>
        <v>3.8740906335253111</v>
      </c>
      <c r="AC97" s="29">
        <f t="shared" si="50"/>
        <v>3.9368468728267612</v>
      </c>
      <c r="AD97" s="29">
        <f t="shared" si="50"/>
        <v>4.0006196979399062</v>
      </c>
      <c r="AE97" s="29">
        <f t="shared" si="50"/>
        <v>4.0654255764976703</v>
      </c>
      <c r="AF97" s="29">
        <f t="shared" si="50"/>
        <v>4.1312812428915056</v>
      </c>
      <c r="AG97" s="29">
        <f t="shared" si="50"/>
        <v>4.1982037025926013</v>
      </c>
      <c r="AH97" s="29">
        <f t="shared" si="50"/>
        <v>4.2662102365430963</v>
      </c>
      <c r="AI97" s="29">
        <f t="shared" si="50"/>
        <v>4.3353184056184197</v>
      </c>
      <c r="AJ97" s="29">
        <f t="shared" si="50"/>
        <v>4.4055460551619197</v>
      </c>
      <c r="AK97" s="29">
        <f t="shared" si="50"/>
        <v>4.4769113195929471</v>
      </c>
      <c r="AL97" s="29">
        <f t="shared" si="50"/>
        <v>4.5494326270895877</v>
      </c>
      <c r="AM97" s="29">
        <f t="shared" si="50"/>
        <v>4.6231287043472475</v>
      </c>
      <c r="AN97" s="29">
        <f t="shared" si="50"/>
        <v>4.6980185814143232</v>
      </c>
      <c r="AO97" s="29">
        <f t="shared" si="50"/>
        <v>4.7741215966062027</v>
      </c>
      <c r="AP97" s="29">
        <f t="shared" si="50"/>
        <v>4.8514574014988741</v>
      </c>
      <c r="AQ97" s="29">
        <f t="shared" si="50"/>
        <v>4.9300459660034184</v>
      </c>
      <c r="AR97" s="29">
        <f t="shared" si="50"/>
        <v>5.0099075835227076</v>
      </c>
      <c r="AS97" s="29">
        <f t="shared" si="50"/>
        <v>5.0910628761916357</v>
      </c>
      <c r="AT97" s="29">
        <f t="shared" si="50"/>
        <v>5.1735328002022358</v>
      </c>
      <c r="AU97" s="29">
        <f t="shared" si="50"/>
        <v>5.2573386512150577</v>
      </c>
      <c r="AV97" s="29">
        <f t="shared" si="50"/>
        <v>5.342502069858206</v>
      </c>
      <c r="AW97" s="29">
        <f t="shared" si="50"/>
        <v>5.4290450473154532</v>
      </c>
      <c r="AX97" s="29">
        <f t="shared" si="50"/>
        <v>5.51698993100488</v>
      </c>
      <c r="AY97" s="29">
        <f t="shared" si="50"/>
        <v>5.6063594303494986</v>
      </c>
      <c r="AZ97" s="29">
        <f t="shared" si="50"/>
        <v>5.6971766226413569</v>
      </c>
      <c r="BA97" s="29">
        <f t="shared" si="50"/>
        <v>5.7894649590006342</v>
      </c>
      <c r="BB97" s="29">
        <f t="shared" si="50"/>
        <v>5.8832482704312676</v>
      </c>
      <c r="BC97" s="29">
        <f t="shared" si="50"/>
        <v>5.9785507739746748</v>
      </c>
      <c r="BD97" s="29">
        <f t="shared" si="50"/>
        <v>6.0753970789631593</v>
      </c>
      <c r="BE97" s="29">
        <f t="shared" si="50"/>
        <v>6.1738121933746148</v>
      </c>
      <c r="BF97" s="29">
        <f t="shared" si="50"/>
        <v>6.2738215302901699</v>
      </c>
      <c r="BG97" s="29">
        <f t="shared" si="50"/>
        <v>6.3754509144564366</v>
      </c>
      <c r="BH97" s="29">
        <f t="shared" si="50"/>
        <v>6.4787265889540668</v>
      </c>
      <c r="BI97" s="15"/>
      <c r="BJ97" s="16"/>
      <c r="BK97" s="1"/>
    </row>
    <row r="98" spans="1:63" ht="15.75" x14ac:dyDescent="0.25">
      <c r="A98" s="1"/>
      <c r="B98" s="14"/>
      <c r="C98" s="15"/>
      <c r="D98" s="24" t="s">
        <v>23</v>
      </c>
      <c r="E98" s="24" t="s">
        <v>27</v>
      </c>
      <c r="F98" s="24" t="s">
        <v>26</v>
      </c>
      <c r="G98" s="28" t="s">
        <v>18</v>
      </c>
      <c r="H98" s="29">
        <f>28.2*0.35*H94</f>
        <v>7.86639</v>
      </c>
      <c r="I98" s="29">
        <f t="shared" ref="I98:BH98" si="51">28.2*0.35*I94</f>
        <v>7.9552199999999997</v>
      </c>
      <c r="J98" s="29">
        <f t="shared" si="51"/>
        <v>7.4123699999999992</v>
      </c>
      <c r="K98" s="29">
        <f t="shared" si="51"/>
        <v>6.9978299999999987</v>
      </c>
      <c r="L98" s="29">
        <f t="shared" si="51"/>
        <v>7.0175699999999992</v>
      </c>
      <c r="M98" s="29">
        <f t="shared" si="51"/>
        <v>6.2970599999999992</v>
      </c>
      <c r="N98" s="29">
        <f t="shared" si="51"/>
        <v>5.8825199999999995</v>
      </c>
      <c r="O98" s="29">
        <f t="shared" si="51"/>
        <v>5.6555099999999987</v>
      </c>
      <c r="P98" s="29">
        <f t="shared" si="51"/>
        <v>5.5864199999999986</v>
      </c>
      <c r="Q98" s="29">
        <f t="shared" si="51"/>
        <v>5.7542099999999996</v>
      </c>
      <c r="R98" s="29">
        <f t="shared" si="51"/>
        <v>5.5568099999999987</v>
      </c>
      <c r="S98" s="29">
        <f t="shared" si="51"/>
        <v>5.3495400000000002</v>
      </c>
      <c r="T98" s="29">
        <f t="shared" si="51"/>
        <v>4.4809799999999997</v>
      </c>
      <c r="U98" s="29">
        <f t="shared" si="51"/>
        <v>3.9085199999999998</v>
      </c>
      <c r="V98" s="29">
        <f t="shared" si="51"/>
        <v>3.4150199999999993</v>
      </c>
      <c r="W98" s="29">
        <f t="shared" si="51"/>
        <v>2.9511299999999996</v>
      </c>
      <c r="X98" s="29">
        <f t="shared" si="51"/>
        <v>2.9906099999999998</v>
      </c>
      <c r="Y98" s="29">
        <f t="shared" si="51"/>
        <v>2.9560649999999997</v>
      </c>
      <c r="Z98" s="29">
        <f t="shared" si="51"/>
        <v>2.8293999999999997</v>
      </c>
      <c r="AA98" s="29">
        <f t="shared" si="51"/>
        <v>2.7135924991180294</v>
      </c>
      <c r="AB98" s="29">
        <f t="shared" si="51"/>
        <v>2.6448538982951311</v>
      </c>
      <c r="AC98" s="29">
        <f t="shared" si="51"/>
        <v>2.5705105680838933</v>
      </c>
      <c r="AD98" s="29">
        <f t="shared" si="51"/>
        <v>2.4971099999999997</v>
      </c>
      <c r="AE98" s="29">
        <f t="shared" si="51"/>
        <v>2.4388354182796772</v>
      </c>
      <c r="AF98" s="29">
        <f t="shared" si="51"/>
        <v>2.3708790039048906</v>
      </c>
      <c r="AG98" s="29">
        <f t="shared" si="51"/>
        <v>2.3063978581312763</v>
      </c>
      <c r="AH98" s="29">
        <f t="shared" si="51"/>
        <v>2.2453891268700334</v>
      </c>
      <c r="AI98" s="29">
        <f t="shared" si="51"/>
        <v>2.1878500000000001</v>
      </c>
      <c r="AJ98" s="29">
        <f t="shared" si="51"/>
        <v>2.1350886942756251</v>
      </c>
      <c r="AK98" s="29">
        <f t="shared" si="51"/>
        <v>2.085678597948406</v>
      </c>
      <c r="AL98" s="29">
        <f t="shared" si="51"/>
        <v>2.0330391519347182</v>
      </c>
      <c r="AM98" s="29">
        <f t="shared" si="51"/>
        <v>1.9870398022575773</v>
      </c>
      <c r="AN98" s="29">
        <f t="shared" si="51"/>
        <v>1.9378099999999998</v>
      </c>
      <c r="AO98" s="29">
        <f t="shared" si="51"/>
        <v>1.9758526290495502</v>
      </c>
      <c r="AP98" s="29">
        <f t="shared" si="51"/>
        <v>1.9382864082025177</v>
      </c>
      <c r="AQ98" s="29">
        <f t="shared" si="51"/>
        <v>1.9007808710547438</v>
      </c>
      <c r="AR98" s="29">
        <f t="shared" si="51"/>
        <v>1.8584005547594293</v>
      </c>
      <c r="AS98" s="29">
        <f t="shared" si="51"/>
        <v>1.8012749999999997</v>
      </c>
      <c r="AT98" s="29">
        <f t="shared" si="51"/>
        <v>2.0113648524812335</v>
      </c>
      <c r="AU98" s="29">
        <f t="shared" si="51"/>
        <v>1.9994506979992859</v>
      </c>
      <c r="AV98" s="29">
        <f t="shared" si="51"/>
        <v>1.9876071160327347</v>
      </c>
      <c r="AW98" s="29">
        <f t="shared" si="51"/>
        <v>1.9758336885510823</v>
      </c>
      <c r="AX98" s="29">
        <f t="shared" si="51"/>
        <v>1.9641299999999999</v>
      </c>
      <c r="AY98" s="29">
        <f t="shared" si="51"/>
        <v>1.9521405178897278</v>
      </c>
      <c r="AZ98" s="29">
        <f t="shared" si="51"/>
        <v>1.9402242222188832</v>
      </c>
      <c r="BA98" s="29">
        <f t="shared" si="51"/>
        <v>1.928380666241321</v>
      </c>
      <c r="BB98" s="29">
        <f t="shared" si="51"/>
        <v>1.9166094059379322</v>
      </c>
      <c r="BC98" s="29">
        <f t="shared" si="51"/>
        <v>1.9049099999999999</v>
      </c>
      <c r="BD98" s="29">
        <f t="shared" si="51"/>
        <v>1.8929159086194014</v>
      </c>
      <c r="BE98" s="29">
        <f t="shared" si="51"/>
        <v>1.8809973369368704</v>
      </c>
      <c r="BF98" s="29">
        <f t="shared" si="51"/>
        <v>1.8691538094495437</v>
      </c>
      <c r="BG98" s="29">
        <f t="shared" si="51"/>
        <v>1.8573848536485182</v>
      </c>
      <c r="BH98" s="29">
        <f t="shared" si="51"/>
        <v>1.8456899999999998</v>
      </c>
      <c r="BI98" s="15"/>
      <c r="BJ98" s="16"/>
      <c r="BK98" s="1"/>
    </row>
    <row r="99" spans="1:63" ht="15.75" x14ac:dyDescent="0.25">
      <c r="A99" s="1"/>
      <c r="B99" s="14"/>
      <c r="C99" s="15"/>
      <c r="D99" s="24" t="s">
        <v>81</v>
      </c>
      <c r="E99" s="24" t="s">
        <v>27</v>
      </c>
      <c r="F99" s="24" t="s">
        <v>75</v>
      </c>
      <c r="G99" s="28" t="s">
        <v>74</v>
      </c>
      <c r="H99" s="27"/>
      <c r="I99" s="27"/>
      <c r="J99" s="27"/>
      <c r="K99" s="27"/>
      <c r="L99" s="27"/>
      <c r="M99" s="27"/>
      <c r="N99" s="27"/>
      <c r="O99" s="27"/>
      <c r="P99" s="27"/>
      <c r="Q99" s="27"/>
      <c r="R99" s="27"/>
      <c r="S99" s="27"/>
      <c r="T99" s="27"/>
      <c r="U99" s="27"/>
      <c r="V99" s="25">
        <v>1002.785948</v>
      </c>
      <c r="W99" s="25">
        <v>893.23030310000001</v>
      </c>
      <c r="X99" s="25">
        <v>742.05291810000006</v>
      </c>
      <c r="Y99" s="25">
        <v>684.51276629999995</v>
      </c>
      <c r="Z99" s="25">
        <v>640.38877709999997</v>
      </c>
      <c r="AA99" s="25">
        <v>601.54842689999998</v>
      </c>
      <c r="AB99" s="25">
        <v>570.93189010000003</v>
      </c>
      <c r="AC99" s="25">
        <v>543.40861380000001</v>
      </c>
      <c r="AD99" s="25">
        <v>517.08339279999996</v>
      </c>
      <c r="AE99" s="25">
        <v>497.10987239999997</v>
      </c>
      <c r="AF99" s="25">
        <v>477.95264650000001</v>
      </c>
      <c r="AG99" s="25">
        <v>460.5492635</v>
      </c>
      <c r="AH99" s="25">
        <v>443.9622104</v>
      </c>
      <c r="AI99" s="25">
        <v>427.79342600000001</v>
      </c>
      <c r="AJ99" s="25">
        <v>412.09948250000002</v>
      </c>
      <c r="AK99" s="25">
        <v>396.86848850000001</v>
      </c>
      <c r="AL99" s="25">
        <v>382.05236050000002</v>
      </c>
      <c r="AM99" s="25">
        <v>367.65033510000001</v>
      </c>
      <c r="AN99" s="25">
        <v>353.65247959999999</v>
      </c>
      <c r="AO99" s="25">
        <v>341.7237293</v>
      </c>
      <c r="AP99" s="25">
        <v>330.03121709999999</v>
      </c>
      <c r="AQ99" s="25">
        <v>318.58826579999999</v>
      </c>
      <c r="AR99" s="25">
        <v>307.37356469999997</v>
      </c>
      <c r="AS99" s="25">
        <v>303.32006510000002</v>
      </c>
      <c r="AT99" s="31">
        <f>AS99+AS99*((AS99/AN99)^(1/(AS$89-AN$89))-1)</f>
        <v>294.14808622417036</v>
      </c>
      <c r="AU99" s="31">
        <f t="shared" ref="AU99:BH99" si="52">AT99+AT99*((AT99/AO99)^(1/(AT$89-AO$89))-1)</f>
        <v>285.45930567363689</v>
      </c>
      <c r="AV99" s="31">
        <f t="shared" si="52"/>
        <v>277.29500204430104</v>
      </c>
      <c r="AW99" s="31">
        <f t="shared" si="52"/>
        <v>269.70220377577061</v>
      </c>
      <c r="AX99" s="31">
        <f t="shared" si="52"/>
        <v>262.74114695464897</v>
      </c>
      <c r="AY99" s="31">
        <f t="shared" si="52"/>
        <v>255.30156768239931</v>
      </c>
      <c r="AZ99" s="31">
        <f t="shared" si="52"/>
        <v>248.17096674851624</v>
      </c>
      <c r="BA99" s="31">
        <f t="shared" si="52"/>
        <v>241.31944952317912</v>
      </c>
      <c r="BB99" s="31">
        <f t="shared" si="52"/>
        <v>234.705022242853</v>
      </c>
      <c r="BC99" s="31">
        <f t="shared" si="52"/>
        <v>228.27058946432541</v>
      </c>
      <c r="BD99" s="31">
        <f t="shared" si="52"/>
        <v>221.93936242218362</v>
      </c>
      <c r="BE99" s="31">
        <f t="shared" si="52"/>
        <v>215.80947318136941</v>
      </c>
      <c r="BF99" s="31">
        <f t="shared" si="52"/>
        <v>209.86229166768678</v>
      </c>
      <c r="BG99" s="31">
        <f t="shared" si="52"/>
        <v>204.0811195161553</v>
      </c>
      <c r="BH99" s="31">
        <f t="shared" si="52"/>
        <v>198.45357052913778</v>
      </c>
      <c r="BI99" s="36"/>
      <c r="BJ99" s="16"/>
      <c r="BK99" s="1"/>
    </row>
    <row r="100" spans="1:63" ht="15.75" x14ac:dyDescent="0.25">
      <c r="A100" s="1"/>
      <c r="B100" s="14"/>
      <c r="C100" s="15"/>
      <c r="D100" s="24" t="s">
        <v>95</v>
      </c>
      <c r="E100" s="24"/>
      <c r="F100" s="24"/>
      <c r="G100" s="28" t="s">
        <v>97</v>
      </c>
      <c r="H100" s="29"/>
      <c r="I100" s="29"/>
      <c r="J100" s="29"/>
      <c r="K100" s="29"/>
      <c r="L100" s="29"/>
      <c r="M100" s="29"/>
      <c r="N100" s="29"/>
      <c r="O100" s="29"/>
      <c r="P100" s="29"/>
      <c r="Q100" s="29"/>
      <c r="R100" s="29"/>
      <c r="S100" s="29"/>
      <c r="T100" s="29"/>
      <c r="U100" s="29"/>
      <c r="V100" s="31">
        <f t="shared" ref="V100:AS100" si="53">V99*$E$17</f>
        <v>24066.862752000001</v>
      </c>
      <c r="W100" s="31">
        <f t="shared" si="53"/>
        <v>21437.527274399999</v>
      </c>
      <c r="X100" s="31">
        <f t="shared" si="53"/>
        <v>17809.2700344</v>
      </c>
      <c r="Y100" s="31">
        <f t="shared" si="53"/>
        <v>16428.3063912</v>
      </c>
      <c r="Z100" s="31">
        <f t="shared" si="53"/>
        <v>15369.330650399999</v>
      </c>
      <c r="AA100" s="31">
        <f t="shared" si="53"/>
        <v>14437.1622456</v>
      </c>
      <c r="AB100" s="31">
        <f t="shared" si="53"/>
        <v>13702.3653624</v>
      </c>
      <c r="AC100" s="31">
        <f t="shared" si="53"/>
        <v>13041.8067312</v>
      </c>
      <c r="AD100" s="31">
        <f t="shared" si="53"/>
        <v>12410.001427199999</v>
      </c>
      <c r="AE100" s="31">
        <f t="shared" si="53"/>
        <v>11930.6369376</v>
      </c>
      <c r="AF100" s="31">
        <f t="shared" si="53"/>
        <v>11470.863516000001</v>
      </c>
      <c r="AG100" s="31">
        <f t="shared" si="53"/>
        <v>11053.182323999999</v>
      </c>
      <c r="AH100" s="31">
        <f t="shared" si="53"/>
        <v>10655.0930496</v>
      </c>
      <c r="AI100" s="31">
        <f t="shared" si="53"/>
        <v>10267.042224000001</v>
      </c>
      <c r="AJ100" s="31">
        <f t="shared" si="53"/>
        <v>9890.3875800000005</v>
      </c>
      <c r="AK100" s="31">
        <f t="shared" si="53"/>
        <v>9524.8437240000003</v>
      </c>
      <c r="AL100" s="31">
        <f t="shared" si="53"/>
        <v>9169.256652</v>
      </c>
      <c r="AM100" s="31">
        <f t="shared" si="53"/>
        <v>8823.6080423999992</v>
      </c>
      <c r="AN100" s="31">
        <f t="shared" si="53"/>
        <v>8487.6595104000007</v>
      </c>
      <c r="AO100" s="31">
        <f t="shared" si="53"/>
        <v>8201.3695031999996</v>
      </c>
      <c r="AP100" s="31">
        <f t="shared" si="53"/>
        <v>7920.7492103999994</v>
      </c>
      <c r="AQ100" s="31">
        <f t="shared" si="53"/>
        <v>7646.1183791999993</v>
      </c>
      <c r="AR100" s="31">
        <f t="shared" si="53"/>
        <v>7376.9655527999994</v>
      </c>
      <c r="AS100" s="31">
        <f t="shared" si="53"/>
        <v>7279.681562400001</v>
      </c>
      <c r="AT100" s="31">
        <f t="shared" ref="AT100:BH100" si="54">AT99*$E$17</f>
        <v>7059.5540693800885</v>
      </c>
      <c r="AU100" s="31">
        <f t="shared" si="54"/>
        <v>6851.0233361672854</v>
      </c>
      <c r="AV100" s="31">
        <f t="shared" si="54"/>
        <v>6655.0800490632246</v>
      </c>
      <c r="AW100" s="31">
        <f t="shared" si="54"/>
        <v>6472.8528906184947</v>
      </c>
      <c r="AX100" s="31">
        <f t="shared" si="54"/>
        <v>6305.7875269115757</v>
      </c>
      <c r="AY100" s="31">
        <f t="shared" si="54"/>
        <v>6127.2376243775834</v>
      </c>
      <c r="AZ100" s="31">
        <f t="shared" si="54"/>
        <v>5956.1032019643899</v>
      </c>
      <c r="BA100" s="31">
        <f t="shared" si="54"/>
        <v>5791.6667885562983</v>
      </c>
      <c r="BB100" s="31">
        <f t="shared" si="54"/>
        <v>5632.9205338284719</v>
      </c>
      <c r="BC100" s="31">
        <f t="shared" si="54"/>
        <v>5478.4941471438096</v>
      </c>
      <c r="BD100" s="31">
        <f t="shared" si="54"/>
        <v>5326.5446981324067</v>
      </c>
      <c r="BE100" s="31">
        <f t="shared" si="54"/>
        <v>5179.4273563528659</v>
      </c>
      <c r="BF100" s="31">
        <f t="shared" si="54"/>
        <v>5036.6950000244824</v>
      </c>
      <c r="BG100" s="31">
        <f t="shared" si="54"/>
        <v>4897.9468683877276</v>
      </c>
      <c r="BH100" s="31">
        <f t="shared" si="54"/>
        <v>4762.8856926993067</v>
      </c>
      <c r="BI100" s="36"/>
      <c r="BJ100" s="16"/>
      <c r="BK100" s="1"/>
    </row>
    <row r="101" spans="1:63" ht="15.75" x14ac:dyDescent="0.25">
      <c r="A101" s="1"/>
      <c r="B101" s="14"/>
      <c r="C101" s="15"/>
      <c r="D101" s="24" t="s">
        <v>80</v>
      </c>
      <c r="E101" s="24"/>
      <c r="F101" s="24"/>
      <c r="G101" s="28" t="s">
        <v>97</v>
      </c>
      <c r="H101" s="29"/>
      <c r="I101" s="29"/>
      <c r="J101" s="29"/>
      <c r="K101" s="29"/>
      <c r="L101" s="29"/>
      <c r="M101" s="29"/>
      <c r="N101" s="29"/>
      <c r="O101" s="29"/>
      <c r="P101" s="29"/>
      <c r="Q101" s="29"/>
      <c r="R101" s="29"/>
      <c r="S101" s="29"/>
      <c r="T101" s="29"/>
      <c r="U101" s="29"/>
      <c r="V101" s="31"/>
      <c r="W101" s="31"/>
      <c r="X101" s="31">
        <f t="shared" ref="X101:AS101" si="55">$E$19-$X$100+X100</f>
        <v>29835</v>
      </c>
      <c r="Y101" s="31">
        <f t="shared" si="55"/>
        <v>28454.036356799999</v>
      </c>
      <c r="Z101" s="31">
        <f t="shared" si="55"/>
        <v>27395.060615999999</v>
      </c>
      <c r="AA101" s="31">
        <f t="shared" si="55"/>
        <v>26462.8922112</v>
      </c>
      <c r="AB101" s="31">
        <f t="shared" si="55"/>
        <v>25728.095327999999</v>
      </c>
      <c r="AC101" s="31">
        <f t="shared" si="55"/>
        <v>25067.536696800002</v>
      </c>
      <c r="AD101" s="31">
        <f t="shared" si="55"/>
        <v>24435.7313928</v>
      </c>
      <c r="AE101" s="31">
        <f t="shared" si="55"/>
        <v>23956.3669032</v>
      </c>
      <c r="AF101" s="31">
        <f t="shared" si="55"/>
        <v>23496.593481600001</v>
      </c>
      <c r="AG101" s="31">
        <f t="shared" si="55"/>
        <v>23078.912289599997</v>
      </c>
      <c r="AH101" s="31">
        <f t="shared" si="55"/>
        <v>22680.8230152</v>
      </c>
      <c r="AI101" s="31">
        <f t="shared" si="55"/>
        <v>22292.7721896</v>
      </c>
      <c r="AJ101" s="31">
        <f t="shared" si="55"/>
        <v>21916.117545599998</v>
      </c>
      <c r="AK101" s="31">
        <f t="shared" si="55"/>
        <v>21550.573689600002</v>
      </c>
      <c r="AL101" s="31">
        <f t="shared" si="55"/>
        <v>21194.9866176</v>
      </c>
      <c r="AM101" s="31">
        <f t="shared" si="55"/>
        <v>20849.338007999999</v>
      </c>
      <c r="AN101" s="31">
        <f t="shared" si="55"/>
        <v>20513.389476</v>
      </c>
      <c r="AO101" s="31">
        <f t="shared" si="55"/>
        <v>20227.099468799999</v>
      </c>
      <c r="AP101" s="31">
        <f t="shared" si="55"/>
        <v>19946.479176000001</v>
      </c>
      <c r="AQ101" s="31">
        <f t="shared" si="55"/>
        <v>19671.848344799997</v>
      </c>
      <c r="AR101" s="31">
        <f t="shared" si="55"/>
        <v>19402.6955184</v>
      </c>
      <c r="AS101" s="31">
        <f t="shared" si="55"/>
        <v>19305.411528000001</v>
      </c>
      <c r="AT101" s="31">
        <f t="shared" ref="AT101:BH101" si="56">$E$19-$X$100+AT100</f>
        <v>19085.28403498009</v>
      </c>
      <c r="AU101" s="31">
        <f t="shared" si="56"/>
        <v>18876.753301767283</v>
      </c>
      <c r="AV101" s="31">
        <f t="shared" si="56"/>
        <v>18680.810014663224</v>
      </c>
      <c r="AW101" s="31">
        <f t="shared" si="56"/>
        <v>18498.582856218494</v>
      </c>
      <c r="AX101" s="31">
        <f t="shared" si="56"/>
        <v>18331.517492511575</v>
      </c>
      <c r="AY101" s="31">
        <f t="shared" si="56"/>
        <v>18152.967589977583</v>
      </c>
      <c r="AZ101" s="31">
        <f t="shared" si="56"/>
        <v>17981.833167564389</v>
      </c>
      <c r="BA101" s="31">
        <f t="shared" si="56"/>
        <v>17817.396754156296</v>
      </c>
      <c r="BB101" s="31">
        <f t="shared" si="56"/>
        <v>17658.65049942847</v>
      </c>
      <c r="BC101" s="31">
        <f t="shared" si="56"/>
        <v>17504.22411274381</v>
      </c>
      <c r="BD101" s="31">
        <f t="shared" si="56"/>
        <v>17352.274663732405</v>
      </c>
      <c r="BE101" s="31">
        <f t="shared" si="56"/>
        <v>17205.157321952865</v>
      </c>
      <c r="BF101" s="31">
        <f t="shared" si="56"/>
        <v>17062.424965624483</v>
      </c>
      <c r="BG101" s="31">
        <f t="shared" si="56"/>
        <v>16923.676833987727</v>
      </c>
      <c r="BH101" s="31">
        <f t="shared" si="56"/>
        <v>16788.615658299306</v>
      </c>
      <c r="BI101" s="36"/>
      <c r="BJ101" s="16"/>
      <c r="BK101" s="1"/>
    </row>
    <row r="102" spans="1:63" ht="15.75" x14ac:dyDescent="0.25">
      <c r="A102" s="1"/>
      <c r="B102" s="14"/>
      <c r="C102" s="15"/>
      <c r="D102" s="36"/>
      <c r="E102" s="36"/>
      <c r="F102" s="36"/>
      <c r="G102" s="44"/>
      <c r="H102" s="36"/>
      <c r="I102" s="36"/>
      <c r="J102" s="36"/>
      <c r="K102" s="36"/>
      <c r="L102" s="36"/>
      <c r="M102" s="36"/>
      <c r="N102" s="36"/>
      <c r="O102" s="36"/>
      <c r="P102" s="36"/>
      <c r="Q102" s="36"/>
      <c r="R102" s="36"/>
      <c r="S102" s="36"/>
      <c r="T102" s="36"/>
      <c r="U102" s="36"/>
      <c r="V102" s="36"/>
      <c r="W102" s="36"/>
      <c r="X102" s="36"/>
      <c r="Y102" s="36"/>
      <c r="Z102" s="36"/>
      <c r="AA102" s="36"/>
      <c r="AB102" s="36"/>
      <c r="AC102" s="36"/>
      <c r="AD102" s="36"/>
      <c r="AE102" s="36"/>
      <c r="AF102" s="36"/>
      <c r="AG102" s="36"/>
      <c r="AH102" s="36"/>
      <c r="AI102" s="36"/>
      <c r="AJ102" s="36"/>
      <c r="AK102" s="36"/>
      <c r="AL102" s="36"/>
      <c r="AM102" s="36"/>
      <c r="AN102" s="36"/>
      <c r="AO102" s="36"/>
      <c r="AP102" s="36"/>
      <c r="AQ102" s="36"/>
      <c r="AR102" s="36"/>
      <c r="AS102" s="36"/>
      <c r="AT102" s="36"/>
      <c r="AU102" s="36"/>
      <c r="AV102" s="36"/>
      <c r="AW102" s="36"/>
      <c r="AX102" s="36"/>
      <c r="AY102" s="36"/>
      <c r="AZ102" s="36"/>
      <c r="BA102" s="36"/>
      <c r="BB102" s="36"/>
      <c r="BC102" s="36"/>
      <c r="BD102" s="36"/>
      <c r="BE102" s="36"/>
      <c r="BF102" s="36"/>
      <c r="BG102" s="36"/>
      <c r="BH102" s="36"/>
      <c r="BI102" s="36"/>
      <c r="BJ102" s="16"/>
      <c r="BK102" s="1"/>
    </row>
    <row r="103" spans="1:63" ht="16.5" thickBot="1" x14ac:dyDescent="0.3">
      <c r="A103" s="1"/>
      <c r="B103" s="14"/>
      <c r="C103" s="15"/>
      <c r="D103" s="30" t="s">
        <v>84</v>
      </c>
      <c r="E103" s="17" t="s">
        <v>8</v>
      </c>
      <c r="F103" s="17" t="s">
        <v>9</v>
      </c>
      <c r="G103" s="17" t="s">
        <v>3</v>
      </c>
      <c r="H103" s="26">
        <v>1998</v>
      </c>
      <c r="I103" s="26">
        <v>1999</v>
      </c>
      <c r="J103" s="26">
        <v>2000</v>
      </c>
      <c r="K103" s="26">
        <v>2001</v>
      </c>
      <c r="L103" s="26">
        <v>2002</v>
      </c>
      <c r="M103" s="26">
        <v>2003</v>
      </c>
      <c r="N103" s="26">
        <v>2004</v>
      </c>
      <c r="O103" s="26">
        <v>2005</v>
      </c>
      <c r="P103" s="26">
        <v>2006</v>
      </c>
      <c r="Q103" s="26">
        <v>2007</v>
      </c>
      <c r="R103" s="26">
        <v>2008</v>
      </c>
      <c r="S103" s="26">
        <v>2009</v>
      </c>
      <c r="T103" s="26">
        <v>2010</v>
      </c>
      <c r="U103" s="26">
        <v>2011</v>
      </c>
      <c r="V103" s="26">
        <v>2012</v>
      </c>
      <c r="W103" s="26">
        <v>2013</v>
      </c>
      <c r="X103" s="26">
        <v>2014</v>
      </c>
      <c r="Y103" s="26">
        <v>2015</v>
      </c>
      <c r="Z103" s="26">
        <v>2016</v>
      </c>
      <c r="AA103" s="26">
        <v>2017</v>
      </c>
      <c r="AB103" s="26">
        <v>2018</v>
      </c>
      <c r="AC103" s="26">
        <v>2019</v>
      </c>
      <c r="AD103" s="26">
        <v>2020</v>
      </c>
      <c r="AE103" s="26">
        <v>2021</v>
      </c>
      <c r="AF103" s="26">
        <v>2022</v>
      </c>
      <c r="AG103" s="26">
        <v>2023</v>
      </c>
      <c r="AH103" s="26">
        <v>2024</v>
      </c>
      <c r="AI103" s="26">
        <v>2025</v>
      </c>
      <c r="AJ103" s="26">
        <v>2026</v>
      </c>
      <c r="AK103" s="26">
        <v>2027</v>
      </c>
      <c r="AL103" s="26">
        <v>2028</v>
      </c>
      <c r="AM103" s="26">
        <v>2029</v>
      </c>
      <c r="AN103" s="26">
        <v>2030</v>
      </c>
      <c r="AO103" s="26">
        <v>2031</v>
      </c>
      <c r="AP103" s="26">
        <v>2032</v>
      </c>
      <c r="AQ103" s="26">
        <v>2033</v>
      </c>
      <c r="AR103" s="26">
        <v>2034</v>
      </c>
      <c r="AS103" s="26">
        <v>2035</v>
      </c>
      <c r="AT103" s="26">
        <v>2036</v>
      </c>
      <c r="AU103" s="26">
        <v>2037</v>
      </c>
      <c r="AV103" s="26">
        <v>2038</v>
      </c>
      <c r="AW103" s="26">
        <v>2039</v>
      </c>
      <c r="AX103" s="26">
        <v>2040</v>
      </c>
      <c r="AY103" s="26">
        <v>2041</v>
      </c>
      <c r="AZ103" s="26">
        <v>2042</v>
      </c>
      <c r="BA103" s="26">
        <v>2043</v>
      </c>
      <c r="BB103" s="26">
        <v>2044</v>
      </c>
      <c r="BC103" s="26">
        <v>2045</v>
      </c>
      <c r="BD103" s="26">
        <v>2046</v>
      </c>
      <c r="BE103" s="26">
        <v>2047</v>
      </c>
      <c r="BF103" s="26">
        <v>2048</v>
      </c>
      <c r="BG103" s="26">
        <v>2049</v>
      </c>
      <c r="BH103" s="26">
        <v>2050</v>
      </c>
      <c r="BI103" s="36"/>
      <c r="BJ103" s="16"/>
      <c r="BK103" s="1"/>
    </row>
    <row r="104" spans="1:63" ht="16.5" thickTop="1" x14ac:dyDescent="0.25">
      <c r="A104" s="1"/>
      <c r="B104" s="14"/>
      <c r="C104" s="15"/>
      <c r="D104" s="24" t="s">
        <v>89</v>
      </c>
      <c r="E104" s="24"/>
      <c r="F104" s="24"/>
      <c r="G104" s="28" t="s">
        <v>96</v>
      </c>
      <c r="H104" s="31"/>
      <c r="I104" s="31"/>
      <c r="J104" s="31"/>
      <c r="K104" s="31"/>
      <c r="L104" s="31"/>
      <c r="M104" s="31"/>
      <c r="N104" s="31"/>
      <c r="O104" s="31"/>
      <c r="P104" s="31"/>
      <c r="Q104" s="31"/>
      <c r="R104" s="31"/>
      <c r="S104" s="31"/>
      <c r="T104" s="31"/>
      <c r="U104" s="31"/>
      <c r="V104" s="31"/>
      <c r="W104" s="31"/>
      <c r="X104" s="31"/>
      <c r="Y104" s="31">
        <f>$H$51*$E$18*(+(1+$E$16)^(-($H$50)))+$I$51*$E$18*(+(1+$E$16)^(-($I$50)))+$J$51*$E$18*(+(1+$E$16)^(-($J$50)))+$K$51*$E$18*(+(1+$E$16)^(-($K$50)))+$L$51*$E$18*(+(1+$E$16)^(-($L$50)))</f>
        <v>8690.0059960619037</v>
      </c>
      <c r="Z104" s="31">
        <f t="shared" ref="Z104:BD104" si="57">$H$51*$E$18*(+(1+$E$16)^(-($H$50)))+$I$51*$E$18*(+(1+$E$16)^(-($I$50)))+$J$51*$E$18*(+(1+$E$16)^(-($J$50)))+$K$51*$E$18*(+(1+$E$16)^(-($K$50)))+$L$51*$E$18*(+(1+$E$16)^(-($L$50)))</f>
        <v>8690.0059960619037</v>
      </c>
      <c r="AA104" s="31">
        <f t="shared" si="57"/>
        <v>8690.0059960619037</v>
      </c>
      <c r="AB104" s="31">
        <f t="shared" si="57"/>
        <v>8690.0059960619037</v>
      </c>
      <c r="AC104" s="31">
        <f t="shared" si="57"/>
        <v>8690.0059960619037</v>
      </c>
      <c r="AD104" s="31">
        <f t="shared" si="57"/>
        <v>8690.0059960619037</v>
      </c>
      <c r="AE104" s="31">
        <f t="shared" si="57"/>
        <v>8690.0059960619037</v>
      </c>
      <c r="AF104" s="31">
        <f t="shared" si="57"/>
        <v>8690.0059960619037</v>
      </c>
      <c r="AG104" s="31">
        <f t="shared" si="57"/>
        <v>8690.0059960619037</v>
      </c>
      <c r="AH104" s="31">
        <f t="shared" si="57"/>
        <v>8690.0059960619037</v>
      </c>
      <c r="AI104" s="31">
        <f t="shared" si="57"/>
        <v>8690.0059960619037</v>
      </c>
      <c r="AJ104" s="31">
        <f t="shared" si="57"/>
        <v>8690.0059960619037</v>
      </c>
      <c r="AK104" s="31">
        <f t="shared" si="57"/>
        <v>8690.0059960619037</v>
      </c>
      <c r="AL104" s="31">
        <f t="shared" si="57"/>
        <v>8690.0059960619037</v>
      </c>
      <c r="AM104" s="31">
        <f t="shared" si="57"/>
        <v>8690.0059960619037</v>
      </c>
      <c r="AN104" s="31">
        <f t="shared" si="57"/>
        <v>8690.0059960619037</v>
      </c>
      <c r="AO104" s="31">
        <f t="shared" si="57"/>
        <v>8690.0059960619037</v>
      </c>
      <c r="AP104" s="31">
        <f t="shared" si="57"/>
        <v>8690.0059960619037</v>
      </c>
      <c r="AQ104" s="31">
        <f t="shared" si="57"/>
        <v>8690.0059960619037</v>
      </c>
      <c r="AR104" s="31">
        <f t="shared" si="57"/>
        <v>8690.0059960619037</v>
      </c>
      <c r="AS104" s="31">
        <f t="shared" si="57"/>
        <v>8690.0059960619037</v>
      </c>
      <c r="AT104" s="31">
        <f t="shared" si="57"/>
        <v>8690.0059960619037</v>
      </c>
      <c r="AU104" s="31">
        <f t="shared" si="57"/>
        <v>8690.0059960619037</v>
      </c>
      <c r="AV104" s="31">
        <f t="shared" si="57"/>
        <v>8690.0059960619037</v>
      </c>
      <c r="AW104" s="31">
        <f t="shared" si="57"/>
        <v>8690.0059960619037</v>
      </c>
      <c r="AX104" s="31">
        <f t="shared" si="57"/>
        <v>8690.0059960619037</v>
      </c>
      <c r="AY104" s="31">
        <f t="shared" si="57"/>
        <v>8690.0059960619037</v>
      </c>
      <c r="AZ104" s="31">
        <f t="shared" si="57"/>
        <v>8690.0059960619037</v>
      </c>
      <c r="BA104" s="31">
        <f t="shared" si="57"/>
        <v>8690.0059960619037</v>
      </c>
      <c r="BB104" s="31">
        <f t="shared" si="57"/>
        <v>8690.0059960619037</v>
      </c>
      <c r="BC104" s="31">
        <f t="shared" si="57"/>
        <v>8690.0059960619037</v>
      </c>
      <c r="BD104" s="31">
        <f t="shared" si="57"/>
        <v>8690.0059960619037</v>
      </c>
      <c r="BE104" s="31"/>
      <c r="BF104" s="31"/>
      <c r="BG104" s="31"/>
      <c r="BH104" s="31"/>
      <c r="BI104" s="36"/>
      <c r="BJ104" s="16"/>
      <c r="BK104" s="1"/>
    </row>
    <row r="105" spans="1:63" ht="15.75" x14ac:dyDescent="0.25">
      <c r="A105" s="1"/>
      <c r="B105" s="14"/>
      <c r="C105" s="15"/>
      <c r="D105" s="24" t="s">
        <v>51</v>
      </c>
      <c r="E105" s="24"/>
      <c r="F105" s="24"/>
      <c r="G105" s="28" t="s">
        <v>96</v>
      </c>
      <c r="H105" s="31"/>
      <c r="I105" s="31"/>
      <c r="J105" s="31"/>
      <c r="K105" s="31"/>
      <c r="L105" s="31"/>
      <c r="M105" s="31"/>
      <c r="N105" s="31"/>
      <c r="O105" s="31"/>
      <c r="P105" s="31"/>
      <c r="Q105" s="31"/>
      <c r="R105" s="31"/>
      <c r="S105" s="31"/>
      <c r="T105" s="31"/>
      <c r="U105" s="31"/>
      <c r="V105" s="31"/>
      <c r="W105" s="31"/>
      <c r="X105" s="31"/>
      <c r="Y105" s="31">
        <f t="shared" ref="Y105:BD105" si="58">$H52*(+(1+$E$16)^(-($H$50)))+$I52*(+(1+$E$16)^(-($I$50)))+$J52*(+(1+$E$16)^(-($J$50)))+$K52*(+(1+$E$16)^(-($K$50)))+$L52*(+(1+$E$16)^(-($L$50)))</f>
        <v>1339.7913694613933</v>
      </c>
      <c r="Z105" s="31">
        <f t="shared" si="58"/>
        <v>1339.7913694613933</v>
      </c>
      <c r="AA105" s="31">
        <f t="shared" si="58"/>
        <v>1339.7913694613933</v>
      </c>
      <c r="AB105" s="31">
        <f t="shared" si="58"/>
        <v>1339.7913694613933</v>
      </c>
      <c r="AC105" s="31">
        <f t="shared" si="58"/>
        <v>1339.7913694613933</v>
      </c>
      <c r="AD105" s="31">
        <f t="shared" si="58"/>
        <v>1339.7913694613933</v>
      </c>
      <c r="AE105" s="31">
        <f t="shared" si="58"/>
        <v>1339.7913694613933</v>
      </c>
      <c r="AF105" s="31">
        <f t="shared" si="58"/>
        <v>1339.7913694613933</v>
      </c>
      <c r="AG105" s="31">
        <f t="shared" si="58"/>
        <v>1339.7913694613933</v>
      </c>
      <c r="AH105" s="31">
        <f t="shared" si="58"/>
        <v>1339.7913694613933</v>
      </c>
      <c r="AI105" s="31">
        <f t="shared" si="58"/>
        <v>1339.7913694613933</v>
      </c>
      <c r="AJ105" s="31">
        <f t="shared" si="58"/>
        <v>1339.7913694613933</v>
      </c>
      <c r="AK105" s="31">
        <f t="shared" si="58"/>
        <v>1339.7913694613933</v>
      </c>
      <c r="AL105" s="31">
        <f t="shared" si="58"/>
        <v>1339.7913694613933</v>
      </c>
      <c r="AM105" s="31">
        <f t="shared" si="58"/>
        <v>1339.7913694613933</v>
      </c>
      <c r="AN105" s="31">
        <f t="shared" si="58"/>
        <v>1339.7913694613933</v>
      </c>
      <c r="AO105" s="31">
        <f t="shared" si="58"/>
        <v>1339.7913694613933</v>
      </c>
      <c r="AP105" s="31">
        <f t="shared" si="58"/>
        <v>1339.7913694613933</v>
      </c>
      <c r="AQ105" s="31">
        <f t="shared" si="58"/>
        <v>1339.7913694613933</v>
      </c>
      <c r="AR105" s="31">
        <f t="shared" si="58"/>
        <v>1339.7913694613933</v>
      </c>
      <c r="AS105" s="31">
        <f t="shared" si="58"/>
        <v>1339.7913694613933</v>
      </c>
      <c r="AT105" s="31">
        <f t="shared" si="58"/>
        <v>1339.7913694613933</v>
      </c>
      <c r="AU105" s="31">
        <f t="shared" si="58"/>
        <v>1339.7913694613933</v>
      </c>
      <c r="AV105" s="31">
        <f t="shared" si="58"/>
        <v>1339.7913694613933</v>
      </c>
      <c r="AW105" s="31">
        <f t="shared" si="58"/>
        <v>1339.7913694613933</v>
      </c>
      <c r="AX105" s="31">
        <f t="shared" si="58"/>
        <v>1339.7913694613933</v>
      </c>
      <c r="AY105" s="31">
        <f t="shared" si="58"/>
        <v>1339.7913694613933</v>
      </c>
      <c r="AZ105" s="31">
        <f t="shared" si="58"/>
        <v>1339.7913694613933</v>
      </c>
      <c r="BA105" s="31">
        <f t="shared" si="58"/>
        <v>1339.7913694613933</v>
      </c>
      <c r="BB105" s="31">
        <f t="shared" si="58"/>
        <v>1339.7913694613933</v>
      </c>
      <c r="BC105" s="31">
        <f t="shared" si="58"/>
        <v>1339.7913694613933</v>
      </c>
      <c r="BD105" s="31">
        <f t="shared" si="58"/>
        <v>1339.7913694613933</v>
      </c>
      <c r="BE105" s="31"/>
      <c r="BF105" s="31"/>
      <c r="BG105" s="31"/>
      <c r="BH105" s="31"/>
      <c r="BI105" s="15"/>
      <c r="BJ105" s="16"/>
      <c r="BK105" s="1"/>
    </row>
    <row r="106" spans="1:63" ht="15.75" x14ac:dyDescent="0.25">
      <c r="A106" s="1"/>
      <c r="B106" s="14"/>
      <c r="C106" s="15"/>
      <c r="D106" s="24" t="s">
        <v>42</v>
      </c>
      <c r="E106" s="24"/>
      <c r="F106" s="24"/>
      <c r="G106" s="28" t="s">
        <v>96</v>
      </c>
      <c r="H106" s="31"/>
      <c r="I106" s="31"/>
      <c r="J106" s="31"/>
      <c r="K106" s="31"/>
      <c r="L106" s="31"/>
      <c r="M106" s="31"/>
      <c r="N106" s="31"/>
      <c r="O106" s="31"/>
      <c r="P106" s="31"/>
      <c r="Q106" s="31"/>
      <c r="R106" s="31"/>
      <c r="S106" s="31"/>
      <c r="T106" s="31"/>
      <c r="U106" s="31"/>
      <c r="V106" s="31"/>
      <c r="W106" s="31"/>
      <c r="X106" s="31"/>
      <c r="Y106" s="31">
        <f t="shared" ref="Y106:BD106" si="59">$H53*(+(1+$E$16)^(-($H$50)))+$I53*(+(1+$E$16)^(-($I$50)))+$J53*(+(1+$E$16)^(-($J$50)))+$K53*(+(1+$E$16)^(-($K$50)))+$L53*(+(1+$E$16)^(-($L$50)))</f>
        <v>6256.8544736351378</v>
      </c>
      <c r="Z106" s="31">
        <f t="shared" si="59"/>
        <v>6256.8544736351378</v>
      </c>
      <c r="AA106" s="31">
        <f t="shared" si="59"/>
        <v>6256.8544736351378</v>
      </c>
      <c r="AB106" s="31">
        <f t="shared" si="59"/>
        <v>6256.8544736351378</v>
      </c>
      <c r="AC106" s="31">
        <f t="shared" si="59"/>
        <v>6256.8544736351378</v>
      </c>
      <c r="AD106" s="31">
        <f t="shared" si="59"/>
        <v>6256.8544736351378</v>
      </c>
      <c r="AE106" s="31">
        <f t="shared" si="59"/>
        <v>6256.8544736351378</v>
      </c>
      <c r="AF106" s="31">
        <f t="shared" si="59"/>
        <v>6256.8544736351378</v>
      </c>
      <c r="AG106" s="31">
        <f t="shared" si="59"/>
        <v>6256.8544736351378</v>
      </c>
      <c r="AH106" s="31">
        <f t="shared" si="59"/>
        <v>6256.8544736351378</v>
      </c>
      <c r="AI106" s="31">
        <f t="shared" si="59"/>
        <v>6256.8544736351378</v>
      </c>
      <c r="AJ106" s="31">
        <f t="shared" si="59"/>
        <v>6256.8544736351378</v>
      </c>
      <c r="AK106" s="31">
        <f t="shared" si="59"/>
        <v>6256.8544736351378</v>
      </c>
      <c r="AL106" s="31">
        <f t="shared" si="59"/>
        <v>6256.8544736351378</v>
      </c>
      <c r="AM106" s="31">
        <f t="shared" si="59"/>
        <v>6256.8544736351378</v>
      </c>
      <c r="AN106" s="31">
        <f t="shared" si="59"/>
        <v>6256.8544736351378</v>
      </c>
      <c r="AO106" s="31">
        <f t="shared" si="59"/>
        <v>6256.8544736351378</v>
      </c>
      <c r="AP106" s="31">
        <f t="shared" si="59"/>
        <v>6256.8544736351378</v>
      </c>
      <c r="AQ106" s="31">
        <f t="shared" si="59"/>
        <v>6256.8544736351378</v>
      </c>
      <c r="AR106" s="31">
        <f t="shared" si="59"/>
        <v>6256.8544736351378</v>
      </c>
      <c r="AS106" s="31">
        <f t="shared" si="59"/>
        <v>6256.8544736351378</v>
      </c>
      <c r="AT106" s="31">
        <f t="shared" si="59"/>
        <v>6256.8544736351378</v>
      </c>
      <c r="AU106" s="31">
        <f t="shared" si="59"/>
        <v>6256.8544736351378</v>
      </c>
      <c r="AV106" s="31">
        <f t="shared" si="59"/>
        <v>6256.8544736351378</v>
      </c>
      <c r="AW106" s="31">
        <f t="shared" si="59"/>
        <v>6256.8544736351378</v>
      </c>
      <c r="AX106" s="31">
        <f t="shared" si="59"/>
        <v>6256.8544736351378</v>
      </c>
      <c r="AY106" s="31">
        <f t="shared" si="59"/>
        <v>6256.8544736351378</v>
      </c>
      <c r="AZ106" s="31">
        <f t="shared" si="59"/>
        <v>6256.8544736351378</v>
      </c>
      <c r="BA106" s="31">
        <f t="shared" si="59"/>
        <v>6256.8544736351378</v>
      </c>
      <c r="BB106" s="31">
        <f t="shared" si="59"/>
        <v>6256.8544736351378</v>
      </c>
      <c r="BC106" s="31">
        <f t="shared" si="59"/>
        <v>6256.8544736351378</v>
      </c>
      <c r="BD106" s="31">
        <f t="shared" si="59"/>
        <v>6256.8544736351378</v>
      </c>
      <c r="BE106" s="31"/>
      <c r="BF106" s="31"/>
      <c r="BG106" s="31"/>
      <c r="BH106" s="31"/>
      <c r="BI106" s="15"/>
      <c r="BJ106" s="16"/>
      <c r="BK106" s="1"/>
    </row>
    <row r="107" spans="1:63" ht="15.75" x14ac:dyDescent="0.25">
      <c r="A107" s="1"/>
      <c r="B107" s="14"/>
      <c r="C107" s="15"/>
      <c r="D107" s="24" t="s">
        <v>44</v>
      </c>
      <c r="E107" s="24"/>
      <c r="F107" s="24"/>
      <c r="G107" s="28" t="s">
        <v>96</v>
      </c>
      <c r="H107" s="31"/>
      <c r="I107" s="31"/>
      <c r="J107" s="31"/>
      <c r="K107" s="31"/>
      <c r="L107" s="31"/>
      <c r="M107" s="31"/>
      <c r="N107" s="31"/>
      <c r="O107" s="31"/>
      <c r="P107" s="31"/>
      <c r="Q107" s="31"/>
      <c r="R107" s="31"/>
      <c r="S107" s="31"/>
      <c r="T107" s="31"/>
      <c r="U107" s="31"/>
      <c r="V107" s="31"/>
      <c r="W107" s="31"/>
      <c r="X107" s="31"/>
      <c r="Y107" s="31">
        <f t="shared" ref="Y107:BD107" si="60">$H54*(+(1+$E$16)^(-($H$50)))+$I54*(+(1+$E$16)^(-($I$50)))+$J54*(+(1+$E$16)^(-($J$50)))+$K54*(+(1+$E$16)^(-($K$50)))+$L54*(+(1+$E$16)^(-($L$50)))</f>
        <v>2888.3460099458562</v>
      </c>
      <c r="Z107" s="31">
        <f t="shared" si="60"/>
        <v>2888.3460099458562</v>
      </c>
      <c r="AA107" s="31">
        <f t="shared" si="60"/>
        <v>2888.3460099458562</v>
      </c>
      <c r="AB107" s="31">
        <f t="shared" si="60"/>
        <v>2888.3460099458562</v>
      </c>
      <c r="AC107" s="31">
        <f t="shared" si="60"/>
        <v>2888.3460099458562</v>
      </c>
      <c r="AD107" s="31">
        <f t="shared" si="60"/>
        <v>2888.3460099458562</v>
      </c>
      <c r="AE107" s="31">
        <f t="shared" si="60"/>
        <v>2888.3460099458562</v>
      </c>
      <c r="AF107" s="31">
        <f t="shared" si="60"/>
        <v>2888.3460099458562</v>
      </c>
      <c r="AG107" s="31">
        <f t="shared" si="60"/>
        <v>2888.3460099458562</v>
      </c>
      <c r="AH107" s="31">
        <f t="shared" si="60"/>
        <v>2888.3460099458562</v>
      </c>
      <c r="AI107" s="31">
        <f t="shared" si="60"/>
        <v>2888.3460099458562</v>
      </c>
      <c r="AJ107" s="31">
        <f t="shared" si="60"/>
        <v>2888.3460099458562</v>
      </c>
      <c r="AK107" s="31">
        <f t="shared" si="60"/>
        <v>2888.3460099458562</v>
      </c>
      <c r="AL107" s="31">
        <f t="shared" si="60"/>
        <v>2888.3460099458562</v>
      </c>
      <c r="AM107" s="31">
        <f t="shared" si="60"/>
        <v>2888.3460099458562</v>
      </c>
      <c r="AN107" s="31">
        <f t="shared" si="60"/>
        <v>2888.3460099458562</v>
      </c>
      <c r="AO107" s="31">
        <f t="shared" si="60"/>
        <v>2888.3460099458562</v>
      </c>
      <c r="AP107" s="31">
        <f t="shared" si="60"/>
        <v>2888.3460099458562</v>
      </c>
      <c r="AQ107" s="31">
        <f t="shared" si="60"/>
        <v>2888.3460099458562</v>
      </c>
      <c r="AR107" s="31">
        <f t="shared" si="60"/>
        <v>2888.3460099458562</v>
      </c>
      <c r="AS107" s="31">
        <f t="shared" si="60"/>
        <v>2888.3460099458562</v>
      </c>
      <c r="AT107" s="31">
        <f t="shared" si="60"/>
        <v>2888.3460099458562</v>
      </c>
      <c r="AU107" s="31">
        <f t="shared" si="60"/>
        <v>2888.3460099458562</v>
      </c>
      <c r="AV107" s="31">
        <f t="shared" si="60"/>
        <v>2888.3460099458562</v>
      </c>
      <c r="AW107" s="31">
        <f t="shared" si="60"/>
        <v>2888.3460099458562</v>
      </c>
      <c r="AX107" s="31">
        <f t="shared" si="60"/>
        <v>2888.3460099458562</v>
      </c>
      <c r="AY107" s="31">
        <f t="shared" si="60"/>
        <v>2888.3460099458562</v>
      </c>
      <c r="AZ107" s="31">
        <f t="shared" si="60"/>
        <v>2888.3460099458562</v>
      </c>
      <c r="BA107" s="31">
        <f t="shared" si="60"/>
        <v>2888.3460099458562</v>
      </c>
      <c r="BB107" s="31">
        <f t="shared" si="60"/>
        <v>2888.3460099458562</v>
      </c>
      <c r="BC107" s="31">
        <f t="shared" si="60"/>
        <v>2888.3460099458562</v>
      </c>
      <c r="BD107" s="31">
        <f t="shared" si="60"/>
        <v>2888.3460099458562</v>
      </c>
      <c r="BE107" s="31"/>
      <c r="BF107" s="31"/>
      <c r="BG107" s="31"/>
      <c r="BH107" s="31"/>
      <c r="BI107" s="15"/>
      <c r="BJ107" s="16"/>
      <c r="BK107" s="1"/>
    </row>
    <row r="108" spans="1:63" ht="15.75" x14ac:dyDescent="0.25">
      <c r="A108" s="1"/>
      <c r="B108" s="14"/>
      <c r="C108" s="15"/>
      <c r="D108" s="24" t="s">
        <v>46</v>
      </c>
      <c r="E108" s="24"/>
      <c r="F108" s="24"/>
      <c r="G108" s="28" t="s">
        <v>96</v>
      </c>
      <c r="H108" s="31"/>
      <c r="I108" s="31"/>
      <c r="J108" s="31"/>
      <c r="K108" s="31"/>
      <c r="L108" s="31"/>
      <c r="M108" s="31"/>
      <c r="N108" s="31"/>
      <c r="O108" s="31"/>
      <c r="P108" s="31"/>
      <c r="Q108" s="31"/>
      <c r="R108" s="31"/>
      <c r="S108" s="31"/>
      <c r="T108" s="31"/>
      <c r="U108" s="31"/>
      <c r="V108" s="31"/>
      <c r="W108" s="31"/>
      <c r="X108" s="31"/>
      <c r="Y108" s="31">
        <f t="shared" ref="Y108:BD108" si="61">$H55*(+(1+$E$16)^(-($H$50)))+$I55*(+(1+$E$16)^(-($I$50)))+$J55*(+(1+$E$16)^(-($J$50)))+$K55*(+(1+$E$16)^(-($K$50)))+$L55*(+(1+$E$16)^(-($L$50)))</f>
        <v>741.20168065470125</v>
      </c>
      <c r="Z108" s="31">
        <f t="shared" si="61"/>
        <v>741.20168065470125</v>
      </c>
      <c r="AA108" s="31">
        <f t="shared" si="61"/>
        <v>741.20168065470125</v>
      </c>
      <c r="AB108" s="31">
        <f t="shared" si="61"/>
        <v>741.20168065470125</v>
      </c>
      <c r="AC108" s="31">
        <f t="shared" si="61"/>
        <v>741.20168065470125</v>
      </c>
      <c r="AD108" s="31">
        <f t="shared" si="61"/>
        <v>741.20168065470125</v>
      </c>
      <c r="AE108" s="31">
        <f t="shared" si="61"/>
        <v>741.20168065470125</v>
      </c>
      <c r="AF108" s="31">
        <f t="shared" si="61"/>
        <v>741.20168065470125</v>
      </c>
      <c r="AG108" s="31">
        <f t="shared" si="61"/>
        <v>741.20168065470125</v>
      </c>
      <c r="AH108" s="31">
        <f t="shared" si="61"/>
        <v>741.20168065470125</v>
      </c>
      <c r="AI108" s="31">
        <f t="shared" si="61"/>
        <v>741.20168065470125</v>
      </c>
      <c r="AJ108" s="31">
        <f t="shared" si="61"/>
        <v>741.20168065470125</v>
      </c>
      <c r="AK108" s="31">
        <f t="shared" si="61"/>
        <v>741.20168065470125</v>
      </c>
      <c r="AL108" s="31">
        <f t="shared" si="61"/>
        <v>741.20168065470125</v>
      </c>
      <c r="AM108" s="31">
        <f t="shared" si="61"/>
        <v>741.20168065470125</v>
      </c>
      <c r="AN108" s="31">
        <f t="shared" si="61"/>
        <v>741.20168065470125</v>
      </c>
      <c r="AO108" s="31">
        <f t="shared" si="61"/>
        <v>741.20168065470125</v>
      </c>
      <c r="AP108" s="31">
        <f t="shared" si="61"/>
        <v>741.20168065470125</v>
      </c>
      <c r="AQ108" s="31">
        <f t="shared" si="61"/>
        <v>741.20168065470125</v>
      </c>
      <c r="AR108" s="31">
        <f t="shared" si="61"/>
        <v>741.20168065470125</v>
      </c>
      <c r="AS108" s="31">
        <f t="shared" si="61"/>
        <v>741.20168065470125</v>
      </c>
      <c r="AT108" s="31">
        <f t="shared" si="61"/>
        <v>741.20168065470125</v>
      </c>
      <c r="AU108" s="31">
        <f t="shared" si="61"/>
        <v>741.20168065470125</v>
      </c>
      <c r="AV108" s="31">
        <f t="shared" si="61"/>
        <v>741.20168065470125</v>
      </c>
      <c r="AW108" s="31">
        <f t="shared" si="61"/>
        <v>741.20168065470125</v>
      </c>
      <c r="AX108" s="31">
        <f t="shared" si="61"/>
        <v>741.20168065470125</v>
      </c>
      <c r="AY108" s="31">
        <f t="shared" si="61"/>
        <v>741.20168065470125</v>
      </c>
      <c r="AZ108" s="31">
        <f t="shared" si="61"/>
        <v>741.20168065470125</v>
      </c>
      <c r="BA108" s="31">
        <f t="shared" si="61"/>
        <v>741.20168065470125</v>
      </c>
      <c r="BB108" s="31">
        <f t="shared" si="61"/>
        <v>741.20168065470125</v>
      </c>
      <c r="BC108" s="31">
        <f t="shared" si="61"/>
        <v>741.20168065470125</v>
      </c>
      <c r="BD108" s="31">
        <f t="shared" si="61"/>
        <v>741.20168065470125</v>
      </c>
      <c r="BE108" s="31"/>
      <c r="BF108" s="31"/>
      <c r="BG108" s="31"/>
      <c r="BH108" s="31"/>
      <c r="BI108" s="15"/>
      <c r="BJ108" s="16"/>
      <c r="BK108" s="1"/>
    </row>
    <row r="109" spans="1:63" ht="15.75" x14ac:dyDescent="0.25">
      <c r="A109" s="1"/>
      <c r="B109" s="14"/>
      <c r="C109" s="15"/>
      <c r="D109" s="24" t="s">
        <v>43</v>
      </c>
      <c r="E109" s="24"/>
      <c r="F109" s="24"/>
      <c r="G109" s="28" t="s">
        <v>96</v>
      </c>
      <c r="H109" s="31"/>
      <c r="I109" s="31"/>
      <c r="J109" s="31"/>
      <c r="K109" s="31"/>
      <c r="L109" s="31"/>
      <c r="M109" s="31"/>
      <c r="N109" s="31"/>
      <c r="O109" s="31"/>
      <c r="P109" s="31"/>
      <c r="Q109" s="31"/>
      <c r="R109" s="31"/>
      <c r="S109" s="31"/>
      <c r="T109" s="31"/>
      <c r="U109" s="31"/>
      <c r="V109" s="31"/>
      <c r="W109" s="31"/>
      <c r="X109" s="31"/>
      <c r="Y109" s="31">
        <f t="shared" ref="Y109:BD109" si="62">($E$15/$H$22)*Y$96*(+(1+$E$16)^(-($H$50)))+($E$15/$H$22)*Z$96*(+(1+$E$16)^(-($I$50)))+($E$15/$H$22)*AA$96*(+(1+$E$16)^(-($J$50)))+($E$15/$H$22)*AB$96*(+(1+$E$16)^(-($K$50)))+($E$15/$H$22)*AC$96*(+(1+$E$16)^(-($L$50)))</f>
        <v>7313.1786208787826</v>
      </c>
      <c r="Z109" s="31">
        <f t="shared" si="62"/>
        <v>7431.6445090060542</v>
      </c>
      <c r="AA109" s="31">
        <f t="shared" si="62"/>
        <v>7552.0294213192938</v>
      </c>
      <c r="AB109" s="31">
        <f t="shared" si="62"/>
        <v>7674.3644440145781</v>
      </c>
      <c r="AC109" s="31">
        <f t="shared" si="62"/>
        <v>7798.6811668520268</v>
      </c>
      <c r="AD109" s="31">
        <f t="shared" si="62"/>
        <v>7925.0116913130205</v>
      </c>
      <c r="AE109" s="31">
        <f t="shared" si="62"/>
        <v>8053.388638889558</v>
      </c>
      <c r="AF109" s="31">
        <f t="shared" si="62"/>
        <v>8183.8451595078768</v>
      </c>
      <c r="AG109" s="31">
        <f t="shared" si="62"/>
        <v>8316.414940088549</v>
      </c>
      <c r="AH109" s="31">
        <f t="shared" si="62"/>
        <v>8451.132213245226</v>
      </c>
      <c r="AI109" s="31">
        <f t="shared" si="62"/>
        <v>8588.0317661242971</v>
      </c>
      <c r="AJ109" s="31">
        <f t="shared" si="62"/>
        <v>8727.1489493877452</v>
      </c>
      <c r="AK109" s="31">
        <f t="shared" si="62"/>
        <v>8868.5196863415167</v>
      </c>
      <c r="AL109" s="31">
        <f t="shared" si="62"/>
        <v>9012.1804822117501</v>
      </c>
      <c r="AM109" s="31">
        <f t="shared" si="62"/>
        <v>9158.1684335712889</v>
      </c>
      <c r="AN109" s="31">
        <f t="shared" si="62"/>
        <v>9306.5212379188724</v>
      </c>
      <c r="AO109" s="31">
        <f t="shared" si="62"/>
        <v>9457.277203413516</v>
      </c>
      <c r="AP109" s="31">
        <f t="shared" si="62"/>
        <v>9610.4752587665716</v>
      </c>
      <c r="AQ109" s="31">
        <f t="shared" si="62"/>
        <v>9766.1549632940314</v>
      </c>
      <c r="AR109" s="31">
        <f t="shared" si="62"/>
        <v>9924.3565171316641</v>
      </c>
      <c r="AS109" s="31">
        <f t="shared" si="62"/>
        <v>10085.120771615633</v>
      </c>
      <c r="AT109" s="31">
        <f t="shared" si="62"/>
        <v>10248.489239831259</v>
      </c>
      <c r="AU109" s="31">
        <f t="shared" si="62"/>
        <v>10414.504107332676</v>
      </c>
      <c r="AV109" s="31">
        <f t="shared" si="62"/>
        <v>10583.208243036122</v>
      </c>
      <c r="AW109" s="31">
        <f t="shared" si="62"/>
        <v>10754.645210289696</v>
      </c>
      <c r="AX109" s="31">
        <f t="shared" si="62"/>
        <v>10928.859278122429</v>
      </c>
      <c r="AY109" s="31">
        <f t="shared" si="62"/>
        <v>11105.895432675587</v>
      </c>
      <c r="AZ109" s="31">
        <f t="shared" si="62"/>
        <v>11285.799388819134</v>
      </c>
      <c r="BA109" s="31">
        <f t="shared" si="62"/>
        <v>11468.617601956395</v>
      </c>
      <c r="BB109" s="31">
        <f t="shared" si="62"/>
        <v>11654.397280019906</v>
      </c>
      <c r="BC109" s="31">
        <f t="shared" si="62"/>
        <v>11843.186395661622</v>
      </c>
      <c r="BD109" s="31">
        <f t="shared" si="62"/>
        <v>12035.033698640567</v>
      </c>
      <c r="BE109" s="31"/>
      <c r="BF109" s="31"/>
      <c r="BG109" s="31"/>
      <c r="BH109" s="31"/>
      <c r="BI109" s="15"/>
      <c r="BJ109" s="16"/>
      <c r="BK109" s="1"/>
    </row>
    <row r="110" spans="1:63" ht="15.75" x14ac:dyDescent="0.25">
      <c r="A110" s="1"/>
      <c r="B110" s="14"/>
      <c r="C110" s="15"/>
      <c r="D110" s="48" t="s">
        <v>88</v>
      </c>
      <c r="E110" s="48"/>
      <c r="F110" s="48"/>
      <c r="G110" s="49" t="s">
        <v>97</v>
      </c>
      <c r="H110" s="34"/>
      <c r="I110" s="34"/>
      <c r="J110" s="34"/>
      <c r="K110" s="34"/>
      <c r="L110" s="34"/>
      <c r="M110" s="34"/>
      <c r="N110" s="34"/>
      <c r="O110" s="34"/>
      <c r="P110" s="34"/>
      <c r="Q110" s="34"/>
      <c r="R110" s="34"/>
      <c r="S110" s="34"/>
      <c r="T110" s="34"/>
      <c r="U110" s="34"/>
      <c r="V110" s="34"/>
      <c r="W110" s="34"/>
      <c r="X110" s="34"/>
      <c r="Y110" s="34">
        <f t="shared" ref="Y110:BD110" si="63">SUM(Y104:Y109)</f>
        <v>27229.378150637771</v>
      </c>
      <c r="Z110" s="34">
        <f t="shared" si="63"/>
        <v>27347.844038765044</v>
      </c>
      <c r="AA110" s="34">
        <f t="shared" si="63"/>
        <v>27468.228951078283</v>
      </c>
      <c r="AB110" s="34">
        <f t="shared" si="63"/>
        <v>27590.563973773569</v>
      </c>
      <c r="AC110" s="34">
        <f t="shared" si="63"/>
        <v>27714.880696611017</v>
      </c>
      <c r="AD110" s="34">
        <f t="shared" si="63"/>
        <v>27841.211221072008</v>
      </c>
      <c r="AE110" s="34">
        <f t="shared" si="63"/>
        <v>27969.588168648548</v>
      </c>
      <c r="AF110" s="34">
        <f t="shared" si="63"/>
        <v>28100.044689266866</v>
      </c>
      <c r="AG110" s="34">
        <f t="shared" si="63"/>
        <v>28232.61446984754</v>
      </c>
      <c r="AH110" s="34">
        <f t="shared" si="63"/>
        <v>28367.331743004215</v>
      </c>
      <c r="AI110" s="34">
        <f t="shared" si="63"/>
        <v>28504.231295883284</v>
      </c>
      <c r="AJ110" s="34">
        <f t="shared" si="63"/>
        <v>28643.348479146734</v>
      </c>
      <c r="AK110" s="34">
        <f t="shared" si="63"/>
        <v>28784.719216100508</v>
      </c>
      <c r="AL110" s="34">
        <f t="shared" si="63"/>
        <v>28928.380011970738</v>
      </c>
      <c r="AM110" s="34">
        <f t="shared" si="63"/>
        <v>29074.367963330278</v>
      </c>
      <c r="AN110" s="34">
        <f t="shared" si="63"/>
        <v>29222.720767677863</v>
      </c>
      <c r="AO110" s="34">
        <f t="shared" si="63"/>
        <v>29373.476733172505</v>
      </c>
      <c r="AP110" s="34">
        <f t="shared" si="63"/>
        <v>29526.674788525561</v>
      </c>
      <c r="AQ110" s="34">
        <f t="shared" si="63"/>
        <v>29682.354493053019</v>
      </c>
      <c r="AR110" s="34">
        <f t="shared" si="63"/>
        <v>29840.556046890655</v>
      </c>
      <c r="AS110" s="34">
        <f t="shared" si="63"/>
        <v>30001.320301374624</v>
      </c>
      <c r="AT110" s="34">
        <f t="shared" si="63"/>
        <v>30164.688769590248</v>
      </c>
      <c r="AU110" s="34">
        <f t="shared" si="63"/>
        <v>30330.703637091665</v>
      </c>
      <c r="AV110" s="34">
        <f t="shared" si="63"/>
        <v>30499.407772795112</v>
      </c>
      <c r="AW110" s="34">
        <f t="shared" si="63"/>
        <v>30670.844740048684</v>
      </c>
      <c r="AX110" s="34">
        <f t="shared" si="63"/>
        <v>30845.058807881418</v>
      </c>
      <c r="AY110" s="34">
        <f t="shared" si="63"/>
        <v>31022.094962434574</v>
      </c>
      <c r="AZ110" s="34">
        <f t="shared" si="63"/>
        <v>31201.998918578123</v>
      </c>
      <c r="BA110" s="34">
        <f t="shared" si="63"/>
        <v>31384.817131715383</v>
      </c>
      <c r="BB110" s="34">
        <f t="shared" si="63"/>
        <v>31570.596809778894</v>
      </c>
      <c r="BC110" s="34">
        <f t="shared" si="63"/>
        <v>31759.385925420611</v>
      </c>
      <c r="BD110" s="34">
        <f t="shared" si="63"/>
        <v>31951.233228399557</v>
      </c>
      <c r="BE110" s="34"/>
      <c r="BF110" s="34"/>
      <c r="BG110" s="34"/>
      <c r="BH110" s="34"/>
      <c r="BI110" s="15"/>
      <c r="BJ110" s="16"/>
      <c r="BK110" s="1"/>
    </row>
    <row r="111" spans="1:63" ht="15.75" x14ac:dyDescent="0.25">
      <c r="A111" s="1"/>
      <c r="B111" s="14"/>
      <c r="C111" s="15"/>
      <c r="D111" s="15"/>
      <c r="E111" s="15"/>
      <c r="F111" s="15"/>
      <c r="G111" s="15"/>
      <c r="H111" s="15"/>
      <c r="I111" s="15"/>
      <c r="J111" s="15"/>
      <c r="K111" s="15"/>
      <c r="L111" s="15"/>
      <c r="M111" s="15"/>
      <c r="N111" s="15"/>
      <c r="O111" s="15"/>
      <c r="P111" s="15"/>
      <c r="Q111" s="15"/>
      <c r="R111" s="15"/>
      <c r="S111" s="15"/>
      <c r="T111" s="15"/>
      <c r="U111" s="15"/>
      <c r="V111" s="15"/>
      <c r="W111" s="15"/>
      <c r="X111" s="15"/>
      <c r="Y111" s="15"/>
      <c r="Z111" s="15"/>
      <c r="AA111" s="15"/>
      <c r="AB111" s="15"/>
      <c r="AC111" s="15"/>
      <c r="AD111" s="15"/>
      <c r="AE111" s="15"/>
      <c r="AF111" s="15"/>
      <c r="AG111" s="15"/>
      <c r="AH111" s="15"/>
      <c r="AI111" s="15"/>
      <c r="AJ111" s="15"/>
      <c r="AK111" s="15"/>
      <c r="AL111" s="15"/>
      <c r="AM111" s="15"/>
      <c r="AN111" s="15"/>
      <c r="AO111" s="15"/>
      <c r="AP111" s="15"/>
      <c r="AQ111" s="15"/>
      <c r="AR111" s="15"/>
      <c r="AS111" s="15"/>
      <c r="AT111" s="15"/>
      <c r="AU111" s="15"/>
      <c r="AV111" s="15"/>
      <c r="AW111" s="15"/>
      <c r="AX111" s="15"/>
      <c r="AY111" s="15"/>
      <c r="AZ111" s="15"/>
      <c r="BA111" s="15"/>
      <c r="BB111" s="15"/>
      <c r="BC111" s="15"/>
      <c r="BD111" s="15"/>
      <c r="BE111" s="15"/>
      <c r="BF111" s="15"/>
      <c r="BG111" s="15"/>
      <c r="BH111" s="15"/>
      <c r="BI111" s="15"/>
      <c r="BJ111" s="16"/>
      <c r="BK111" s="1"/>
    </row>
    <row r="112" spans="1:63" ht="16.5" thickBot="1" x14ac:dyDescent="0.3">
      <c r="A112" s="1"/>
      <c r="B112" s="14"/>
      <c r="C112" s="15"/>
      <c r="D112" s="30" t="s">
        <v>90</v>
      </c>
      <c r="E112" s="17" t="s">
        <v>8</v>
      </c>
      <c r="F112" s="17" t="s">
        <v>9</v>
      </c>
      <c r="G112" s="17" t="s">
        <v>3</v>
      </c>
      <c r="H112" s="26">
        <v>1998</v>
      </c>
      <c r="I112" s="26">
        <v>1999</v>
      </c>
      <c r="J112" s="26">
        <v>2000</v>
      </c>
      <c r="K112" s="26">
        <v>2001</v>
      </c>
      <c r="L112" s="26">
        <v>2002</v>
      </c>
      <c r="M112" s="26">
        <v>2003</v>
      </c>
      <c r="N112" s="26">
        <v>2004</v>
      </c>
      <c r="O112" s="26">
        <v>2005</v>
      </c>
      <c r="P112" s="26">
        <v>2006</v>
      </c>
      <c r="Q112" s="26">
        <v>2007</v>
      </c>
      <c r="R112" s="26">
        <v>2008</v>
      </c>
      <c r="S112" s="26">
        <v>2009</v>
      </c>
      <c r="T112" s="26">
        <v>2010</v>
      </c>
      <c r="U112" s="26">
        <v>2011</v>
      </c>
      <c r="V112" s="26">
        <v>2012</v>
      </c>
      <c r="W112" s="26">
        <v>2013</v>
      </c>
      <c r="X112" s="26">
        <v>2014</v>
      </c>
      <c r="Y112" s="26">
        <v>2015</v>
      </c>
      <c r="Z112" s="26">
        <v>2016</v>
      </c>
      <c r="AA112" s="26">
        <v>2017</v>
      </c>
      <c r="AB112" s="26">
        <v>2018</v>
      </c>
      <c r="AC112" s="26">
        <v>2019</v>
      </c>
      <c r="AD112" s="26">
        <v>2020</v>
      </c>
      <c r="AE112" s="26">
        <v>2021</v>
      </c>
      <c r="AF112" s="26">
        <v>2022</v>
      </c>
      <c r="AG112" s="26">
        <v>2023</v>
      </c>
      <c r="AH112" s="26">
        <v>2024</v>
      </c>
      <c r="AI112" s="26">
        <v>2025</v>
      </c>
      <c r="AJ112" s="26">
        <v>2026</v>
      </c>
      <c r="AK112" s="26">
        <v>2027</v>
      </c>
      <c r="AL112" s="26">
        <v>2028</v>
      </c>
      <c r="AM112" s="26">
        <v>2029</v>
      </c>
      <c r="AN112" s="26">
        <v>2030</v>
      </c>
      <c r="AO112" s="26">
        <v>2031</v>
      </c>
      <c r="AP112" s="26">
        <v>2032</v>
      </c>
      <c r="AQ112" s="26">
        <v>2033</v>
      </c>
      <c r="AR112" s="26">
        <v>2034</v>
      </c>
      <c r="AS112" s="26">
        <v>2035</v>
      </c>
      <c r="AT112" s="26">
        <v>2036</v>
      </c>
      <c r="AU112" s="26">
        <v>2037</v>
      </c>
      <c r="AV112" s="26">
        <v>2038</v>
      </c>
      <c r="AW112" s="26">
        <v>2039</v>
      </c>
      <c r="AX112" s="26">
        <v>2040</v>
      </c>
      <c r="AY112" s="26">
        <v>2041</v>
      </c>
      <c r="AZ112" s="26">
        <v>2042</v>
      </c>
      <c r="BA112" s="26">
        <v>2043</v>
      </c>
      <c r="BB112" s="26">
        <v>2044</v>
      </c>
      <c r="BC112" s="26">
        <v>2045</v>
      </c>
      <c r="BD112" s="26">
        <v>2046</v>
      </c>
      <c r="BE112" s="26">
        <v>2047</v>
      </c>
      <c r="BF112" s="26">
        <v>2048</v>
      </c>
      <c r="BG112" s="26">
        <v>2049</v>
      </c>
      <c r="BH112" s="26">
        <v>2050</v>
      </c>
      <c r="BI112" s="15"/>
      <c r="BJ112" s="16"/>
      <c r="BK112" s="1"/>
    </row>
    <row r="113" spans="1:63" ht="16.5" thickTop="1" x14ac:dyDescent="0.25">
      <c r="A113" s="1"/>
      <c r="B113" s="14"/>
      <c r="C113" s="15"/>
      <c r="D113" s="24" t="s">
        <v>89</v>
      </c>
      <c r="E113" s="24"/>
      <c r="F113" s="24"/>
      <c r="G113" s="28" t="s">
        <v>96</v>
      </c>
      <c r="H113" s="31"/>
      <c r="I113" s="31"/>
      <c r="J113" s="31"/>
      <c r="K113" s="31"/>
      <c r="L113" s="31"/>
      <c r="M113" s="31"/>
      <c r="N113" s="31"/>
      <c r="O113" s="31"/>
      <c r="P113" s="31"/>
      <c r="Q113" s="31"/>
      <c r="R113" s="31"/>
      <c r="S113" s="31"/>
      <c r="T113" s="31"/>
      <c r="U113" s="31"/>
      <c r="V113" s="31"/>
      <c r="W113" s="31"/>
      <c r="X113" s="31"/>
      <c r="Y113" s="31">
        <f t="shared" ref="Y113:AO113" si="64">$H$83*Y$101*(+(1+$E$16)^(-($H$82)))+$I$83*Z$101*(+(1+$E$16)^(-($I$82)))+$J$83*AA$101*(+(1+$E$16)^(-($J$82)))+$K$83*AB$101*(+(1+$E$16)^(-($K$82)))+$L$83*AC$101*(+(1+$E$16)^(-($L$82)))</f>
        <v>15487.948869148468</v>
      </c>
      <c r="Z113" s="31">
        <f t="shared" si="64"/>
        <v>14965.492492672916</v>
      </c>
      <c r="AA113" s="31">
        <f t="shared" si="64"/>
        <v>14512.726718645456</v>
      </c>
      <c r="AB113" s="31">
        <f t="shared" si="64"/>
        <v>14138.431566783789</v>
      </c>
      <c r="AC113" s="31">
        <f t="shared" si="64"/>
        <v>13803.050386067722</v>
      </c>
      <c r="AD113" s="31">
        <f t="shared" si="64"/>
        <v>13494.457679680974</v>
      </c>
      <c r="AE113" s="31">
        <f t="shared" si="64"/>
        <v>13239.011384666417</v>
      </c>
      <c r="AF113" s="31">
        <f t="shared" si="64"/>
        <v>12995.712297266786</v>
      </c>
      <c r="AG113" s="31">
        <f t="shared" si="64"/>
        <v>12768.904745372736</v>
      </c>
      <c r="AH113" s="31">
        <f t="shared" si="64"/>
        <v>12550.840207429277</v>
      </c>
      <c r="AI113" s="31">
        <f t="shared" si="64"/>
        <v>12338.610383261312</v>
      </c>
      <c r="AJ113" s="31">
        <f t="shared" si="64"/>
        <v>12132.516917827234</v>
      </c>
      <c r="AK113" s="31">
        <f t="shared" si="64"/>
        <v>11934.043635322001</v>
      </c>
      <c r="AL113" s="31">
        <f t="shared" si="64"/>
        <v>11743.117949816955</v>
      </c>
      <c r="AM113" s="31">
        <f t="shared" si="64"/>
        <v>11560.142167687622</v>
      </c>
      <c r="AN113" s="31">
        <f t="shared" si="64"/>
        <v>11385.490395209656</v>
      </c>
      <c r="AO113" s="31">
        <f t="shared" si="64"/>
        <v>11234.621398899408</v>
      </c>
      <c r="AP113" s="31">
        <f t="shared" ref="AP113:BC113" si="65">$H$83*AP$101*(+(1+$E$16)^(-($H$82)))+$I$83*AQ$101*(+(1+$E$16)^(-($I$82)))+$J$83*AR$101*(+(1+$E$16)^(-($J$82)))+$K$83*AS$101*(+(1+$E$16)^(-($K$82)))+$L$83*AT$101*(+(1+$E$16)^(-($L$82)))</f>
        <v>11090.51119188765</v>
      </c>
      <c r="AQ113" s="31">
        <f t="shared" si="65"/>
        <v>10954.594056006321</v>
      </c>
      <c r="AR113" s="31">
        <f t="shared" si="65"/>
        <v>10828.105895055178</v>
      </c>
      <c r="AS113" s="31">
        <f t="shared" si="65"/>
        <v>10745.828546536126</v>
      </c>
      <c r="AT113" s="31">
        <f t="shared" si="65"/>
        <v>10628.967271130259</v>
      </c>
      <c r="AU113" s="31">
        <f t="shared" si="65"/>
        <v>10518.084719199047</v>
      </c>
      <c r="AV113" s="31">
        <f t="shared" si="65"/>
        <v>10413.045203096437</v>
      </c>
      <c r="AW113" s="31">
        <f t="shared" si="65"/>
        <v>10313.452984566178</v>
      </c>
      <c r="AX113" s="31">
        <f t="shared" si="65"/>
        <v>10218.641758724245</v>
      </c>
      <c r="AY113" s="31">
        <f t="shared" si="65"/>
        <v>10121.90275589142</v>
      </c>
      <c r="AZ113" s="31">
        <f t="shared" si="65"/>
        <v>10028.776602804041</v>
      </c>
      <c r="BA113" s="31">
        <f t="shared" si="65"/>
        <v>9938.8572911164865</v>
      </c>
      <c r="BB113" s="31">
        <f t="shared" si="65"/>
        <v>9851.6927905342818</v>
      </c>
      <c r="BC113" s="31">
        <f t="shared" si="65"/>
        <v>9766.8215583970832</v>
      </c>
      <c r="BD113" s="31">
        <f>$H$83*BD$101*(+(1+$E$16)^(-($H$82)))+$I$83*BE$101*(+(1+$E$16)^(-($I$82)))+$J$83*BF$101*(+(1+$E$16)^(-($J$82)))+$K$83*BG$101*(+(1+$E$16)^(-($K$82)))+$L$83*BH$101*(+(1+$E$16)^(-($L$82)))</f>
        <v>9683.8178589654017</v>
      </c>
      <c r="BE113" s="31"/>
      <c r="BF113" s="31"/>
      <c r="BG113" s="31"/>
      <c r="BH113" s="31"/>
      <c r="BI113" s="15"/>
      <c r="BJ113" s="16"/>
      <c r="BK113" s="1"/>
    </row>
    <row r="114" spans="1:63" ht="15.75" x14ac:dyDescent="0.25">
      <c r="A114" s="1"/>
      <c r="B114" s="14"/>
      <c r="C114" s="15"/>
      <c r="D114" s="24" t="s">
        <v>51</v>
      </c>
      <c r="E114" s="24"/>
      <c r="F114" s="24"/>
      <c r="G114" s="28" t="s">
        <v>96</v>
      </c>
      <c r="H114" s="31"/>
      <c r="I114" s="31"/>
      <c r="J114" s="31"/>
      <c r="K114" s="31"/>
      <c r="L114" s="31"/>
      <c r="M114" s="31"/>
      <c r="N114" s="31"/>
      <c r="O114" s="31"/>
      <c r="P114" s="31"/>
      <c r="Q114" s="31"/>
      <c r="R114" s="31"/>
      <c r="S114" s="31"/>
      <c r="T114" s="31"/>
      <c r="U114" s="31"/>
      <c r="V114" s="31"/>
      <c r="W114" s="31"/>
      <c r="X114" s="31"/>
      <c r="Y114" s="31">
        <f>$H84*(+(1+$E$16)^(-($H$82)))+$I84*(+(1+$E$16)^(-($I$82)))+$J84*(+(1+$E$16)^(-($J$82)))+$K84*(+(1+$E$16)^(-($K$82)))+$L84*(+(1+$E$16)^(-($L$82)))</f>
        <v>2541.1026046370698</v>
      </c>
      <c r="Z114" s="31">
        <f t="shared" ref="Z114:BD114" si="66">$H84*(+(1+$E$16)^(-($H$82)))+$I84*(+(1+$E$16)^(-($I$82)))+$J84*(+(1+$E$16)^(-($J$82)))+$K84*(+(1+$E$16)^(-($K$82)))+$L84*(+(1+$E$16)^(-($L$82)))</f>
        <v>2541.1026046370698</v>
      </c>
      <c r="AA114" s="31">
        <f t="shared" si="66"/>
        <v>2541.1026046370698</v>
      </c>
      <c r="AB114" s="31">
        <f t="shared" si="66"/>
        <v>2541.1026046370698</v>
      </c>
      <c r="AC114" s="31">
        <f t="shared" si="66"/>
        <v>2541.1026046370698</v>
      </c>
      <c r="AD114" s="31">
        <f t="shared" si="66"/>
        <v>2541.1026046370698</v>
      </c>
      <c r="AE114" s="31">
        <f t="shared" si="66"/>
        <v>2541.1026046370698</v>
      </c>
      <c r="AF114" s="31">
        <f t="shared" si="66"/>
        <v>2541.1026046370698</v>
      </c>
      <c r="AG114" s="31">
        <f t="shared" si="66"/>
        <v>2541.1026046370698</v>
      </c>
      <c r="AH114" s="31">
        <f t="shared" si="66"/>
        <v>2541.1026046370698</v>
      </c>
      <c r="AI114" s="31">
        <f t="shared" si="66"/>
        <v>2541.1026046370698</v>
      </c>
      <c r="AJ114" s="31">
        <f t="shared" si="66"/>
        <v>2541.1026046370698</v>
      </c>
      <c r="AK114" s="31">
        <f t="shared" si="66"/>
        <v>2541.1026046370698</v>
      </c>
      <c r="AL114" s="31">
        <f t="shared" si="66"/>
        <v>2541.1026046370698</v>
      </c>
      <c r="AM114" s="31">
        <f t="shared" si="66"/>
        <v>2541.1026046370698</v>
      </c>
      <c r="AN114" s="31">
        <f t="shared" si="66"/>
        <v>2541.1026046370698</v>
      </c>
      <c r="AO114" s="31">
        <f t="shared" si="66"/>
        <v>2541.1026046370698</v>
      </c>
      <c r="AP114" s="31">
        <f t="shared" si="66"/>
        <v>2541.1026046370698</v>
      </c>
      <c r="AQ114" s="31">
        <f t="shared" si="66"/>
        <v>2541.1026046370698</v>
      </c>
      <c r="AR114" s="31">
        <f t="shared" si="66"/>
        <v>2541.1026046370698</v>
      </c>
      <c r="AS114" s="31">
        <f t="shared" si="66"/>
        <v>2541.1026046370698</v>
      </c>
      <c r="AT114" s="31">
        <f t="shared" si="66"/>
        <v>2541.1026046370698</v>
      </c>
      <c r="AU114" s="31">
        <f t="shared" si="66"/>
        <v>2541.1026046370698</v>
      </c>
      <c r="AV114" s="31">
        <f t="shared" si="66"/>
        <v>2541.1026046370698</v>
      </c>
      <c r="AW114" s="31">
        <f t="shared" si="66"/>
        <v>2541.1026046370698</v>
      </c>
      <c r="AX114" s="31">
        <f t="shared" si="66"/>
        <v>2541.1026046370698</v>
      </c>
      <c r="AY114" s="31">
        <f t="shared" si="66"/>
        <v>2541.1026046370698</v>
      </c>
      <c r="AZ114" s="31">
        <f t="shared" si="66"/>
        <v>2541.1026046370698</v>
      </c>
      <c r="BA114" s="31">
        <f t="shared" si="66"/>
        <v>2541.1026046370698</v>
      </c>
      <c r="BB114" s="31">
        <f t="shared" si="66"/>
        <v>2541.1026046370698</v>
      </c>
      <c r="BC114" s="31">
        <f t="shared" si="66"/>
        <v>2541.1026046370698</v>
      </c>
      <c r="BD114" s="31">
        <f t="shared" si="66"/>
        <v>2541.1026046370698</v>
      </c>
      <c r="BE114" s="31"/>
      <c r="BF114" s="31"/>
      <c r="BG114" s="31"/>
      <c r="BH114" s="31"/>
      <c r="BI114" s="15"/>
      <c r="BJ114" s="16"/>
      <c r="BK114" s="1"/>
    </row>
    <row r="115" spans="1:63" ht="15.75" x14ac:dyDescent="0.25">
      <c r="A115" s="1"/>
      <c r="B115" s="14"/>
      <c r="C115" s="15"/>
      <c r="D115" s="24" t="s">
        <v>42</v>
      </c>
      <c r="E115" s="24"/>
      <c r="F115" s="24"/>
      <c r="G115" s="28" t="s">
        <v>96</v>
      </c>
      <c r="H115" s="31"/>
      <c r="I115" s="31"/>
      <c r="J115" s="31"/>
      <c r="K115" s="31"/>
      <c r="L115" s="31"/>
      <c r="M115" s="31"/>
      <c r="N115" s="31"/>
      <c r="O115" s="31"/>
      <c r="P115" s="31"/>
      <c r="Q115" s="31"/>
      <c r="R115" s="31"/>
      <c r="S115" s="31"/>
      <c r="T115" s="31"/>
      <c r="U115" s="31"/>
      <c r="V115" s="31"/>
      <c r="W115" s="31"/>
      <c r="X115" s="31"/>
      <c r="Y115" s="31">
        <f t="shared" ref="Y115:BD115" si="67">$H85*(+(1+$E$16)^(-($H$82)))+$I85*(+(1+$E$16)^(-($I$82)))+$J85*(+(1+$E$16)^(-($J$82)))+$K85*(+(1+$E$16)^(-($K$82)))+$L85*(+(1+$E$16)^(-($L$82)))</f>
        <v>5669.7490212757966</v>
      </c>
      <c r="Z115" s="31">
        <f t="shared" si="67"/>
        <v>5669.7490212757966</v>
      </c>
      <c r="AA115" s="31">
        <f t="shared" si="67"/>
        <v>5669.7490212757966</v>
      </c>
      <c r="AB115" s="31">
        <f t="shared" si="67"/>
        <v>5669.7490212757966</v>
      </c>
      <c r="AC115" s="31">
        <f t="shared" si="67"/>
        <v>5669.7490212757966</v>
      </c>
      <c r="AD115" s="31">
        <f t="shared" si="67"/>
        <v>5669.7490212757966</v>
      </c>
      <c r="AE115" s="31">
        <f t="shared" si="67"/>
        <v>5669.7490212757966</v>
      </c>
      <c r="AF115" s="31">
        <f t="shared" si="67"/>
        <v>5669.7490212757966</v>
      </c>
      <c r="AG115" s="31">
        <f t="shared" si="67"/>
        <v>5669.7490212757966</v>
      </c>
      <c r="AH115" s="31">
        <f t="shared" si="67"/>
        <v>5669.7490212757966</v>
      </c>
      <c r="AI115" s="31">
        <f t="shared" si="67"/>
        <v>5669.7490212757966</v>
      </c>
      <c r="AJ115" s="31">
        <f t="shared" si="67"/>
        <v>5669.7490212757966</v>
      </c>
      <c r="AK115" s="31">
        <f t="shared" si="67"/>
        <v>5669.7490212757966</v>
      </c>
      <c r="AL115" s="31">
        <f t="shared" si="67"/>
        <v>5669.7490212757966</v>
      </c>
      <c r="AM115" s="31">
        <f t="shared" si="67"/>
        <v>5669.7490212757966</v>
      </c>
      <c r="AN115" s="31">
        <f t="shared" si="67"/>
        <v>5669.7490212757966</v>
      </c>
      <c r="AO115" s="31">
        <f t="shared" si="67"/>
        <v>5669.7490212757966</v>
      </c>
      <c r="AP115" s="31">
        <f t="shared" si="67"/>
        <v>5669.7490212757966</v>
      </c>
      <c r="AQ115" s="31">
        <f t="shared" si="67"/>
        <v>5669.7490212757966</v>
      </c>
      <c r="AR115" s="31">
        <f t="shared" si="67"/>
        <v>5669.7490212757966</v>
      </c>
      <c r="AS115" s="31">
        <f t="shared" si="67"/>
        <v>5669.7490212757966</v>
      </c>
      <c r="AT115" s="31">
        <f t="shared" si="67"/>
        <v>5669.7490212757966</v>
      </c>
      <c r="AU115" s="31">
        <f t="shared" si="67"/>
        <v>5669.7490212757966</v>
      </c>
      <c r="AV115" s="31">
        <f t="shared" si="67"/>
        <v>5669.7490212757966</v>
      </c>
      <c r="AW115" s="31">
        <f t="shared" si="67"/>
        <v>5669.7490212757966</v>
      </c>
      <c r="AX115" s="31">
        <f t="shared" si="67"/>
        <v>5669.7490212757966</v>
      </c>
      <c r="AY115" s="31">
        <f t="shared" si="67"/>
        <v>5669.7490212757966</v>
      </c>
      <c r="AZ115" s="31">
        <f t="shared" si="67"/>
        <v>5669.7490212757966</v>
      </c>
      <c r="BA115" s="31">
        <f t="shared" si="67"/>
        <v>5669.7490212757966</v>
      </c>
      <c r="BB115" s="31">
        <f t="shared" si="67"/>
        <v>5669.7490212757966</v>
      </c>
      <c r="BC115" s="31">
        <f t="shared" si="67"/>
        <v>5669.7490212757966</v>
      </c>
      <c r="BD115" s="31">
        <f t="shared" si="67"/>
        <v>5669.7490212757966</v>
      </c>
      <c r="BE115" s="31"/>
      <c r="BF115" s="31"/>
      <c r="BG115" s="31"/>
      <c r="BH115" s="31"/>
      <c r="BI115" s="15"/>
      <c r="BJ115" s="16"/>
      <c r="BK115" s="1"/>
    </row>
    <row r="116" spans="1:63" ht="15.75" x14ac:dyDescent="0.25">
      <c r="A116" s="1"/>
      <c r="B116" s="14"/>
      <c r="C116" s="15"/>
      <c r="D116" s="24" t="s">
        <v>44</v>
      </c>
      <c r="E116" s="24"/>
      <c r="F116" s="24"/>
      <c r="G116" s="28" t="s">
        <v>96</v>
      </c>
      <c r="H116" s="31"/>
      <c r="I116" s="31"/>
      <c r="J116" s="31"/>
      <c r="K116" s="31"/>
      <c r="L116" s="31"/>
      <c r="M116" s="31"/>
      <c r="N116" s="31"/>
      <c r="O116" s="31"/>
      <c r="P116" s="31"/>
      <c r="Q116" s="31"/>
      <c r="R116" s="31"/>
      <c r="S116" s="31"/>
      <c r="T116" s="31"/>
      <c r="U116" s="31"/>
      <c r="V116" s="31"/>
      <c r="W116" s="31"/>
      <c r="X116" s="31"/>
      <c r="Y116" s="31">
        <f t="shared" ref="Y116:BD116" si="68">$H86*(+(1+$E$16)^(-($H$82)))+$I86*(+(1+$E$16)^(-($I$82)))+$J86*(+(1+$E$16)^(-($J$82)))+$K86*(+(1+$E$16)^(-($K$82)))+$L86*(+(1+$E$16)^(-($L$82)))</f>
        <v>2499.6546753325392</v>
      </c>
      <c r="Z116" s="31">
        <f t="shared" si="68"/>
        <v>2499.6546753325392</v>
      </c>
      <c r="AA116" s="31">
        <f t="shared" si="68"/>
        <v>2499.6546753325392</v>
      </c>
      <c r="AB116" s="31">
        <f t="shared" si="68"/>
        <v>2499.6546753325392</v>
      </c>
      <c r="AC116" s="31">
        <f t="shared" si="68"/>
        <v>2499.6546753325392</v>
      </c>
      <c r="AD116" s="31">
        <f t="shared" si="68"/>
        <v>2499.6546753325392</v>
      </c>
      <c r="AE116" s="31">
        <f t="shared" si="68"/>
        <v>2499.6546753325392</v>
      </c>
      <c r="AF116" s="31">
        <f t="shared" si="68"/>
        <v>2499.6546753325392</v>
      </c>
      <c r="AG116" s="31">
        <f t="shared" si="68"/>
        <v>2499.6546753325392</v>
      </c>
      <c r="AH116" s="31">
        <f t="shared" si="68"/>
        <v>2499.6546753325392</v>
      </c>
      <c r="AI116" s="31">
        <f t="shared" si="68"/>
        <v>2499.6546753325392</v>
      </c>
      <c r="AJ116" s="31">
        <f t="shared" si="68"/>
        <v>2499.6546753325392</v>
      </c>
      <c r="AK116" s="31">
        <f t="shared" si="68"/>
        <v>2499.6546753325392</v>
      </c>
      <c r="AL116" s="31">
        <f t="shared" si="68"/>
        <v>2499.6546753325392</v>
      </c>
      <c r="AM116" s="31">
        <f t="shared" si="68"/>
        <v>2499.6546753325392</v>
      </c>
      <c r="AN116" s="31">
        <f t="shared" si="68"/>
        <v>2499.6546753325392</v>
      </c>
      <c r="AO116" s="31">
        <f t="shared" si="68"/>
        <v>2499.6546753325392</v>
      </c>
      <c r="AP116" s="31">
        <f t="shared" si="68"/>
        <v>2499.6546753325392</v>
      </c>
      <c r="AQ116" s="31">
        <f t="shared" si="68"/>
        <v>2499.6546753325392</v>
      </c>
      <c r="AR116" s="31">
        <f t="shared" si="68"/>
        <v>2499.6546753325392</v>
      </c>
      <c r="AS116" s="31">
        <f t="shared" si="68"/>
        <v>2499.6546753325392</v>
      </c>
      <c r="AT116" s="31">
        <f t="shared" si="68"/>
        <v>2499.6546753325392</v>
      </c>
      <c r="AU116" s="31">
        <f t="shared" si="68"/>
        <v>2499.6546753325392</v>
      </c>
      <c r="AV116" s="31">
        <f t="shared" si="68"/>
        <v>2499.6546753325392</v>
      </c>
      <c r="AW116" s="31">
        <f t="shared" si="68"/>
        <v>2499.6546753325392</v>
      </c>
      <c r="AX116" s="31">
        <f t="shared" si="68"/>
        <v>2499.6546753325392</v>
      </c>
      <c r="AY116" s="31">
        <f t="shared" si="68"/>
        <v>2499.6546753325392</v>
      </c>
      <c r="AZ116" s="31">
        <f t="shared" si="68"/>
        <v>2499.6546753325392</v>
      </c>
      <c r="BA116" s="31">
        <f t="shared" si="68"/>
        <v>2499.6546753325392</v>
      </c>
      <c r="BB116" s="31">
        <f t="shared" si="68"/>
        <v>2499.6546753325392</v>
      </c>
      <c r="BC116" s="31">
        <f t="shared" si="68"/>
        <v>2499.6546753325392</v>
      </c>
      <c r="BD116" s="31">
        <f t="shared" si="68"/>
        <v>2499.6546753325392</v>
      </c>
      <c r="BE116" s="31"/>
      <c r="BF116" s="31"/>
      <c r="BG116" s="31"/>
      <c r="BH116" s="31"/>
      <c r="BI116" s="15"/>
      <c r="BJ116" s="16"/>
      <c r="BK116" s="1"/>
    </row>
    <row r="117" spans="1:63" ht="15.75" x14ac:dyDescent="0.25">
      <c r="A117" s="1"/>
      <c r="B117" s="14"/>
      <c r="C117" s="15"/>
      <c r="D117" s="24" t="s">
        <v>46</v>
      </c>
      <c r="E117" s="24"/>
      <c r="F117" s="24"/>
      <c r="G117" s="28" t="s">
        <v>96</v>
      </c>
      <c r="H117" s="31"/>
      <c r="I117" s="31"/>
      <c r="J117" s="31"/>
      <c r="K117" s="31"/>
      <c r="L117" s="31"/>
      <c r="M117" s="31"/>
      <c r="N117" s="31"/>
      <c r="O117" s="31"/>
      <c r="P117" s="31"/>
      <c r="Q117" s="31"/>
      <c r="R117" s="31"/>
      <c r="S117" s="31"/>
      <c r="T117" s="31"/>
      <c r="U117" s="31"/>
      <c r="V117" s="31"/>
      <c r="W117" s="31"/>
      <c r="X117" s="31"/>
      <c r="Y117" s="31">
        <f t="shared" ref="Y117:BD117" si="69">$H87*(+(1+$E$16)^(-($H$82)))+$I87*(+(1+$E$16)^(-($I$82)))+$J87*(+(1+$E$16)^(-($J$82)))+$K87*(+(1+$E$16)^(-($K$82)))+$L87*(+(1+$E$16)^(-($L$82)))</f>
        <v>764.06497282289502</v>
      </c>
      <c r="Z117" s="31">
        <f t="shared" si="69"/>
        <v>764.06497282289502</v>
      </c>
      <c r="AA117" s="31">
        <f t="shared" si="69"/>
        <v>764.06497282289502</v>
      </c>
      <c r="AB117" s="31">
        <f t="shared" si="69"/>
        <v>764.06497282289502</v>
      </c>
      <c r="AC117" s="31">
        <f t="shared" si="69"/>
        <v>764.06497282289502</v>
      </c>
      <c r="AD117" s="31">
        <f t="shared" si="69"/>
        <v>764.06497282289502</v>
      </c>
      <c r="AE117" s="31">
        <f t="shared" si="69"/>
        <v>764.06497282289502</v>
      </c>
      <c r="AF117" s="31">
        <f t="shared" si="69"/>
        <v>764.06497282289502</v>
      </c>
      <c r="AG117" s="31">
        <f t="shared" si="69"/>
        <v>764.06497282289502</v>
      </c>
      <c r="AH117" s="31">
        <f t="shared" si="69"/>
        <v>764.06497282289502</v>
      </c>
      <c r="AI117" s="31">
        <f t="shared" si="69"/>
        <v>764.06497282289502</v>
      </c>
      <c r="AJ117" s="31">
        <f t="shared" si="69"/>
        <v>764.06497282289502</v>
      </c>
      <c r="AK117" s="31">
        <f t="shared" si="69"/>
        <v>764.06497282289502</v>
      </c>
      <c r="AL117" s="31">
        <f t="shared" si="69"/>
        <v>764.06497282289502</v>
      </c>
      <c r="AM117" s="31">
        <f t="shared" si="69"/>
        <v>764.06497282289502</v>
      </c>
      <c r="AN117" s="31">
        <f t="shared" si="69"/>
        <v>764.06497282289502</v>
      </c>
      <c r="AO117" s="31">
        <f t="shared" si="69"/>
        <v>764.06497282289502</v>
      </c>
      <c r="AP117" s="31">
        <f t="shared" si="69"/>
        <v>764.06497282289502</v>
      </c>
      <c r="AQ117" s="31">
        <f t="shared" si="69"/>
        <v>764.06497282289502</v>
      </c>
      <c r="AR117" s="31">
        <f t="shared" si="69"/>
        <v>764.06497282289502</v>
      </c>
      <c r="AS117" s="31">
        <f t="shared" si="69"/>
        <v>764.06497282289502</v>
      </c>
      <c r="AT117" s="31">
        <f t="shared" si="69"/>
        <v>764.06497282289502</v>
      </c>
      <c r="AU117" s="31">
        <f t="shared" si="69"/>
        <v>764.06497282289502</v>
      </c>
      <c r="AV117" s="31">
        <f t="shared" si="69"/>
        <v>764.06497282289502</v>
      </c>
      <c r="AW117" s="31">
        <f t="shared" si="69"/>
        <v>764.06497282289502</v>
      </c>
      <c r="AX117" s="31">
        <f t="shared" si="69"/>
        <v>764.06497282289502</v>
      </c>
      <c r="AY117" s="31">
        <f t="shared" si="69"/>
        <v>764.06497282289502</v>
      </c>
      <c r="AZ117" s="31">
        <f t="shared" si="69"/>
        <v>764.06497282289502</v>
      </c>
      <c r="BA117" s="31">
        <f t="shared" si="69"/>
        <v>764.06497282289502</v>
      </c>
      <c r="BB117" s="31">
        <f t="shared" si="69"/>
        <v>764.06497282289502</v>
      </c>
      <c r="BC117" s="31">
        <f t="shared" si="69"/>
        <v>764.06497282289502</v>
      </c>
      <c r="BD117" s="31">
        <f t="shared" si="69"/>
        <v>764.06497282289502</v>
      </c>
      <c r="BE117" s="31"/>
      <c r="BF117" s="31"/>
      <c r="BG117" s="31"/>
      <c r="BH117" s="31"/>
      <c r="BI117" s="15"/>
      <c r="BJ117" s="16"/>
      <c r="BK117" s="1"/>
    </row>
    <row r="118" spans="1:63" ht="15.75" x14ac:dyDescent="0.25">
      <c r="A118" s="1"/>
      <c r="B118" s="14"/>
      <c r="C118" s="15"/>
      <c r="D118" s="24" t="s">
        <v>43</v>
      </c>
      <c r="E118" s="24"/>
      <c r="F118" s="24"/>
      <c r="G118" s="28" t="s">
        <v>96</v>
      </c>
      <c r="H118" s="31"/>
      <c r="I118" s="31"/>
      <c r="J118" s="31"/>
      <c r="K118" s="31"/>
      <c r="L118" s="31"/>
      <c r="M118" s="31"/>
      <c r="N118" s="31"/>
      <c r="O118" s="31"/>
      <c r="P118" s="31"/>
      <c r="Q118" s="31"/>
      <c r="R118" s="31"/>
      <c r="S118" s="31"/>
      <c r="T118" s="31"/>
      <c r="U118" s="31"/>
      <c r="V118" s="31"/>
      <c r="W118" s="31"/>
      <c r="X118" s="31"/>
      <c r="Y118" s="31">
        <f>($E$15/$H$23)*Y$94*(+(1+$E$16)^(-($H$82)))+($E$15/$H$23)*Z$94*(+(1+$E$16)^(-($I$82)))+($E$15/$H$23)*AA$94*(+(1+$E$16)^(-($J$82)))+($E$15/$H$23)*AB$94*(+(1+$E$16)^(-($K$82)))+($E$15/$H$23)*AC$94*(+(1+$E$16)^(-($L$82)))</f>
        <v>3180.1108264330142</v>
      </c>
      <c r="Z118" s="31">
        <f t="shared" ref="Z118:BD118" si="70">($E$15/$H$23)*Z$94*(+(1+$E$16)^(-($H$82)))+($E$15/$H$23)*AA$94*(+(1+$E$16)^(-($I$82)))+($E$15/$H$23)*AB$94*(+(1+$E$16)^(-($J$82)))+($E$15/$H$23)*AC$94*(+(1+$E$16)^(-($K$82)))+($E$15/$H$23)*AD$94*(+(1+$E$16)^(-($L$82)))</f>
        <v>3071.8449826426813</v>
      </c>
      <c r="AA118" s="31">
        <f t="shared" si="70"/>
        <v>2979.9552828598098</v>
      </c>
      <c r="AB118" s="31">
        <f t="shared" si="70"/>
        <v>2900.5896016902125</v>
      </c>
      <c r="AC118" s="31">
        <f t="shared" si="70"/>
        <v>2822.0750646627444</v>
      </c>
      <c r="AD118" s="31">
        <f t="shared" si="70"/>
        <v>2746.745402758128</v>
      </c>
      <c r="AE118" s="31">
        <f t="shared" si="70"/>
        <v>2675.2544414666045</v>
      </c>
      <c r="AF118" s="31">
        <f t="shared" si="70"/>
        <v>2604.5726049277137</v>
      </c>
      <c r="AG118" s="31">
        <f t="shared" si="70"/>
        <v>2538.1538071863083</v>
      </c>
      <c r="AH118" s="31">
        <f t="shared" si="70"/>
        <v>2474.6703914162936</v>
      </c>
      <c r="AI118" s="31">
        <f t="shared" si="70"/>
        <v>2414.6829740624175</v>
      </c>
      <c r="AJ118" s="31">
        <f t="shared" si="70"/>
        <v>2356.8115782800096</v>
      </c>
      <c r="AK118" s="31">
        <f t="shared" si="70"/>
        <v>2317.3717848344654</v>
      </c>
      <c r="AL118" s="31">
        <f t="shared" si="70"/>
        <v>2281.5389588725711</v>
      </c>
      <c r="AM118" s="31">
        <f t="shared" si="70"/>
        <v>2250.4866216444007</v>
      </c>
      <c r="AN118" s="31">
        <f t="shared" si="70"/>
        <v>2221.702467561478</v>
      </c>
      <c r="AO118" s="31">
        <f t="shared" si="70"/>
        <v>2193.2956525753266</v>
      </c>
      <c r="AP118" s="31">
        <f t="shared" si="70"/>
        <v>2194.350470924961</v>
      </c>
      <c r="AQ118" s="31">
        <f t="shared" si="70"/>
        <v>2203.6609326384273</v>
      </c>
      <c r="AR118" s="31">
        <f t="shared" si="70"/>
        <v>2221.8020152483414</v>
      </c>
      <c r="AS118" s="31">
        <f t="shared" si="70"/>
        <v>2250.77787998333</v>
      </c>
      <c r="AT118" s="31">
        <f t="shared" si="70"/>
        <v>2295.5108030189685</v>
      </c>
      <c r="AU118" s="31">
        <f t="shared" si="70"/>
        <v>2281.8422749750434</v>
      </c>
      <c r="AV118" s="31">
        <f t="shared" si="70"/>
        <v>2268.1788998605325</v>
      </c>
      <c r="AW118" s="31">
        <f t="shared" si="70"/>
        <v>2254.5157726708858</v>
      </c>
      <c r="AX118" s="31">
        <f t="shared" si="70"/>
        <v>2240.8476736032453</v>
      </c>
      <c r="AY118" s="31">
        <f t="shared" si="70"/>
        <v>2227.1690458675503</v>
      </c>
      <c r="AZ118" s="31">
        <f t="shared" si="70"/>
        <v>2213.5004535127819</v>
      </c>
      <c r="BA118" s="31">
        <f t="shared" si="70"/>
        <v>2199.8371554890864</v>
      </c>
      <c r="BB118" s="31">
        <f t="shared" si="70"/>
        <v>2186.1741091892218</v>
      </c>
      <c r="BC118" s="31">
        <f t="shared" si="70"/>
        <v>2172.5059491728248</v>
      </c>
      <c r="BD118" s="31">
        <f t="shared" si="70"/>
        <v>2158.8269644022726</v>
      </c>
      <c r="BE118" s="31"/>
      <c r="BF118" s="31"/>
      <c r="BG118" s="31"/>
      <c r="BH118" s="31"/>
      <c r="BI118" s="15"/>
      <c r="BJ118" s="16"/>
      <c r="BK118" s="1"/>
    </row>
    <row r="119" spans="1:63" ht="15.75" x14ac:dyDescent="0.25">
      <c r="A119" s="1"/>
      <c r="B119" s="14"/>
      <c r="C119" s="15"/>
      <c r="D119" s="48" t="s">
        <v>88</v>
      </c>
      <c r="E119" s="48"/>
      <c r="F119" s="48"/>
      <c r="G119" s="49" t="s">
        <v>97</v>
      </c>
      <c r="H119" s="34"/>
      <c r="I119" s="34"/>
      <c r="J119" s="34"/>
      <c r="K119" s="34"/>
      <c r="L119" s="34"/>
      <c r="M119" s="34"/>
      <c r="N119" s="34"/>
      <c r="O119" s="34"/>
      <c r="P119" s="34"/>
      <c r="Q119" s="34"/>
      <c r="R119" s="34"/>
      <c r="S119" s="34"/>
      <c r="T119" s="34"/>
      <c r="U119" s="34"/>
      <c r="V119" s="34"/>
      <c r="W119" s="34"/>
      <c r="X119" s="34"/>
      <c r="Y119" s="34">
        <f t="shared" ref="Y119:AO119" si="71">SUM(Y113:Y118)</f>
        <v>30142.630969649781</v>
      </c>
      <c r="Z119" s="34">
        <f t="shared" si="71"/>
        <v>29511.908749383896</v>
      </c>
      <c r="AA119" s="34">
        <f t="shared" si="71"/>
        <v>28967.253275573566</v>
      </c>
      <c r="AB119" s="34">
        <f t="shared" si="71"/>
        <v>28513.5924425423</v>
      </c>
      <c r="AC119" s="34">
        <f t="shared" si="71"/>
        <v>28099.696724798767</v>
      </c>
      <c r="AD119" s="34">
        <f t="shared" si="71"/>
        <v>27715.774356507405</v>
      </c>
      <c r="AE119" s="34">
        <f t="shared" si="71"/>
        <v>27388.837100201323</v>
      </c>
      <c r="AF119" s="34">
        <f t="shared" si="71"/>
        <v>27074.856176262801</v>
      </c>
      <c r="AG119" s="34">
        <f t="shared" si="71"/>
        <v>26781.629826627344</v>
      </c>
      <c r="AH119" s="34">
        <f t="shared" si="71"/>
        <v>26500.08187291387</v>
      </c>
      <c r="AI119" s="34">
        <f t="shared" si="71"/>
        <v>26227.864631392029</v>
      </c>
      <c r="AJ119" s="34">
        <f t="shared" si="71"/>
        <v>25963.899770175543</v>
      </c>
      <c r="AK119" s="34">
        <f t="shared" si="71"/>
        <v>25725.986694224765</v>
      </c>
      <c r="AL119" s="34">
        <f t="shared" si="71"/>
        <v>25499.228182757826</v>
      </c>
      <c r="AM119" s="34">
        <f t="shared" si="71"/>
        <v>25285.20006340032</v>
      </c>
      <c r="AN119" s="34">
        <f t="shared" si="71"/>
        <v>25081.764136839436</v>
      </c>
      <c r="AO119" s="34">
        <f t="shared" si="71"/>
        <v>24902.488325543032</v>
      </c>
      <c r="AP119" s="34">
        <f t="shared" ref="AP119:BD119" si="72">SUM(AP113:AP118)</f>
        <v>24759.432936880912</v>
      </c>
      <c r="AQ119" s="34">
        <f t="shared" si="72"/>
        <v>24632.82626271305</v>
      </c>
      <c r="AR119" s="34">
        <f t="shared" si="72"/>
        <v>24524.479184371819</v>
      </c>
      <c r="AS119" s="34">
        <f t="shared" si="72"/>
        <v>24471.177700587756</v>
      </c>
      <c r="AT119" s="34">
        <f t="shared" si="72"/>
        <v>24399.04934821753</v>
      </c>
      <c r="AU119" s="34">
        <f t="shared" si="72"/>
        <v>24274.498268242391</v>
      </c>
      <c r="AV119" s="34">
        <f t="shared" si="72"/>
        <v>24155.795377025272</v>
      </c>
      <c r="AW119" s="34">
        <f t="shared" si="72"/>
        <v>24042.540031305365</v>
      </c>
      <c r="AX119" s="34">
        <f t="shared" si="72"/>
        <v>23934.060706395794</v>
      </c>
      <c r="AY119" s="34">
        <f t="shared" si="72"/>
        <v>23823.643075827273</v>
      </c>
      <c r="AZ119" s="34">
        <f t="shared" si="72"/>
        <v>23716.848330385124</v>
      </c>
      <c r="BA119" s="34">
        <f t="shared" si="72"/>
        <v>23613.265720673877</v>
      </c>
      <c r="BB119" s="34">
        <f t="shared" si="72"/>
        <v>23512.438173791805</v>
      </c>
      <c r="BC119" s="34">
        <f t="shared" si="72"/>
        <v>23413.898781638207</v>
      </c>
      <c r="BD119" s="34">
        <f t="shared" si="72"/>
        <v>23317.216097435976</v>
      </c>
      <c r="BE119" s="34"/>
      <c r="BF119" s="34"/>
      <c r="BG119" s="34"/>
      <c r="BH119" s="34"/>
      <c r="BI119" s="15"/>
      <c r="BJ119" s="16"/>
      <c r="BK119" s="1"/>
    </row>
    <row r="120" spans="1:63" ht="15.75" x14ac:dyDescent="0.25">
      <c r="A120" s="1"/>
      <c r="B120" s="14"/>
      <c r="C120" s="15"/>
      <c r="D120" s="15"/>
      <c r="E120" s="15"/>
      <c r="F120" s="15"/>
      <c r="G120" s="15"/>
      <c r="H120" s="15"/>
      <c r="I120" s="15"/>
      <c r="J120" s="15"/>
      <c r="K120" s="15"/>
      <c r="L120" s="15"/>
      <c r="M120" s="15"/>
      <c r="N120" s="15"/>
      <c r="O120" s="15"/>
      <c r="P120" s="15"/>
      <c r="Q120" s="15"/>
      <c r="R120" s="15"/>
      <c r="S120" s="15"/>
      <c r="T120" s="15"/>
      <c r="U120" s="15"/>
      <c r="V120" s="15"/>
      <c r="W120" s="15"/>
      <c r="X120" s="15"/>
      <c r="Y120" s="15"/>
      <c r="Z120" s="15"/>
      <c r="AA120" s="15"/>
      <c r="AB120" s="15"/>
      <c r="AC120" s="15"/>
      <c r="AD120" s="15"/>
      <c r="AE120" s="15"/>
      <c r="AF120" s="15"/>
      <c r="AG120" s="15"/>
      <c r="AH120" s="15"/>
      <c r="AI120" s="15"/>
      <c r="AJ120" s="15"/>
      <c r="AK120" s="15"/>
      <c r="AL120" s="15"/>
      <c r="AM120" s="15"/>
      <c r="AN120" s="15"/>
      <c r="AO120" s="15"/>
      <c r="AP120" s="15"/>
      <c r="AQ120" s="15"/>
      <c r="AR120" s="15"/>
      <c r="AS120" s="15"/>
      <c r="AT120" s="15"/>
      <c r="AU120" s="15"/>
      <c r="AV120" s="15"/>
      <c r="AW120" s="15"/>
      <c r="AX120" s="15"/>
      <c r="AY120" s="15"/>
      <c r="AZ120" s="15"/>
      <c r="BA120" s="15"/>
      <c r="BB120" s="15"/>
      <c r="BC120" s="15"/>
      <c r="BD120" s="15"/>
      <c r="BE120" s="15"/>
      <c r="BF120" s="15"/>
      <c r="BG120" s="15"/>
      <c r="BH120" s="15"/>
      <c r="BI120" s="15"/>
      <c r="BJ120" s="16"/>
      <c r="BK120" s="1"/>
    </row>
    <row r="121" spans="1:63" ht="16.5" thickBot="1" x14ac:dyDescent="0.3">
      <c r="A121" s="1"/>
      <c r="B121" s="14"/>
      <c r="C121" s="15"/>
      <c r="D121" s="30" t="s">
        <v>92</v>
      </c>
      <c r="E121" s="17" t="s">
        <v>8</v>
      </c>
      <c r="F121" s="17" t="s">
        <v>9</v>
      </c>
      <c r="G121" s="17" t="s">
        <v>3</v>
      </c>
      <c r="H121" s="26">
        <v>1998</v>
      </c>
      <c r="I121" s="26">
        <v>1999</v>
      </c>
      <c r="J121" s="26">
        <v>2000</v>
      </c>
      <c r="K121" s="26">
        <v>2001</v>
      </c>
      <c r="L121" s="26">
        <v>2002</v>
      </c>
      <c r="M121" s="26">
        <v>2003</v>
      </c>
      <c r="N121" s="26">
        <v>2004</v>
      </c>
      <c r="O121" s="26">
        <v>2005</v>
      </c>
      <c r="P121" s="26">
        <v>2006</v>
      </c>
      <c r="Q121" s="26">
        <v>2007</v>
      </c>
      <c r="R121" s="26">
        <v>2008</v>
      </c>
      <c r="S121" s="26">
        <v>2009</v>
      </c>
      <c r="T121" s="26">
        <v>2010</v>
      </c>
      <c r="U121" s="26">
        <v>2011</v>
      </c>
      <c r="V121" s="26">
        <v>2012</v>
      </c>
      <c r="W121" s="26">
        <v>2013</v>
      </c>
      <c r="X121" s="26">
        <v>2014</v>
      </c>
      <c r="Y121" s="26">
        <v>2015</v>
      </c>
      <c r="Z121" s="26">
        <v>2016</v>
      </c>
      <c r="AA121" s="26">
        <v>2017</v>
      </c>
      <c r="AB121" s="26">
        <v>2018</v>
      </c>
      <c r="AC121" s="26">
        <v>2019</v>
      </c>
      <c r="AD121" s="26">
        <v>2020</v>
      </c>
      <c r="AE121" s="26">
        <v>2021</v>
      </c>
      <c r="AF121" s="26">
        <v>2022</v>
      </c>
      <c r="AG121" s="26">
        <v>2023</v>
      </c>
      <c r="AH121" s="26">
        <v>2024</v>
      </c>
      <c r="AI121" s="26">
        <v>2025</v>
      </c>
      <c r="AJ121" s="26">
        <v>2026</v>
      </c>
      <c r="AK121" s="26">
        <v>2027</v>
      </c>
      <c r="AL121" s="26">
        <v>2028</v>
      </c>
      <c r="AM121" s="26">
        <v>2029</v>
      </c>
      <c r="AN121" s="26">
        <v>2030</v>
      </c>
      <c r="AO121" s="26">
        <v>2031</v>
      </c>
      <c r="AP121" s="26">
        <v>2032</v>
      </c>
      <c r="AQ121" s="26">
        <v>2033</v>
      </c>
      <c r="AR121" s="26">
        <v>2034</v>
      </c>
      <c r="AS121" s="26">
        <v>2035</v>
      </c>
      <c r="AT121" s="26">
        <v>2036</v>
      </c>
      <c r="AU121" s="26">
        <v>2037</v>
      </c>
      <c r="AV121" s="26">
        <v>2038</v>
      </c>
      <c r="AW121" s="26">
        <v>2039</v>
      </c>
      <c r="AX121" s="26">
        <v>2040</v>
      </c>
      <c r="AY121" s="26">
        <v>2041</v>
      </c>
      <c r="AZ121" s="26">
        <v>2042</v>
      </c>
      <c r="BA121" s="26">
        <v>2043</v>
      </c>
      <c r="BB121" s="26">
        <v>2044</v>
      </c>
      <c r="BC121" s="26">
        <v>2045</v>
      </c>
      <c r="BD121" s="26">
        <v>2046</v>
      </c>
      <c r="BE121" s="26">
        <v>2047</v>
      </c>
      <c r="BF121" s="26">
        <v>2048</v>
      </c>
      <c r="BG121" s="26">
        <v>2049</v>
      </c>
      <c r="BH121" s="26">
        <v>2050</v>
      </c>
      <c r="BI121" s="15"/>
      <c r="BJ121" s="16"/>
      <c r="BK121" s="1"/>
    </row>
    <row r="122" spans="1:63" ht="16.5" thickTop="1" x14ac:dyDescent="0.25">
      <c r="A122" s="1"/>
      <c r="B122" s="14"/>
      <c r="C122" s="15"/>
      <c r="D122" s="24" t="s">
        <v>89</v>
      </c>
      <c r="E122" s="24"/>
      <c r="F122" s="24"/>
      <c r="G122" s="28" t="s">
        <v>96</v>
      </c>
      <c r="H122" s="31"/>
      <c r="I122" s="31"/>
      <c r="J122" s="31"/>
      <c r="K122" s="31"/>
      <c r="L122" s="31"/>
      <c r="M122" s="31"/>
      <c r="N122" s="31"/>
      <c r="O122" s="31"/>
      <c r="P122" s="31"/>
      <c r="Q122" s="31"/>
      <c r="R122" s="31"/>
      <c r="S122" s="31"/>
      <c r="T122" s="31"/>
      <c r="U122" s="31"/>
      <c r="V122" s="31"/>
      <c r="W122" s="31"/>
      <c r="X122" s="31"/>
      <c r="Y122" s="31">
        <f>$H$83*(Y$101-7500)*(+(1+$E$16)^(-($H$82)))+$I$83*Z$101*(+(1+$E$16)^(-($I$82)))+$J$83*AA$101*(+(1+$E$16)^(-($J$82)))+$K$83*AB$101*(+(1+$E$16)^(-($K$82)))+$L$83*AC$101*(+(1+$E$16)^(-($L$82)))</f>
        <v>13175.933720409845</v>
      </c>
      <c r="Z122" s="31">
        <f t="shared" ref="Z122:BD122" si="73">$H$83*(Z$101-7500)*(+(1+$E$16)^(-($H$82)))+$I$83*AA$101*(+(1+$E$16)^(-($I$82)))+$J$83*AB$101*(+(1+$E$16)^(-($J$82)))+$K$83*AC$101*(+(1+$E$16)^(-($K$82)))+$L$83*AD$101*(+(1+$E$16)^(-($L$82)))</f>
        <v>12653.477343934295</v>
      </c>
      <c r="AA122" s="31">
        <f t="shared" si="73"/>
        <v>12200.711569906833</v>
      </c>
      <c r="AB122" s="31">
        <f t="shared" si="73"/>
        <v>11826.416418045164</v>
      </c>
      <c r="AC122" s="31">
        <f t="shared" si="73"/>
        <v>11491.035237329099</v>
      </c>
      <c r="AD122" s="31">
        <f t="shared" si="73"/>
        <v>11182.442530942351</v>
      </c>
      <c r="AE122" s="31">
        <f t="shared" si="73"/>
        <v>10926.996235927796</v>
      </c>
      <c r="AF122" s="31">
        <f t="shared" si="73"/>
        <v>10683.697148528163</v>
      </c>
      <c r="AG122" s="31">
        <f t="shared" si="73"/>
        <v>10456.889596634112</v>
      </c>
      <c r="AH122" s="31">
        <f t="shared" si="73"/>
        <v>10238.825058690654</v>
      </c>
      <c r="AI122" s="31">
        <f t="shared" si="73"/>
        <v>10026.595234522689</v>
      </c>
      <c r="AJ122" s="31">
        <f t="shared" si="73"/>
        <v>9820.5017690886125</v>
      </c>
      <c r="AK122" s="31">
        <f t="shared" si="73"/>
        <v>9622.0284865833783</v>
      </c>
      <c r="AL122" s="31">
        <f t="shared" si="73"/>
        <v>9431.102801078332</v>
      </c>
      <c r="AM122" s="31">
        <f t="shared" si="73"/>
        <v>9248.1270189489987</v>
      </c>
      <c r="AN122" s="31">
        <f t="shared" si="73"/>
        <v>9073.4752464710327</v>
      </c>
      <c r="AO122" s="31">
        <f t="shared" si="73"/>
        <v>8922.6062501607848</v>
      </c>
      <c r="AP122" s="31">
        <f t="shared" si="73"/>
        <v>8778.496043149029</v>
      </c>
      <c r="AQ122" s="31">
        <f t="shared" si="73"/>
        <v>8642.5789072676998</v>
      </c>
      <c r="AR122" s="31">
        <f t="shared" si="73"/>
        <v>8516.0907463165549</v>
      </c>
      <c r="AS122" s="31">
        <f t="shared" si="73"/>
        <v>8433.8133977975031</v>
      </c>
      <c r="AT122" s="31">
        <f t="shared" si="73"/>
        <v>8316.9521223916363</v>
      </c>
      <c r="AU122" s="31">
        <f t="shared" si="73"/>
        <v>8206.0695704604241</v>
      </c>
      <c r="AV122" s="31">
        <f t="shared" si="73"/>
        <v>8101.0300543578123</v>
      </c>
      <c r="AW122" s="31">
        <f t="shared" si="73"/>
        <v>8001.4378358275553</v>
      </c>
      <c r="AX122" s="31">
        <f t="shared" si="73"/>
        <v>7906.6266099856221</v>
      </c>
      <c r="AY122" s="31">
        <f t="shared" si="73"/>
        <v>7809.8876071527975</v>
      </c>
      <c r="AZ122" s="31">
        <f t="shared" si="73"/>
        <v>7716.7614540654167</v>
      </c>
      <c r="BA122" s="31">
        <f t="shared" si="73"/>
        <v>7626.8421423778627</v>
      </c>
      <c r="BB122" s="31">
        <f t="shared" si="73"/>
        <v>7539.6776417956589</v>
      </c>
      <c r="BC122" s="31">
        <f t="shared" si="73"/>
        <v>7454.8064096584603</v>
      </c>
      <c r="BD122" s="31">
        <f t="shared" si="73"/>
        <v>7371.802710226777</v>
      </c>
      <c r="BE122" s="31"/>
      <c r="BF122" s="31"/>
      <c r="BG122" s="31"/>
      <c r="BH122" s="31"/>
      <c r="BI122" s="15"/>
      <c r="BJ122" s="16"/>
      <c r="BK122" s="1"/>
    </row>
    <row r="123" spans="1:63" ht="15.75" x14ac:dyDescent="0.25">
      <c r="A123" s="1"/>
      <c r="B123" s="14"/>
      <c r="C123" s="15"/>
      <c r="D123" s="24" t="s">
        <v>51</v>
      </c>
      <c r="E123" s="24"/>
      <c r="F123" s="24"/>
      <c r="G123" s="28" t="s">
        <v>96</v>
      </c>
      <c r="H123" s="31"/>
      <c r="I123" s="31"/>
      <c r="J123" s="31"/>
      <c r="K123" s="31"/>
      <c r="L123" s="31"/>
      <c r="M123" s="31"/>
      <c r="N123" s="31"/>
      <c r="O123" s="31"/>
      <c r="P123" s="31"/>
      <c r="Q123" s="31"/>
      <c r="R123" s="31"/>
      <c r="S123" s="31"/>
      <c r="T123" s="31"/>
      <c r="U123" s="31"/>
      <c r="V123" s="31"/>
      <c r="W123" s="31"/>
      <c r="X123" s="31"/>
      <c r="Y123" s="31">
        <f>$H84*(+(1+$E$16)^(-($H$82)))+$I84*(+(1+$E$16)^(-($I$82)))+$J84*(+(1+$E$16)^(-($J$82)))+$K84*(+(1+$E$16)^(-($K$82)))+$L84*(+(1+$E$16)^(-($L$82)))</f>
        <v>2541.1026046370698</v>
      </c>
      <c r="Z123" s="31">
        <f t="shared" ref="Z123:BD123" si="74">$H84*(+(1+$E$16)^(-($H$82)))+$I84*(+(1+$E$16)^(-($I$82)))+$J84*(+(1+$E$16)^(-($J$82)))+$K84*(+(1+$E$16)^(-($K$82)))+$L84*(+(1+$E$16)^(-($L$82)))</f>
        <v>2541.1026046370698</v>
      </c>
      <c r="AA123" s="31">
        <f t="shared" si="74"/>
        <v>2541.1026046370698</v>
      </c>
      <c r="AB123" s="31">
        <f t="shared" si="74"/>
        <v>2541.1026046370698</v>
      </c>
      <c r="AC123" s="31">
        <f t="shared" si="74"/>
        <v>2541.1026046370698</v>
      </c>
      <c r="AD123" s="31">
        <f t="shared" si="74"/>
        <v>2541.1026046370698</v>
      </c>
      <c r="AE123" s="31">
        <f t="shared" si="74"/>
        <v>2541.1026046370698</v>
      </c>
      <c r="AF123" s="31">
        <f t="shared" si="74"/>
        <v>2541.1026046370698</v>
      </c>
      <c r="AG123" s="31">
        <f t="shared" si="74"/>
        <v>2541.1026046370698</v>
      </c>
      <c r="AH123" s="31">
        <f t="shared" si="74"/>
        <v>2541.1026046370698</v>
      </c>
      <c r="AI123" s="31">
        <f t="shared" si="74"/>
        <v>2541.1026046370698</v>
      </c>
      <c r="AJ123" s="31">
        <f t="shared" si="74"/>
        <v>2541.1026046370698</v>
      </c>
      <c r="AK123" s="31">
        <f t="shared" si="74"/>
        <v>2541.1026046370698</v>
      </c>
      <c r="AL123" s="31">
        <f t="shared" si="74"/>
        <v>2541.1026046370698</v>
      </c>
      <c r="AM123" s="31">
        <f t="shared" si="74"/>
        <v>2541.1026046370698</v>
      </c>
      <c r="AN123" s="31">
        <f t="shared" si="74"/>
        <v>2541.1026046370698</v>
      </c>
      <c r="AO123" s="31">
        <f t="shared" si="74"/>
        <v>2541.1026046370698</v>
      </c>
      <c r="AP123" s="31">
        <f t="shared" si="74"/>
        <v>2541.1026046370698</v>
      </c>
      <c r="AQ123" s="31">
        <f t="shared" si="74"/>
        <v>2541.1026046370698</v>
      </c>
      <c r="AR123" s="31">
        <f t="shared" si="74"/>
        <v>2541.1026046370698</v>
      </c>
      <c r="AS123" s="31">
        <f t="shared" si="74"/>
        <v>2541.1026046370698</v>
      </c>
      <c r="AT123" s="31">
        <f t="shared" si="74"/>
        <v>2541.1026046370698</v>
      </c>
      <c r="AU123" s="31">
        <f t="shared" si="74"/>
        <v>2541.1026046370698</v>
      </c>
      <c r="AV123" s="31">
        <f t="shared" si="74"/>
        <v>2541.1026046370698</v>
      </c>
      <c r="AW123" s="31">
        <f t="shared" si="74"/>
        <v>2541.1026046370698</v>
      </c>
      <c r="AX123" s="31">
        <f t="shared" si="74"/>
        <v>2541.1026046370698</v>
      </c>
      <c r="AY123" s="31">
        <f t="shared" si="74"/>
        <v>2541.1026046370698</v>
      </c>
      <c r="AZ123" s="31">
        <f t="shared" si="74"/>
        <v>2541.1026046370698</v>
      </c>
      <c r="BA123" s="31">
        <f t="shared" si="74"/>
        <v>2541.1026046370698</v>
      </c>
      <c r="BB123" s="31">
        <f t="shared" si="74"/>
        <v>2541.1026046370698</v>
      </c>
      <c r="BC123" s="31">
        <f t="shared" si="74"/>
        <v>2541.1026046370698</v>
      </c>
      <c r="BD123" s="31">
        <f t="shared" si="74"/>
        <v>2541.1026046370698</v>
      </c>
      <c r="BE123" s="31"/>
      <c r="BF123" s="31"/>
      <c r="BG123" s="31"/>
      <c r="BH123" s="31"/>
      <c r="BI123" s="15"/>
      <c r="BJ123" s="16"/>
      <c r="BK123" s="1"/>
    </row>
    <row r="124" spans="1:63" ht="15.75" x14ac:dyDescent="0.25">
      <c r="A124" s="1"/>
      <c r="B124" s="14"/>
      <c r="C124" s="15"/>
      <c r="D124" s="24" t="s">
        <v>42</v>
      </c>
      <c r="E124" s="24"/>
      <c r="F124" s="24"/>
      <c r="G124" s="28" t="s">
        <v>96</v>
      </c>
      <c r="H124" s="31"/>
      <c r="I124" s="31"/>
      <c r="J124" s="31"/>
      <c r="K124" s="31"/>
      <c r="L124" s="31"/>
      <c r="M124" s="31"/>
      <c r="N124" s="31"/>
      <c r="O124" s="31"/>
      <c r="P124" s="31"/>
      <c r="Q124" s="31"/>
      <c r="R124" s="31"/>
      <c r="S124" s="31"/>
      <c r="T124" s="31"/>
      <c r="U124" s="31"/>
      <c r="V124" s="31"/>
      <c r="W124" s="31"/>
      <c r="X124" s="31"/>
      <c r="Y124" s="31">
        <f t="shared" ref="Y124:BD124" si="75">$H85*(+(1+$E$16)^(-($H$82)))+$I85*(+(1+$E$16)^(-($I$82)))+$J85*(+(1+$E$16)^(-($J$82)))+$K85*(+(1+$E$16)^(-($K$82)))+$L85*(+(1+$E$16)^(-($L$82)))</f>
        <v>5669.7490212757966</v>
      </c>
      <c r="Z124" s="31">
        <f t="shared" si="75"/>
        <v>5669.7490212757966</v>
      </c>
      <c r="AA124" s="31">
        <f t="shared" si="75"/>
        <v>5669.7490212757966</v>
      </c>
      <c r="AB124" s="31">
        <f t="shared" si="75"/>
        <v>5669.7490212757966</v>
      </c>
      <c r="AC124" s="31">
        <f t="shared" si="75"/>
        <v>5669.7490212757966</v>
      </c>
      <c r="AD124" s="31">
        <f t="shared" si="75"/>
        <v>5669.7490212757966</v>
      </c>
      <c r="AE124" s="31">
        <f t="shared" si="75"/>
        <v>5669.7490212757966</v>
      </c>
      <c r="AF124" s="31">
        <f t="shared" si="75"/>
        <v>5669.7490212757966</v>
      </c>
      <c r="AG124" s="31">
        <f t="shared" si="75"/>
        <v>5669.7490212757966</v>
      </c>
      <c r="AH124" s="31">
        <f t="shared" si="75"/>
        <v>5669.7490212757966</v>
      </c>
      <c r="AI124" s="31">
        <f t="shared" si="75"/>
        <v>5669.7490212757966</v>
      </c>
      <c r="AJ124" s="31">
        <f t="shared" si="75"/>
        <v>5669.7490212757966</v>
      </c>
      <c r="AK124" s="31">
        <f t="shared" si="75"/>
        <v>5669.7490212757966</v>
      </c>
      <c r="AL124" s="31">
        <f t="shared" si="75"/>
        <v>5669.7490212757966</v>
      </c>
      <c r="AM124" s="31">
        <f t="shared" si="75"/>
        <v>5669.7490212757966</v>
      </c>
      <c r="AN124" s="31">
        <f t="shared" si="75"/>
        <v>5669.7490212757966</v>
      </c>
      <c r="AO124" s="31">
        <f t="shared" si="75"/>
        <v>5669.7490212757966</v>
      </c>
      <c r="AP124" s="31">
        <f t="shared" si="75"/>
        <v>5669.7490212757966</v>
      </c>
      <c r="AQ124" s="31">
        <f t="shared" si="75"/>
        <v>5669.7490212757966</v>
      </c>
      <c r="AR124" s="31">
        <f t="shared" si="75"/>
        <v>5669.7490212757966</v>
      </c>
      <c r="AS124" s="31">
        <f t="shared" si="75"/>
        <v>5669.7490212757966</v>
      </c>
      <c r="AT124" s="31">
        <f t="shared" si="75"/>
        <v>5669.7490212757966</v>
      </c>
      <c r="AU124" s="31">
        <f t="shared" si="75"/>
        <v>5669.7490212757966</v>
      </c>
      <c r="AV124" s="31">
        <f t="shared" si="75"/>
        <v>5669.7490212757966</v>
      </c>
      <c r="AW124" s="31">
        <f t="shared" si="75"/>
        <v>5669.7490212757966</v>
      </c>
      <c r="AX124" s="31">
        <f t="shared" si="75"/>
        <v>5669.7490212757966</v>
      </c>
      <c r="AY124" s="31">
        <f t="shared" si="75"/>
        <v>5669.7490212757966</v>
      </c>
      <c r="AZ124" s="31">
        <f t="shared" si="75"/>
        <v>5669.7490212757966</v>
      </c>
      <c r="BA124" s="31">
        <f t="shared" si="75"/>
        <v>5669.7490212757966</v>
      </c>
      <c r="BB124" s="31">
        <f t="shared" si="75"/>
        <v>5669.7490212757966</v>
      </c>
      <c r="BC124" s="31">
        <f t="shared" si="75"/>
        <v>5669.7490212757966</v>
      </c>
      <c r="BD124" s="31">
        <f t="shared" si="75"/>
        <v>5669.7490212757966</v>
      </c>
      <c r="BE124" s="31"/>
      <c r="BF124" s="31"/>
      <c r="BG124" s="31"/>
      <c r="BH124" s="31"/>
      <c r="BI124" s="15"/>
      <c r="BJ124" s="16"/>
      <c r="BK124" s="1"/>
    </row>
    <row r="125" spans="1:63" ht="15.75" x14ac:dyDescent="0.25">
      <c r="A125" s="1"/>
      <c r="B125" s="14"/>
      <c r="C125" s="15"/>
      <c r="D125" s="24" t="s">
        <v>44</v>
      </c>
      <c r="E125" s="24"/>
      <c r="F125" s="24"/>
      <c r="G125" s="28" t="s">
        <v>96</v>
      </c>
      <c r="H125" s="31"/>
      <c r="I125" s="31"/>
      <c r="J125" s="31"/>
      <c r="K125" s="31"/>
      <c r="L125" s="31"/>
      <c r="M125" s="31"/>
      <c r="N125" s="31"/>
      <c r="O125" s="31"/>
      <c r="P125" s="31"/>
      <c r="Q125" s="31"/>
      <c r="R125" s="31"/>
      <c r="S125" s="31"/>
      <c r="T125" s="31"/>
      <c r="U125" s="31"/>
      <c r="V125" s="31"/>
      <c r="W125" s="31"/>
      <c r="X125" s="31"/>
      <c r="Y125" s="31">
        <f t="shared" ref="Y125:BD125" si="76">$H86*(+(1+$E$16)^(-($H$82)))+$I86*(+(1+$E$16)^(-($I$82)))+$J86*(+(1+$E$16)^(-($J$82)))+$K86*(+(1+$E$16)^(-($K$82)))+$L86*(+(1+$E$16)^(-($L$82)))</f>
        <v>2499.6546753325392</v>
      </c>
      <c r="Z125" s="31">
        <f t="shared" si="76"/>
        <v>2499.6546753325392</v>
      </c>
      <c r="AA125" s="31">
        <f t="shared" si="76"/>
        <v>2499.6546753325392</v>
      </c>
      <c r="AB125" s="31">
        <f t="shared" si="76"/>
        <v>2499.6546753325392</v>
      </c>
      <c r="AC125" s="31">
        <f t="shared" si="76"/>
        <v>2499.6546753325392</v>
      </c>
      <c r="AD125" s="31">
        <f t="shared" si="76"/>
        <v>2499.6546753325392</v>
      </c>
      <c r="AE125" s="31">
        <f t="shared" si="76"/>
        <v>2499.6546753325392</v>
      </c>
      <c r="AF125" s="31">
        <f t="shared" si="76"/>
        <v>2499.6546753325392</v>
      </c>
      <c r="AG125" s="31">
        <f t="shared" si="76"/>
        <v>2499.6546753325392</v>
      </c>
      <c r="AH125" s="31">
        <f t="shared" si="76"/>
        <v>2499.6546753325392</v>
      </c>
      <c r="AI125" s="31">
        <f t="shared" si="76"/>
        <v>2499.6546753325392</v>
      </c>
      <c r="AJ125" s="31">
        <f t="shared" si="76"/>
        <v>2499.6546753325392</v>
      </c>
      <c r="AK125" s="31">
        <f t="shared" si="76"/>
        <v>2499.6546753325392</v>
      </c>
      <c r="AL125" s="31">
        <f t="shared" si="76"/>
        <v>2499.6546753325392</v>
      </c>
      <c r="AM125" s="31">
        <f t="shared" si="76"/>
        <v>2499.6546753325392</v>
      </c>
      <c r="AN125" s="31">
        <f t="shared" si="76"/>
        <v>2499.6546753325392</v>
      </c>
      <c r="AO125" s="31">
        <f t="shared" si="76"/>
        <v>2499.6546753325392</v>
      </c>
      <c r="AP125" s="31">
        <f t="shared" si="76"/>
        <v>2499.6546753325392</v>
      </c>
      <c r="AQ125" s="31">
        <f t="shared" si="76"/>
        <v>2499.6546753325392</v>
      </c>
      <c r="AR125" s="31">
        <f t="shared" si="76"/>
        <v>2499.6546753325392</v>
      </c>
      <c r="AS125" s="31">
        <f t="shared" si="76"/>
        <v>2499.6546753325392</v>
      </c>
      <c r="AT125" s="31">
        <f t="shared" si="76"/>
        <v>2499.6546753325392</v>
      </c>
      <c r="AU125" s="31">
        <f t="shared" si="76"/>
        <v>2499.6546753325392</v>
      </c>
      <c r="AV125" s="31">
        <f t="shared" si="76"/>
        <v>2499.6546753325392</v>
      </c>
      <c r="AW125" s="31">
        <f t="shared" si="76"/>
        <v>2499.6546753325392</v>
      </c>
      <c r="AX125" s="31">
        <f t="shared" si="76"/>
        <v>2499.6546753325392</v>
      </c>
      <c r="AY125" s="31">
        <f t="shared" si="76"/>
        <v>2499.6546753325392</v>
      </c>
      <c r="AZ125" s="31">
        <f t="shared" si="76"/>
        <v>2499.6546753325392</v>
      </c>
      <c r="BA125" s="31">
        <f t="shared" si="76"/>
        <v>2499.6546753325392</v>
      </c>
      <c r="BB125" s="31">
        <f t="shared" si="76"/>
        <v>2499.6546753325392</v>
      </c>
      <c r="BC125" s="31">
        <f t="shared" si="76"/>
        <v>2499.6546753325392</v>
      </c>
      <c r="BD125" s="31">
        <f t="shared" si="76"/>
        <v>2499.6546753325392</v>
      </c>
      <c r="BE125" s="31"/>
      <c r="BF125" s="31"/>
      <c r="BG125" s="31"/>
      <c r="BH125" s="31"/>
      <c r="BI125" s="15"/>
      <c r="BJ125" s="16"/>
      <c r="BK125" s="1"/>
    </row>
    <row r="126" spans="1:63" ht="15.75" x14ac:dyDescent="0.25">
      <c r="A126" s="1"/>
      <c r="B126" s="14"/>
      <c r="C126" s="15"/>
      <c r="D126" s="24" t="s">
        <v>46</v>
      </c>
      <c r="E126" s="24"/>
      <c r="F126" s="24"/>
      <c r="G126" s="28" t="s">
        <v>96</v>
      </c>
      <c r="H126" s="31"/>
      <c r="I126" s="31"/>
      <c r="J126" s="31"/>
      <c r="K126" s="31"/>
      <c r="L126" s="31"/>
      <c r="M126" s="31"/>
      <c r="N126" s="31"/>
      <c r="O126" s="31"/>
      <c r="P126" s="31"/>
      <c r="Q126" s="31"/>
      <c r="R126" s="31"/>
      <c r="S126" s="31"/>
      <c r="T126" s="31"/>
      <c r="U126" s="31"/>
      <c r="V126" s="31"/>
      <c r="W126" s="31"/>
      <c r="X126" s="31"/>
      <c r="Y126" s="31">
        <f t="shared" ref="Y126:BD126" si="77">$H87*(+(1+$E$16)^(-($H$82)))+$I87*(+(1+$E$16)^(-($I$82)))+$J87*(+(1+$E$16)^(-($J$82)))+$K87*(+(1+$E$16)^(-($K$82)))+$L87*(+(1+$E$16)^(-($L$82)))</f>
        <v>764.06497282289502</v>
      </c>
      <c r="Z126" s="31">
        <f t="shared" si="77"/>
        <v>764.06497282289502</v>
      </c>
      <c r="AA126" s="31">
        <f t="shared" si="77"/>
        <v>764.06497282289502</v>
      </c>
      <c r="AB126" s="31">
        <f t="shared" si="77"/>
        <v>764.06497282289502</v>
      </c>
      <c r="AC126" s="31">
        <f t="shared" si="77"/>
        <v>764.06497282289502</v>
      </c>
      <c r="AD126" s="31">
        <f t="shared" si="77"/>
        <v>764.06497282289502</v>
      </c>
      <c r="AE126" s="31">
        <f t="shared" si="77"/>
        <v>764.06497282289502</v>
      </c>
      <c r="AF126" s="31">
        <f t="shared" si="77"/>
        <v>764.06497282289502</v>
      </c>
      <c r="AG126" s="31">
        <f t="shared" si="77"/>
        <v>764.06497282289502</v>
      </c>
      <c r="AH126" s="31">
        <f t="shared" si="77"/>
        <v>764.06497282289502</v>
      </c>
      <c r="AI126" s="31">
        <f t="shared" si="77"/>
        <v>764.06497282289502</v>
      </c>
      <c r="AJ126" s="31">
        <f t="shared" si="77"/>
        <v>764.06497282289502</v>
      </c>
      <c r="AK126" s="31">
        <f t="shared" si="77"/>
        <v>764.06497282289502</v>
      </c>
      <c r="AL126" s="31">
        <f t="shared" si="77"/>
        <v>764.06497282289502</v>
      </c>
      <c r="AM126" s="31">
        <f t="shared" si="77"/>
        <v>764.06497282289502</v>
      </c>
      <c r="AN126" s="31">
        <f t="shared" si="77"/>
        <v>764.06497282289502</v>
      </c>
      <c r="AO126" s="31">
        <f t="shared" si="77"/>
        <v>764.06497282289502</v>
      </c>
      <c r="AP126" s="31">
        <f t="shared" si="77"/>
        <v>764.06497282289502</v>
      </c>
      <c r="AQ126" s="31">
        <f t="shared" si="77"/>
        <v>764.06497282289502</v>
      </c>
      <c r="AR126" s="31">
        <f t="shared" si="77"/>
        <v>764.06497282289502</v>
      </c>
      <c r="AS126" s="31">
        <f t="shared" si="77"/>
        <v>764.06497282289502</v>
      </c>
      <c r="AT126" s="31">
        <f t="shared" si="77"/>
        <v>764.06497282289502</v>
      </c>
      <c r="AU126" s="31">
        <f t="shared" si="77"/>
        <v>764.06497282289502</v>
      </c>
      <c r="AV126" s="31">
        <f t="shared" si="77"/>
        <v>764.06497282289502</v>
      </c>
      <c r="AW126" s="31">
        <f t="shared" si="77"/>
        <v>764.06497282289502</v>
      </c>
      <c r="AX126" s="31">
        <f t="shared" si="77"/>
        <v>764.06497282289502</v>
      </c>
      <c r="AY126" s="31">
        <f t="shared" si="77"/>
        <v>764.06497282289502</v>
      </c>
      <c r="AZ126" s="31">
        <f t="shared" si="77"/>
        <v>764.06497282289502</v>
      </c>
      <c r="BA126" s="31">
        <f t="shared" si="77"/>
        <v>764.06497282289502</v>
      </c>
      <c r="BB126" s="31">
        <f t="shared" si="77"/>
        <v>764.06497282289502</v>
      </c>
      <c r="BC126" s="31">
        <f t="shared" si="77"/>
        <v>764.06497282289502</v>
      </c>
      <c r="BD126" s="31">
        <f t="shared" si="77"/>
        <v>764.06497282289502</v>
      </c>
      <c r="BE126" s="31"/>
      <c r="BF126" s="31"/>
      <c r="BG126" s="31"/>
      <c r="BH126" s="31"/>
      <c r="BI126" s="15"/>
      <c r="BJ126" s="16"/>
      <c r="BK126" s="1"/>
    </row>
    <row r="127" spans="1:63" ht="15.75" x14ac:dyDescent="0.25">
      <c r="A127" s="1"/>
      <c r="B127" s="14"/>
      <c r="C127" s="15"/>
      <c r="D127" s="24" t="s">
        <v>43</v>
      </c>
      <c r="E127" s="24"/>
      <c r="F127" s="24"/>
      <c r="G127" s="28" t="s">
        <v>96</v>
      </c>
      <c r="H127" s="31"/>
      <c r="I127" s="31"/>
      <c r="J127" s="31"/>
      <c r="K127" s="31"/>
      <c r="L127" s="31"/>
      <c r="M127" s="31"/>
      <c r="N127" s="31"/>
      <c r="O127" s="31"/>
      <c r="P127" s="31"/>
      <c r="Q127" s="31"/>
      <c r="R127" s="31"/>
      <c r="S127" s="31"/>
      <c r="T127" s="31"/>
      <c r="U127" s="31"/>
      <c r="V127" s="31"/>
      <c r="W127" s="31"/>
      <c r="X127" s="31"/>
      <c r="Y127" s="31">
        <f>($E$15/$H$23)*Y$94*(+(1+$E$16)^(-($H$82)))+($E$15/$H$23)*Z$94*(+(1+$E$16)^(-($I$82)))+($E$15/$H$23)*AA$94*(+(1+$E$16)^(-($J$82)))+($E$15/$H$23)*AB$94*(+(1+$E$16)^(-($K$82)))+($E$15/$H$23)*AC$94*(+(1+$E$16)^(-($L$82)))</f>
        <v>3180.1108264330142</v>
      </c>
      <c r="Z127" s="31">
        <f t="shared" ref="Z127" si="78">($E$15/$H$23)*Z$94*(+(1+$E$16)^(-($H$82)))+($E$15/$H$23)*AA$94*(+(1+$E$16)^(-($I$82)))+($E$15/$H$23)*AB$94*(+(1+$E$16)^(-($J$82)))+($E$15/$H$23)*AC$94*(+(1+$E$16)^(-($K$82)))+($E$15/$H$23)*AD$94*(+(1+$E$16)^(-($L$82)))</f>
        <v>3071.8449826426813</v>
      </c>
      <c r="AA127" s="31">
        <f t="shared" ref="AA127" si="79">($E$15/$H$23)*AA$94*(+(1+$E$16)^(-($H$82)))+($E$15/$H$23)*AB$94*(+(1+$E$16)^(-($I$82)))+($E$15/$H$23)*AC$94*(+(1+$E$16)^(-($J$82)))+($E$15/$H$23)*AD$94*(+(1+$E$16)^(-($K$82)))+($E$15/$H$23)*AE$94*(+(1+$E$16)^(-($L$82)))</f>
        <v>2979.9552828598098</v>
      </c>
      <c r="AB127" s="31">
        <f t="shared" ref="AB127" si="80">($E$15/$H$23)*AB$94*(+(1+$E$16)^(-($H$82)))+($E$15/$H$23)*AC$94*(+(1+$E$16)^(-($I$82)))+($E$15/$H$23)*AD$94*(+(1+$E$16)^(-($J$82)))+($E$15/$H$23)*AE$94*(+(1+$E$16)^(-($K$82)))+($E$15/$H$23)*AF$94*(+(1+$E$16)^(-($L$82)))</f>
        <v>2900.5896016902125</v>
      </c>
      <c r="AC127" s="31">
        <f t="shared" ref="AC127" si="81">($E$15/$H$23)*AC$94*(+(1+$E$16)^(-($H$82)))+($E$15/$H$23)*AD$94*(+(1+$E$16)^(-($I$82)))+($E$15/$H$23)*AE$94*(+(1+$E$16)^(-($J$82)))+($E$15/$H$23)*AF$94*(+(1+$E$16)^(-($K$82)))+($E$15/$H$23)*AG$94*(+(1+$E$16)^(-($L$82)))</f>
        <v>2822.0750646627444</v>
      </c>
      <c r="AD127" s="31">
        <f t="shared" ref="AD127" si="82">($E$15/$H$23)*AD$94*(+(1+$E$16)^(-($H$82)))+($E$15/$H$23)*AE$94*(+(1+$E$16)^(-($I$82)))+($E$15/$H$23)*AF$94*(+(1+$E$16)^(-($J$82)))+($E$15/$H$23)*AG$94*(+(1+$E$16)^(-($K$82)))+($E$15/$H$23)*AH$94*(+(1+$E$16)^(-($L$82)))</f>
        <v>2746.745402758128</v>
      </c>
      <c r="AE127" s="31">
        <f t="shared" ref="AE127" si="83">($E$15/$H$23)*AE$94*(+(1+$E$16)^(-($H$82)))+($E$15/$H$23)*AF$94*(+(1+$E$16)^(-($I$82)))+($E$15/$H$23)*AG$94*(+(1+$E$16)^(-($J$82)))+($E$15/$H$23)*AH$94*(+(1+$E$16)^(-($K$82)))+($E$15/$H$23)*AI$94*(+(1+$E$16)^(-($L$82)))</f>
        <v>2675.2544414666045</v>
      </c>
      <c r="AF127" s="31">
        <f t="shared" ref="AF127" si="84">($E$15/$H$23)*AF$94*(+(1+$E$16)^(-($H$82)))+($E$15/$H$23)*AG$94*(+(1+$E$16)^(-($I$82)))+($E$15/$H$23)*AH$94*(+(1+$E$16)^(-($J$82)))+($E$15/$H$23)*AI$94*(+(1+$E$16)^(-($K$82)))+($E$15/$H$23)*AJ$94*(+(1+$E$16)^(-($L$82)))</f>
        <v>2604.5726049277137</v>
      </c>
      <c r="AG127" s="31">
        <f t="shared" ref="AG127" si="85">($E$15/$H$23)*AG$94*(+(1+$E$16)^(-($H$82)))+($E$15/$H$23)*AH$94*(+(1+$E$16)^(-($I$82)))+($E$15/$H$23)*AI$94*(+(1+$E$16)^(-($J$82)))+($E$15/$H$23)*AJ$94*(+(1+$E$16)^(-($K$82)))+($E$15/$H$23)*AK$94*(+(1+$E$16)^(-($L$82)))</f>
        <v>2538.1538071863083</v>
      </c>
      <c r="AH127" s="31">
        <f t="shared" ref="AH127" si="86">($E$15/$H$23)*AH$94*(+(1+$E$16)^(-($H$82)))+($E$15/$H$23)*AI$94*(+(1+$E$16)^(-($I$82)))+($E$15/$H$23)*AJ$94*(+(1+$E$16)^(-($J$82)))+($E$15/$H$23)*AK$94*(+(1+$E$16)^(-($K$82)))+($E$15/$H$23)*AL$94*(+(1+$E$16)^(-($L$82)))</f>
        <v>2474.6703914162936</v>
      </c>
      <c r="AI127" s="31">
        <f t="shared" ref="AI127" si="87">($E$15/$H$23)*AI$94*(+(1+$E$16)^(-($H$82)))+($E$15/$H$23)*AJ$94*(+(1+$E$16)^(-($I$82)))+($E$15/$H$23)*AK$94*(+(1+$E$16)^(-($J$82)))+($E$15/$H$23)*AL$94*(+(1+$E$16)^(-($K$82)))+($E$15/$H$23)*AM$94*(+(1+$E$16)^(-($L$82)))</f>
        <v>2414.6829740624175</v>
      </c>
      <c r="AJ127" s="31">
        <f t="shared" ref="AJ127" si="88">($E$15/$H$23)*AJ$94*(+(1+$E$16)^(-($H$82)))+($E$15/$H$23)*AK$94*(+(1+$E$16)^(-($I$82)))+($E$15/$H$23)*AL$94*(+(1+$E$16)^(-($J$82)))+($E$15/$H$23)*AM$94*(+(1+$E$16)^(-($K$82)))+($E$15/$H$23)*AN$94*(+(1+$E$16)^(-($L$82)))</f>
        <v>2356.8115782800096</v>
      </c>
      <c r="AK127" s="31">
        <f t="shared" ref="AK127" si="89">($E$15/$H$23)*AK$94*(+(1+$E$16)^(-($H$82)))+($E$15/$H$23)*AL$94*(+(1+$E$16)^(-($I$82)))+($E$15/$H$23)*AM$94*(+(1+$E$16)^(-($J$82)))+($E$15/$H$23)*AN$94*(+(1+$E$16)^(-($K$82)))+($E$15/$H$23)*AO$94*(+(1+$E$16)^(-($L$82)))</f>
        <v>2317.3717848344654</v>
      </c>
      <c r="AL127" s="31">
        <f t="shared" ref="AL127" si="90">($E$15/$H$23)*AL$94*(+(1+$E$16)^(-($H$82)))+($E$15/$H$23)*AM$94*(+(1+$E$16)^(-($I$82)))+($E$15/$H$23)*AN$94*(+(1+$E$16)^(-($J$82)))+($E$15/$H$23)*AO$94*(+(1+$E$16)^(-($K$82)))+($E$15/$H$23)*AP$94*(+(1+$E$16)^(-($L$82)))</f>
        <v>2281.5389588725711</v>
      </c>
      <c r="AM127" s="31">
        <f t="shared" ref="AM127" si="91">($E$15/$H$23)*AM$94*(+(1+$E$16)^(-($H$82)))+($E$15/$H$23)*AN$94*(+(1+$E$16)^(-($I$82)))+($E$15/$H$23)*AO$94*(+(1+$E$16)^(-($J$82)))+($E$15/$H$23)*AP$94*(+(1+$E$16)^(-($K$82)))+($E$15/$H$23)*AQ$94*(+(1+$E$16)^(-($L$82)))</f>
        <v>2250.4866216444007</v>
      </c>
      <c r="AN127" s="31">
        <f t="shared" ref="AN127" si="92">($E$15/$H$23)*AN$94*(+(1+$E$16)^(-($H$82)))+($E$15/$H$23)*AO$94*(+(1+$E$16)^(-($I$82)))+($E$15/$H$23)*AP$94*(+(1+$E$16)^(-($J$82)))+($E$15/$H$23)*AQ$94*(+(1+$E$16)^(-($K$82)))+($E$15/$H$23)*AR$94*(+(1+$E$16)^(-($L$82)))</f>
        <v>2221.702467561478</v>
      </c>
      <c r="AO127" s="31">
        <f t="shared" ref="AO127" si="93">($E$15/$H$23)*AO$94*(+(1+$E$16)^(-($H$82)))+($E$15/$H$23)*AP$94*(+(1+$E$16)^(-($I$82)))+($E$15/$H$23)*AQ$94*(+(1+$E$16)^(-($J$82)))+($E$15/$H$23)*AR$94*(+(1+$E$16)^(-($K$82)))+($E$15/$H$23)*AS$94*(+(1+$E$16)^(-($L$82)))</f>
        <v>2193.2956525753266</v>
      </c>
      <c r="AP127" s="31">
        <f t="shared" ref="AP127" si="94">($E$15/$H$23)*AP$94*(+(1+$E$16)^(-($H$82)))+($E$15/$H$23)*AQ$94*(+(1+$E$16)^(-($I$82)))+($E$15/$H$23)*AR$94*(+(1+$E$16)^(-($J$82)))+($E$15/$H$23)*AS$94*(+(1+$E$16)^(-($K$82)))+($E$15/$H$23)*AT$94*(+(1+$E$16)^(-($L$82)))</f>
        <v>2194.350470924961</v>
      </c>
      <c r="AQ127" s="31">
        <f t="shared" ref="AQ127" si="95">($E$15/$H$23)*AQ$94*(+(1+$E$16)^(-($H$82)))+($E$15/$H$23)*AR$94*(+(1+$E$16)^(-($I$82)))+($E$15/$H$23)*AS$94*(+(1+$E$16)^(-($J$82)))+($E$15/$H$23)*AT$94*(+(1+$E$16)^(-($K$82)))+($E$15/$H$23)*AU$94*(+(1+$E$16)^(-($L$82)))</f>
        <v>2203.6609326384273</v>
      </c>
      <c r="AR127" s="31">
        <f t="shared" ref="AR127" si="96">($E$15/$H$23)*AR$94*(+(1+$E$16)^(-($H$82)))+($E$15/$H$23)*AS$94*(+(1+$E$16)^(-($I$82)))+($E$15/$H$23)*AT$94*(+(1+$E$16)^(-($J$82)))+($E$15/$H$23)*AU$94*(+(1+$E$16)^(-($K$82)))+($E$15/$H$23)*AV$94*(+(1+$E$16)^(-($L$82)))</f>
        <v>2221.8020152483414</v>
      </c>
      <c r="AS127" s="31">
        <f t="shared" ref="AS127" si="97">($E$15/$H$23)*AS$94*(+(1+$E$16)^(-($H$82)))+($E$15/$H$23)*AT$94*(+(1+$E$16)^(-($I$82)))+($E$15/$H$23)*AU$94*(+(1+$E$16)^(-($J$82)))+($E$15/$H$23)*AV$94*(+(1+$E$16)^(-($K$82)))+($E$15/$H$23)*AW$94*(+(1+$E$16)^(-($L$82)))</f>
        <v>2250.77787998333</v>
      </c>
      <c r="AT127" s="31">
        <f t="shared" ref="AT127" si="98">($E$15/$H$23)*AT$94*(+(1+$E$16)^(-($H$82)))+($E$15/$H$23)*AU$94*(+(1+$E$16)^(-($I$82)))+($E$15/$H$23)*AV$94*(+(1+$E$16)^(-($J$82)))+($E$15/$H$23)*AW$94*(+(1+$E$16)^(-($K$82)))+($E$15/$H$23)*AX$94*(+(1+$E$16)^(-($L$82)))</f>
        <v>2295.5108030189685</v>
      </c>
      <c r="AU127" s="31">
        <f t="shared" ref="AU127" si="99">($E$15/$H$23)*AU$94*(+(1+$E$16)^(-($H$82)))+($E$15/$H$23)*AV$94*(+(1+$E$16)^(-($I$82)))+($E$15/$H$23)*AW$94*(+(1+$E$16)^(-($J$82)))+($E$15/$H$23)*AX$94*(+(1+$E$16)^(-($K$82)))+($E$15/$H$23)*AY$94*(+(1+$E$16)^(-($L$82)))</f>
        <v>2281.8422749750434</v>
      </c>
      <c r="AV127" s="31">
        <f t="shared" ref="AV127" si="100">($E$15/$H$23)*AV$94*(+(1+$E$16)^(-($H$82)))+($E$15/$H$23)*AW$94*(+(1+$E$16)^(-($I$82)))+($E$15/$H$23)*AX$94*(+(1+$E$16)^(-($J$82)))+($E$15/$H$23)*AY$94*(+(1+$E$16)^(-($K$82)))+($E$15/$H$23)*AZ$94*(+(1+$E$16)^(-($L$82)))</f>
        <v>2268.1788998605325</v>
      </c>
      <c r="AW127" s="31">
        <f t="shared" ref="AW127" si="101">($E$15/$H$23)*AW$94*(+(1+$E$16)^(-($H$82)))+($E$15/$H$23)*AX$94*(+(1+$E$16)^(-($I$82)))+($E$15/$H$23)*AY$94*(+(1+$E$16)^(-($J$82)))+($E$15/$H$23)*AZ$94*(+(1+$E$16)^(-($K$82)))+($E$15/$H$23)*BA$94*(+(1+$E$16)^(-($L$82)))</f>
        <v>2254.5157726708858</v>
      </c>
      <c r="AX127" s="31">
        <f t="shared" ref="AX127" si="102">($E$15/$H$23)*AX$94*(+(1+$E$16)^(-($H$82)))+($E$15/$H$23)*AY$94*(+(1+$E$16)^(-($I$82)))+($E$15/$H$23)*AZ$94*(+(1+$E$16)^(-($J$82)))+($E$15/$H$23)*BA$94*(+(1+$E$16)^(-($K$82)))+($E$15/$H$23)*BB$94*(+(1+$E$16)^(-($L$82)))</f>
        <v>2240.8476736032453</v>
      </c>
      <c r="AY127" s="31">
        <f t="shared" ref="AY127" si="103">($E$15/$H$23)*AY$94*(+(1+$E$16)^(-($H$82)))+($E$15/$H$23)*AZ$94*(+(1+$E$16)^(-($I$82)))+($E$15/$H$23)*BA$94*(+(1+$E$16)^(-($J$82)))+($E$15/$H$23)*BB$94*(+(1+$E$16)^(-($K$82)))+($E$15/$H$23)*BC$94*(+(1+$E$16)^(-($L$82)))</f>
        <v>2227.1690458675503</v>
      </c>
      <c r="AZ127" s="31">
        <f t="shared" ref="AZ127" si="104">($E$15/$H$23)*AZ$94*(+(1+$E$16)^(-($H$82)))+($E$15/$H$23)*BA$94*(+(1+$E$16)^(-($I$82)))+($E$15/$H$23)*BB$94*(+(1+$E$16)^(-($J$82)))+($E$15/$H$23)*BC$94*(+(1+$E$16)^(-($K$82)))+($E$15/$H$23)*BD$94*(+(1+$E$16)^(-($L$82)))</f>
        <v>2213.5004535127819</v>
      </c>
      <c r="BA127" s="31">
        <f t="shared" ref="BA127" si="105">($E$15/$H$23)*BA$94*(+(1+$E$16)^(-($H$82)))+($E$15/$H$23)*BB$94*(+(1+$E$16)^(-($I$82)))+($E$15/$H$23)*BC$94*(+(1+$E$16)^(-($J$82)))+($E$15/$H$23)*BD$94*(+(1+$E$16)^(-($K$82)))+($E$15/$H$23)*BE$94*(+(1+$E$16)^(-($L$82)))</f>
        <v>2199.8371554890864</v>
      </c>
      <c r="BB127" s="31">
        <f t="shared" ref="BB127" si="106">($E$15/$H$23)*BB$94*(+(1+$E$16)^(-($H$82)))+($E$15/$H$23)*BC$94*(+(1+$E$16)^(-($I$82)))+($E$15/$H$23)*BD$94*(+(1+$E$16)^(-($J$82)))+($E$15/$H$23)*BE$94*(+(1+$E$16)^(-($K$82)))+($E$15/$H$23)*BF$94*(+(1+$E$16)^(-($L$82)))</f>
        <v>2186.1741091892218</v>
      </c>
      <c r="BC127" s="31">
        <f t="shared" ref="BC127" si="107">($E$15/$H$23)*BC$94*(+(1+$E$16)^(-($H$82)))+($E$15/$H$23)*BD$94*(+(1+$E$16)^(-($I$82)))+($E$15/$H$23)*BE$94*(+(1+$E$16)^(-($J$82)))+($E$15/$H$23)*BF$94*(+(1+$E$16)^(-($K$82)))+($E$15/$H$23)*BG$94*(+(1+$E$16)^(-($L$82)))</f>
        <v>2172.5059491728248</v>
      </c>
      <c r="BD127" s="31">
        <f t="shared" ref="BD127" si="108">($E$15/$H$23)*BD$94*(+(1+$E$16)^(-($H$82)))+($E$15/$H$23)*BE$94*(+(1+$E$16)^(-($I$82)))+($E$15/$H$23)*BF$94*(+(1+$E$16)^(-($J$82)))+($E$15/$H$23)*BG$94*(+(1+$E$16)^(-($K$82)))+($E$15/$H$23)*BH$94*(+(1+$E$16)^(-($L$82)))</f>
        <v>2158.8269644022726</v>
      </c>
      <c r="BE127" s="31"/>
      <c r="BF127" s="31"/>
      <c r="BG127" s="31"/>
      <c r="BH127" s="31"/>
      <c r="BI127" s="15"/>
      <c r="BJ127" s="16"/>
      <c r="BK127" s="1"/>
    </row>
    <row r="128" spans="1:63" ht="15.75" x14ac:dyDescent="0.25">
      <c r="A128" s="1"/>
      <c r="B128" s="14"/>
      <c r="C128" s="15"/>
      <c r="D128" s="48" t="s">
        <v>88</v>
      </c>
      <c r="E128" s="48"/>
      <c r="F128" s="48"/>
      <c r="G128" s="49" t="s">
        <v>97</v>
      </c>
      <c r="H128" s="34"/>
      <c r="I128" s="34"/>
      <c r="J128" s="34"/>
      <c r="K128" s="34"/>
      <c r="L128" s="34"/>
      <c r="M128" s="34"/>
      <c r="N128" s="34"/>
      <c r="O128" s="34"/>
      <c r="P128" s="34"/>
      <c r="Q128" s="34"/>
      <c r="R128" s="34"/>
      <c r="S128" s="34"/>
      <c r="T128" s="34"/>
      <c r="U128" s="34"/>
      <c r="V128" s="34"/>
      <c r="W128" s="34"/>
      <c r="X128" s="34"/>
      <c r="Y128" s="34">
        <f t="shared" ref="Y128:AO128" si="109">SUM(Y122:Y127)</f>
        <v>27830.61582091116</v>
      </c>
      <c r="Z128" s="34">
        <f t="shared" si="109"/>
        <v>27199.893600645279</v>
      </c>
      <c r="AA128" s="34">
        <f t="shared" si="109"/>
        <v>26655.238126834942</v>
      </c>
      <c r="AB128" s="34">
        <f t="shared" si="109"/>
        <v>26201.577293803675</v>
      </c>
      <c r="AC128" s="34">
        <f t="shared" si="109"/>
        <v>25787.681576060146</v>
      </c>
      <c r="AD128" s="34">
        <f t="shared" si="109"/>
        <v>25403.75920776878</v>
      </c>
      <c r="AE128" s="34">
        <f t="shared" si="109"/>
        <v>25076.821951462702</v>
      </c>
      <c r="AF128" s="34">
        <f t="shared" si="109"/>
        <v>24762.841027524177</v>
      </c>
      <c r="AG128" s="34">
        <f t="shared" si="109"/>
        <v>24469.61467788872</v>
      </c>
      <c r="AH128" s="34">
        <f t="shared" si="109"/>
        <v>24188.066724175249</v>
      </c>
      <c r="AI128" s="34">
        <f t="shared" si="109"/>
        <v>23915.849482653408</v>
      </c>
      <c r="AJ128" s="34">
        <f t="shared" si="109"/>
        <v>23651.884621436922</v>
      </c>
      <c r="AK128" s="34">
        <f t="shared" si="109"/>
        <v>23413.971545486143</v>
      </c>
      <c r="AL128" s="34">
        <f t="shared" si="109"/>
        <v>23187.213034019205</v>
      </c>
      <c r="AM128" s="34">
        <f t="shared" si="109"/>
        <v>22973.184914661702</v>
      </c>
      <c r="AN128" s="34">
        <f t="shared" si="109"/>
        <v>22769.748988100811</v>
      </c>
      <c r="AO128" s="34">
        <f t="shared" si="109"/>
        <v>22590.473176804411</v>
      </c>
      <c r="AP128" s="34">
        <f t="shared" ref="AP128" si="110">SUM(AP122:AP127)</f>
        <v>22447.417788142291</v>
      </c>
      <c r="AQ128" s="34">
        <f t="shared" ref="AQ128" si="111">SUM(AQ122:AQ127)</f>
        <v>22320.811113974429</v>
      </c>
      <c r="AR128" s="34">
        <f t="shared" ref="AR128" si="112">SUM(AR122:AR127)</f>
        <v>22212.464035633198</v>
      </c>
      <c r="AS128" s="34">
        <f t="shared" ref="AS128" si="113">SUM(AS122:AS127)</f>
        <v>22159.162551849131</v>
      </c>
      <c r="AT128" s="34">
        <f t="shared" ref="AT128" si="114">SUM(AT122:AT127)</f>
        <v>22087.034199478909</v>
      </c>
      <c r="AU128" s="34">
        <f t="shared" ref="AU128" si="115">SUM(AU122:AU127)</f>
        <v>21962.483119503766</v>
      </c>
      <c r="AV128" s="34">
        <f t="shared" ref="AV128" si="116">SUM(AV122:AV127)</f>
        <v>21843.780228286647</v>
      </c>
      <c r="AW128" s="34">
        <f t="shared" ref="AW128" si="117">SUM(AW122:AW127)</f>
        <v>21730.524882566744</v>
      </c>
      <c r="AX128" s="34">
        <f t="shared" ref="AX128" si="118">SUM(AX122:AX127)</f>
        <v>21622.045557657169</v>
      </c>
      <c r="AY128" s="34">
        <f t="shared" ref="AY128" si="119">SUM(AY122:AY127)</f>
        <v>21511.627927088652</v>
      </c>
      <c r="AZ128" s="34">
        <f t="shared" ref="AZ128" si="120">SUM(AZ122:AZ127)</f>
        <v>21404.8331816465</v>
      </c>
      <c r="BA128" s="34">
        <f t="shared" ref="BA128" si="121">SUM(BA122:BA127)</f>
        <v>21301.250571935252</v>
      </c>
      <c r="BB128" s="34">
        <f t="shared" ref="BB128" si="122">SUM(BB122:BB127)</f>
        <v>21200.423025053184</v>
      </c>
      <c r="BC128" s="34">
        <f t="shared" ref="BC128" si="123">SUM(BC122:BC127)</f>
        <v>21101.883632899586</v>
      </c>
      <c r="BD128" s="34">
        <f t="shared" ref="BD128" si="124">SUM(BD122:BD127)</f>
        <v>21005.200948697351</v>
      </c>
      <c r="BE128" s="34"/>
      <c r="BF128" s="34"/>
      <c r="BG128" s="34"/>
      <c r="BH128" s="34"/>
      <c r="BI128" s="15"/>
      <c r="BJ128" s="16"/>
      <c r="BK128" s="1"/>
    </row>
    <row r="129" spans="1:63" ht="15.75" x14ac:dyDescent="0.25">
      <c r="A129" s="1"/>
      <c r="B129" s="14"/>
      <c r="C129" s="15"/>
      <c r="D129" s="15"/>
      <c r="E129" s="15"/>
      <c r="F129" s="15"/>
      <c r="G129" s="15"/>
      <c r="H129" s="15"/>
      <c r="I129" s="15"/>
      <c r="J129" s="15"/>
      <c r="K129" s="15"/>
      <c r="L129" s="15"/>
      <c r="M129" s="15"/>
      <c r="N129" s="15"/>
      <c r="O129" s="15"/>
      <c r="P129" s="15"/>
      <c r="Q129" s="15"/>
      <c r="R129" s="15"/>
      <c r="S129" s="15"/>
      <c r="T129" s="15"/>
      <c r="U129" s="15"/>
      <c r="V129" s="15"/>
      <c r="W129" s="15"/>
      <c r="X129" s="15"/>
      <c r="Y129" s="15"/>
      <c r="Z129" s="15"/>
      <c r="AA129" s="15"/>
      <c r="AB129" s="15"/>
      <c r="AC129" s="15"/>
      <c r="AD129" s="15"/>
      <c r="AE129" s="15"/>
      <c r="AF129" s="15"/>
      <c r="AG129" s="15"/>
      <c r="AH129" s="15"/>
      <c r="AI129" s="15"/>
      <c r="AJ129" s="15"/>
      <c r="AK129" s="15"/>
      <c r="AL129" s="15"/>
      <c r="AM129" s="15"/>
      <c r="AN129" s="15"/>
      <c r="AO129" s="15"/>
      <c r="AP129" s="15"/>
      <c r="AQ129" s="15"/>
      <c r="AR129" s="15"/>
      <c r="AS129" s="15"/>
      <c r="AT129" s="15"/>
      <c r="AU129" s="15"/>
      <c r="AV129" s="15"/>
      <c r="AW129" s="15"/>
      <c r="AX129" s="15"/>
      <c r="AY129" s="15"/>
      <c r="AZ129" s="15"/>
      <c r="BA129" s="15"/>
      <c r="BB129" s="15"/>
      <c r="BC129" s="15"/>
      <c r="BD129" s="15"/>
      <c r="BE129" s="15"/>
      <c r="BF129" s="15"/>
      <c r="BG129" s="15"/>
      <c r="BH129" s="15"/>
      <c r="BI129" s="15"/>
      <c r="BJ129" s="16"/>
      <c r="BK129" s="1"/>
    </row>
    <row r="130" spans="1:63" ht="16.5" thickBot="1" x14ac:dyDescent="0.3">
      <c r="A130" s="1"/>
      <c r="B130" s="14"/>
      <c r="C130" s="15"/>
      <c r="D130" s="15"/>
      <c r="E130" s="26">
        <v>2015</v>
      </c>
      <c r="F130" s="26">
        <v>2016</v>
      </c>
      <c r="G130" s="26">
        <v>2017</v>
      </c>
      <c r="H130" s="26">
        <v>2018</v>
      </c>
      <c r="I130" s="26">
        <v>2019</v>
      </c>
      <c r="J130" s="26">
        <v>2020</v>
      </c>
      <c r="K130" s="26">
        <v>2021</v>
      </c>
      <c r="L130" s="26">
        <v>2022</v>
      </c>
      <c r="M130" s="26">
        <v>2023</v>
      </c>
      <c r="N130" s="26">
        <v>2024</v>
      </c>
      <c r="O130" s="26">
        <v>2025</v>
      </c>
      <c r="P130" s="26">
        <v>2026</v>
      </c>
      <c r="Q130" s="26">
        <v>2027</v>
      </c>
      <c r="R130" s="26">
        <v>2028</v>
      </c>
      <c r="S130" s="26">
        <v>2029</v>
      </c>
      <c r="T130" s="26">
        <v>2030</v>
      </c>
      <c r="U130" s="26">
        <v>2031</v>
      </c>
      <c r="V130" s="26">
        <v>2032</v>
      </c>
      <c r="W130" s="26">
        <v>2033</v>
      </c>
      <c r="X130" s="26">
        <v>2034</v>
      </c>
      <c r="Y130" s="26">
        <v>2035</v>
      </c>
      <c r="Z130" s="26">
        <v>2036</v>
      </c>
      <c r="AA130" s="26">
        <v>2037</v>
      </c>
      <c r="AB130" s="26">
        <v>2038</v>
      </c>
      <c r="AC130" s="26">
        <v>2039</v>
      </c>
      <c r="AD130" s="26">
        <v>2040</v>
      </c>
      <c r="AE130" s="26">
        <v>2041</v>
      </c>
      <c r="AF130" s="26">
        <v>2042</v>
      </c>
      <c r="AG130" s="26">
        <v>2043</v>
      </c>
      <c r="AH130" s="26">
        <v>2044</v>
      </c>
      <c r="AI130" s="26">
        <v>2045</v>
      </c>
      <c r="AJ130" s="26">
        <v>2046</v>
      </c>
      <c r="AK130" s="15"/>
      <c r="AL130" s="15"/>
      <c r="AM130" s="15"/>
      <c r="AN130" s="15"/>
      <c r="AO130" s="15"/>
      <c r="AP130" s="15"/>
      <c r="AQ130" s="15"/>
      <c r="AR130" s="15"/>
      <c r="AS130" s="15"/>
      <c r="AT130" s="15"/>
      <c r="AU130" s="15"/>
      <c r="AV130" s="15"/>
      <c r="AW130" s="15"/>
      <c r="AX130" s="15"/>
      <c r="AY130" s="15"/>
      <c r="AZ130" s="15"/>
      <c r="BA130" s="15"/>
      <c r="BB130" s="15"/>
      <c r="BC130" s="15"/>
      <c r="BD130" s="15"/>
      <c r="BE130" s="15"/>
      <c r="BF130" s="15"/>
      <c r="BG130" s="15"/>
      <c r="BH130" s="15"/>
      <c r="BI130" s="15"/>
      <c r="BJ130" s="16"/>
      <c r="BK130" s="1"/>
    </row>
    <row r="131" spans="1:63" ht="16.5" thickTop="1" x14ac:dyDescent="0.25">
      <c r="A131" s="1"/>
      <c r="B131" s="14"/>
      <c r="C131" s="15"/>
      <c r="D131" s="30" t="s">
        <v>68</v>
      </c>
      <c r="E131" s="34">
        <f>Y110</f>
        <v>27229.378150637771</v>
      </c>
      <c r="F131" s="34">
        <f t="shared" ref="F131:AJ131" si="125">Z110</f>
        <v>27347.844038765044</v>
      </c>
      <c r="G131" s="34">
        <f t="shared" si="125"/>
        <v>27468.228951078283</v>
      </c>
      <c r="H131" s="34">
        <f t="shared" si="125"/>
        <v>27590.563973773569</v>
      </c>
      <c r="I131" s="34">
        <f t="shared" si="125"/>
        <v>27714.880696611017</v>
      </c>
      <c r="J131" s="34">
        <f t="shared" si="125"/>
        <v>27841.211221072008</v>
      </c>
      <c r="K131" s="34">
        <f t="shared" si="125"/>
        <v>27969.588168648548</v>
      </c>
      <c r="L131" s="34">
        <f t="shared" si="125"/>
        <v>28100.044689266866</v>
      </c>
      <c r="M131" s="34">
        <f t="shared" si="125"/>
        <v>28232.61446984754</v>
      </c>
      <c r="N131" s="34">
        <f t="shared" si="125"/>
        <v>28367.331743004215</v>
      </c>
      <c r="O131" s="34">
        <f t="shared" si="125"/>
        <v>28504.231295883284</v>
      </c>
      <c r="P131" s="34">
        <f t="shared" si="125"/>
        <v>28643.348479146734</v>
      </c>
      <c r="Q131" s="34">
        <f t="shared" si="125"/>
        <v>28784.719216100508</v>
      </c>
      <c r="R131" s="34">
        <f t="shared" si="125"/>
        <v>28928.380011970738</v>
      </c>
      <c r="S131" s="34">
        <f t="shared" si="125"/>
        <v>29074.367963330278</v>
      </c>
      <c r="T131" s="34">
        <f t="shared" si="125"/>
        <v>29222.720767677863</v>
      </c>
      <c r="U131" s="34">
        <f t="shared" si="125"/>
        <v>29373.476733172505</v>
      </c>
      <c r="V131" s="34">
        <f t="shared" si="125"/>
        <v>29526.674788525561</v>
      </c>
      <c r="W131" s="34">
        <f t="shared" si="125"/>
        <v>29682.354493053019</v>
      </c>
      <c r="X131" s="34">
        <f t="shared" si="125"/>
        <v>29840.556046890655</v>
      </c>
      <c r="Y131" s="34">
        <f t="shared" si="125"/>
        <v>30001.320301374624</v>
      </c>
      <c r="Z131" s="34">
        <f t="shared" si="125"/>
        <v>30164.688769590248</v>
      </c>
      <c r="AA131" s="34">
        <f t="shared" si="125"/>
        <v>30330.703637091665</v>
      </c>
      <c r="AB131" s="34">
        <f t="shared" si="125"/>
        <v>30499.407772795112</v>
      </c>
      <c r="AC131" s="34">
        <f t="shared" si="125"/>
        <v>30670.844740048684</v>
      </c>
      <c r="AD131" s="34">
        <f t="shared" si="125"/>
        <v>30845.058807881418</v>
      </c>
      <c r="AE131" s="34">
        <f t="shared" si="125"/>
        <v>31022.094962434574</v>
      </c>
      <c r="AF131" s="34">
        <f t="shared" si="125"/>
        <v>31201.998918578123</v>
      </c>
      <c r="AG131" s="34">
        <f t="shared" si="125"/>
        <v>31384.817131715383</v>
      </c>
      <c r="AH131" s="34">
        <f t="shared" si="125"/>
        <v>31570.596809778894</v>
      </c>
      <c r="AI131" s="34">
        <f t="shared" si="125"/>
        <v>31759.385925420611</v>
      </c>
      <c r="AJ131" s="34">
        <f t="shared" si="125"/>
        <v>31951.233228399557</v>
      </c>
      <c r="AK131" s="15"/>
      <c r="AL131" s="15"/>
      <c r="AM131" s="15"/>
      <c r="AN131" s="15"/>
      <c r="AO131" s="15"/>
      <c r="AP131" s="15"/>
      <c r="AQ131" s="15"/>
      <c r="AR131" s="15"/>
      <c r="AS131" s="15"/>
      <c r="AT131" s="15"/>
      <c r="AU131" s="15"/>
      <c r="AV131" s="15"/>
      <c r="AW131" s="15"/>
      <c r="AX131" s="15"/>
      <c r="AY131" s="15"/>
      <c r="AZ131" s="15"/>
      <c r="BA131" s="15"/>
      <c r="BB131" s="15"/>
      <c r="BC131" s="15"/>
      <c r="BD131" s="15"/>
      <c r="BE131" s="15"/>
      <c r="BF131" s="15"/>
      <c r="BG131" s="15"/>
      <c r="BH131" s="15"/>
      <c r="BI131" s="15"/>
      <c r="BJ131" s="16"/>
      <c r="BK131" s="1"/>
    </row>
    <row r="132" spans="1:63" ht="15.75" x14ac:dyDescent="0.25">
      <c r="A132" s="1"/>
      <c r="B132" s="14"/>
      <c r="C132" s="15"/>
      <c r="D132" s="30" t="s">
        <v>93</v>
      </c>
      <c r="E132" s="34">
        <f>Y119</f>
        <v>30142.630969649781</v>
      </c>
      <c r="F132" s="34">
        <f t="shared" ref="F132:AJ132" si="126">Z119</f>
        <v>29511.908749383896</v>
      </c>
      <c r="G132" s="34">
        <f t="shared" si="126"/>
        <v>28967.253275573566</v>
      </c>
      <c r="H132" s="34">
        <f t="shared" si="126"/>
        <v>28513.5924425423</v>
      </c>
      <c r="I132" s="34">
        <f t="shared" si="126"/>
        <v>28099.696724798767</v>
      </c>
      <c r="J132" s="34">
        <f t="shared" si="126"/>
        <v>27715.774356507405</v>
      </c>
      <c r="K132" s="34">
        <f t="shared" si="126"/>
        <v>27388.837100201323</v>
      </c>
      <c r="L132" s="34">
        <f t="shared" si="126"/>
        <v>27074.856176262801</v>
      </c>
      <c r="M132" s="34">
        <f t="shared" si="126"/>
        <v>26781.629826627344</v>
      </c>
      <c r="N132" s="34">
        <f t="shared" si="126"/>
        <v>26500.08187291387</v>
      </c>
      <c r="O132" s="34">
        <f t="shared" si="126"/>
        <v>26227.864631392029</v>
      </c>
      <c r="P132" s="34">
        <f t="shared" si="126"/>
        <v>25963.899770175543</v>
      </c>
      <c r="Q132" s="34">
        <f t="shared" si="126"/>
        <v>25725.986694224765</v>
      </c>
      <c r="R132" s="34">
        <f t="shared" si="126"/>
        <v>25499.228182757826</v>
      </c>
      <c r="S132" s="34">
        <f t="shared" si="126"/>
        <v>25285.20006340032</v>
      </c>
      <c r="T132" s="34">
        <f t="shared" si="126"/>
        <v>25081.764136839436</v>
      </c>
      <c r="U132" s="34">
        <f t="shared" si="126"/>
        <v>24902.488325543032</v>
      </c>
      <c r="V132" s="34">
        <f t="shared" si="126"/>
        <v>24759.432936880912</v>
      </c>
      <c r="W132" s="34">
        <f t="shared" si="126"/>
        <v>24632.82626271305</v>
      </c>
      <c r="X132" s="34">
        <f t="shared" si="126"/>
        <v>24524.479184371819</v>
      </c>
      <c r="Y132" s="34">
        <f t="shared" si="126"/>
        <v>24471.177700587756</v>
      </c>
      <c r="Z132" s="34">
        <f t="shared" si="126"/>
        <v>24399.04934821753</v>
      </c>
      <c r="AA132" s="34">
        <f t="shared" si="126"/>
        <v>24274.498268242391</v>
      </c>
      <c r="AB132" s="34">
        <f t="shared" si="126"/>
        <v>24155.795377025272</v>
      </c>
      <c r="AC132" s="34">
        <f t="shared" si="126"/>
        <v>24042.540031305365</v>
      </c>
      <c r="AD132" s="34">
        <f t="shared" si="126"/>
        <v>23934.060706395794</v>
      </c>
      <c r="AE132" s="34">
        <f t="shared" si="126"/>
        <v>23823.643075827273</v>
      </c>
      <c r="AF132" s="34">
        <f t="shared" si="126"/>
        <v>23716.848330385124</v>
      </c>
      <c r="AG132" s="34">
        <f t="shared" si="126"/>
        <v>23613.265720673877</v>
      </c>
      <c r="AH132" s="34">
        <f t="shared" si="126"/>
        <v>23512.438173791805</v>
      </c>
      <c r="AI132" s="34">
        <f t="shared" si="126"/>
        <v>23413.898781638207</v>
      </c>
      <c r="AJ132" s="34">
        <f t="shared" si="126"/>
        <v>23317.216097435976</v>
      </c>
      <c r="AK132" s="15"/>
      <c r="AL132" s="15"/>
      <c r="AM132" s="15"/>
      <c r="AN132" s="15"/>
      <c r="AO132" s="15"/>
      <c r="AP132" s="15"/>
      <c r="AQ132" s="15"/>
      <c r="AR132" s="15"/>
      <c r="AS132" s="15"/>
      <c r="AT132" s="15"/>
      <c r="AU132" s="15"/>
      <c r="AV132" s="15"/>
      <c r="AW132" s="15"/>
      <c r="AX132" s="15"/>
      <c r="AY132" s="15"/>
      <c r="AZ132" s="15"/>
      <c r="BA132" s="15"/>
      <c r="BB132" s="15"/>
      <c r="BC132" s="15"/>
      <c r="BD132" s="15"/>
      <c r="BE132" s="15"/>
      <c r="BF132" s="15"/>
      <c r="BG132" s="15"/>
      <c r="BH132" s="15"/>
      <c r="BI132" s="15"/>
      <c r="BJ132" s="16"/>
      <c r="BK132" s="1"/>
    </row>
    <row r="133" spans="1:63" ht="15.75" x14ac:dyDescent="0.25">
      <c r="A133" s="1"/>
      <c r="B133" s="14"/>
      <c r="C133" s="15"/>
      <c r="D133" s="50" t="s">
        <v>94</v>
      </c>
      <c r="E133" s="34">
        <f>Y128</f>
        <v>27830.61582091116</v>
      </c>
      <c r="F133" s="34">
        <f t="shared" ref="F133:AJ133" si="127">Z128</f>
        <v>27199.893600645279</v>
      </c>
      <c r="G133" s="34">
        <f t="shared" si="127"/>
        <v>26655.238126834942</v>
      </c>
      <c r="H133" s="34">
        <f t="shared" si="127"/>
        <v>26201.577293803675</v>
      </c>
      <c r="I133" s="34">
        <f t="shared" si="127"/>
        <v>25787.681576060146</v>
      </c>
      <c r="J133" s="34">
        <f t="shared" si="127"/>
        <v>25403.75920776878</v>
      </c>
      <c r="K133" s="34">
        <f t="shared" si="127"/>
        <v>25076.821951462702</v>
      </c>
      <c r="L133" s="34">
        <f t="shared" si="127"/>
        <v>24762.841027524177</v>
      </c>
      <c r="M133" s="34">
        <f t="shared" si="127"/>
        <v>24469.61467788872</v>
      </c>
      <c r="N133" s="34">
        <f t="shared" si="127"/>
        <v>24188.066724175249</v>
      </c>
      <c r="O133" s="34">
        <f t="shared" si="127"/>
        <v>23915.849482653408</v>
      </c>
      <c r="P133" s="34">
        <f t="shared" si="127"/>
        <v>23651.884621436922</v>
      </c>
      <c r="Q133" s="34">
        <f t="shared" si="127"/>
        <v>23413.971545486143</v>
      </c>
      <c r="R133" s="34">
        <f t="shared" si="127"/>
        <v>23187.213034019205</v>
      </c>
      <c r="S133" s="34">
        <f t="shared" si="127"/>
        <v>22973.184914661702</v>
      </c>
      <c r="T133" s="34">
        <f t="shared" si="127"/>
        <v>22769.748988100811</v>
      </c>
      <c r="U133" s="34">
        <f t="shared" si="127"/>
        <v>22590.473176804411</v>
      </c>
      <c r="V133" s="34">
        <f t="shared" si="127"/>
        <v>22447.417788142291</v>
      </c>
      <c r="W133" s="34">
        <f t="shared" si="127"/>
        <v>22320.811113974429</v>
      </c>
      <c r="X133" s="34">
        <f t="shared" si="127"/>
        <v>22212.464035633198</v>
      </c>
      <c r="Y133" s="34">
        <f t="shared" si="127"/>
        <v>22159.162551849131</v>
      </c>
      <c r="Z133" s="34">
        <f t="shared" si="127"/>
        <v>22087.034199478909</v>
      </c>
      <c r="AA133" s="34">
        <f t="shared" si="127"/>
        <v>21962.483119503766</v>
      </c>
      <c r="AB133" s="34">
        <f t="shared" si="127"/>
        <v>21843.780228286647</v>
      </c>
      <c r="AC133" s="34">
        <f t="shared" si="127"/>
        <v>21730.524882566744</v>
      </c>
      <c r="AD133" s="34">
        <f t="shared" si="127"/>
        <v>21622.045557657169</v>
      </c>
      <c r="AE133" s="34">
        <f t="shared" si="127"/>
        <v>21511.627927088652</v>
      </c>
      <c r="AF133" s="34">
        <f t="shared" si="127"/>
        <v>21404.8331816465</v>
      </c>
      <c r="AG133" s="34">
        <f t="shared" si="127"/>
        <v>21301.250571935252</v>
      </c>
      <c r="AH133" s="34">
        <f t="shared" si="127"/>
        <v>21200.423025053184</v>
      </c>
      <c r="AI133" s="34">
        <f t="shared" si="127"/>
        <v>21101.883632899586</v>
      </c>
      <c r="AJ133" s="34">
        <f t="shared" si="127"/>
        <v>21005.200948697351</v>
      </c>
      <c r="AK133" s="15"/>
      <c r="AL133" s="15"/>
      <c r="AM133" s="15"/>
      <c r="AN133" s="15"/>
      <c r="AO133" s="15"/>
      <c r="AP133" s="15"/>
      <c r="AQ133" s="15"/>
      <c r="AR133" s="15"/>
      <c r="AS133" s="15"/>
      <c r="AT133" s="15"/>
      <c r="AU133" s="15"/>
      <c r="AV133" s="15"/>
      <c r="AW133" s="15"/>
      <c r="AX133" s="15"/>
      <c r="AY133" s="15"/>
      <c r="AZ133" s="15"/>
      <c r="BA133" s="15"/>
      <c r="BB133" s="15"/>
      <c r="BC133" s="15"/>
      <c r="BD133" s="15"/>
      <c r="BE133" s="15"/>
      <c r="BF133" s="15"/>
      <c r="BG133" s="15"/>
      <c r="BH133" s="15"/>
      <c r="BI133" s="15"/>
      <c r="BJ133" s="16"/>
      <c r="BK133" s="1"/>
    </row>
    <row r="134" spans="1:63" ht="15.75" x14ac:dyDescent="0.25">
      <c r="A134" s="1"/>
      <c r="B134" s="14"/>
      <c r="C134" s="15"/>
      <c r="D134" s="15"/>
      <c r="E134" s="15"/>
      <c r="F134" s="15"/>
      <c r="G134" s="15"/>
      <c r="H134" s="15"/>
      <c r="I134" s="15"/>
      <c r="J134" s="15"/>
      <c r="K134" s="15"/>
      <c r="L134" s="15"/>
      <c r="M134" s="15"/>
      <c r="N134" s="15"/>
      <c r="O134" s="15"/>
      <c r="P134" s="15"/>
      <c r="Q134" s="15"/>
      <c r="R134" s="15"/>
      <c r="S134" s="15"/>
      <c r="T134" s="15"/>
      <c r="U134" s="15"/>
      <c r="V134" s="15"/>
      <c r="W134" s="15"/>
      <c r="X134" s="15"/>
      <c r="Y134" s="15"/>
      <c r="Z134" s="15"/>
      <c r="AA134" s="15"/>
      <c r="AB134" s="15"/>
      <c r="AC134" s="15"/>
      <c r="AD134" s="15"/>
      <c r="AE134" s="15"/>
      <c r="AF134" s="15"/>
      <c r="AG134" s="15"/>
      <c r="AH134" s="15"/>
      <c r="AI134" s="15"/>
      <c r="AJ134" s="15"/>
      <c r="AK134" s="15"/>
      <c r="AL134" s="15"/>
      <c r="AM134" s="15"/>
      <c r="AN134" s="15"/>
      <c r="AO134" s="15"/>
      <c r="AP134" s="15"/>
      <c r="AQ134" s="15"/>
      <c r="AR134" s="15"/>
      <c r="AS134" s="15"/>
      <c r="AT134" s="15"/>
      <c r="AU134" s="15"/>
      <c r="AV134" s="15"/>
      <c r="AW134" s="15"/>
      <c r="AX134" s="15"/>
      <c r="AY134" s="15"/>
      <c r="AZ134" s="15"/>
      <c r="BA134" s="15"/>
      <c r="BB134" s="15"/>
      <c r="BC134" s="15"/>
      <c r="BD134" s="15"/>
      <c r="BE134" s="15"/>
      <c r="BF134" s="15"/>
      <c r="BG134" s="15"/>
      <c r="BH134" s="15"/>
      <c r="BI134" s="15"/>
      <c r="BJ134" s="16"/>
      <c r="BK134" s="1"/>
    </row>
    <row r="135" spans="1:63" ht="15.75" x14ac:dyDescent="0.25">
      <c r="A135" s="1"/>
      <c r="B135" s="14"/>
      <c r="C135" s="15"/>
      <c r="D135" s="15"/>
      <c r="E135" s="15"/>
      <c r="F135" s="15"/>
      <c r="G135" s="15"/>
      <c r="H135" s="15"/>
      <c r="I135" s="15"/>
      <c r="J135" s="15"/>
      <c r="K135" s="15"/>
      <c r="L135" s="15"/>
      <c r="M135" s="15"/>
      <c r="N135" s="15"/>
      <c r="O135" s="15"/>
      <c r="P135" s="15"/>
      <c r="Q135" s="15"/>
      <c r="R135" s="15"/>
      <c r="S135" s="15"/>
      <c r="T135" s="15"/>
      <c r="U135" s="15"/>
      <c r="V135" s="15"/>
      <c r="W135" s="15"/>
      <c r="X135" s="15"/>
      <c r="Y135" s="15"/>
      <c r="Z135" s="15"/>
      <c r="AA135" s="15"/>
      <c r="AB135" s="15"/>
      <c r="AC135" s="15"/>
      <c r="AD135" s="15"/>
      <c r="AE135" s="15"/>
      <c r="AF135" s="15"/>
      <c r="AG135" s="15"/>
      <c r="AH135" s="15"/>
      <c r="AI135" s="15"/>
      <c r="AJ135" s="15"/>
      <c r="AK135" s="15"/>
      <c r="AL135" s="15"/>
      <c r="AM135" s="15"/>
      <c r="AN135" s="15"/>
      <c r="AO135" s="15"/>
      <c r="AP135" s="15"/>
      <c r="AQ135" s="15"/>
      <c r="AR135" s="15"/>
      <c r="AS135" s="15"/>
      <c r="AT135" s="15"/>
      <c r="AU135" s="15"/>
      <c r="AV135" s="15"/>
      <c r="AW135" s="15"/>
      <c r="AX135" s="15"/>
      <c r="AY135" s="15"/>
      <c r="AZ135" s="15"/>
      <c r="BA135" s="15"/>
      <c r="BB135" s="15"/>
      <c r="BC135" s="15"/>
      <c r="BD135" s="15"/>
      <c r="BE135" s="15"/>
      <c r="BF135" s="15"/>
      <c r="BG135" s="15"/>
      <c r="BH135" s="15"/>
      <c r="BI135" s="15"/>
      <c r="BJ135" s="16"/>
      <c r="BK135" s="1"/>
    </row>
    <row r="136" spans="1:63" ht="15.75" x14ac:dyDescent="0.25">
      <c r="A136" s="1"/>
      <c r="B136" s="14"/>
      <c r="C136" s="15"/>
      <c r="D136" s="15"/>
      <c r="E136" s="15"/>
      <c r="F136" s="15"/>
      <c r="G136" s="15"/>
      <c r="H136" s="15"/>
      <c r="I136" s="15"/>
      <c r="J136" s="15"/>
      <c r="K136" s="15"/>
      <c r="L136" s="15"/>
      <c r="M136" s="15"/>
      <c r="N136" s="15"/>
      <c r="O136" s="15"/>
      <c r="P136" s="15"/>
      <c r="Q136" s="15"/>
      <c r="R136" s="15"/>
      <c r="S136" s="15"/>
      <c r="T136" s="15"/>
      <c r="U136" s="15"/>
      <c r="V136" s="15"/>
      <c r="W136" s="15"/>
      <c r="X136" s="15"/>
      <c r="Y136" s="15"/>
      <c r="Z136" s="15"/>
      <c r="AA136" s="15"/>
      <c r="AB136" s="15"/>
      <c r="AC136" s="15"/>
      <c r="AD136" s="15"/>
      <c r="AE136" s="15"/>
      <c r="AF136" s="15"/>
      <c r="AG136" s="15"/>
      <c r="AH136" s="15"/>
      <c r="AI136" s="15"/>
      <c r="AJ136" s="15"/>
      <c r="AK136" s="15"/>
      <c r="AL136" s="15"/>
      <c r="AM136" s="15"/>
      <c r="AN136" s="15"/>
      <c r="AO136" s="15"/>
      <c r="AP136" s="15"/>
      <c r="AQ136" s="15"/>
      <c r="AR136" s="15"/>
      <c r="AS136" s="15"/>
      <c r="AT136" s="15"/>
      <c r="AU136" s="15"/>
      <c r="AV136" s="15"/>
      <c r="AW136" s="15"/>
      <c r="AX136" s="15"/>
      <c r="AY136" s="15"/>
      <c r="AZ136" s="15"/>
      <c r="BA136" s="15"/>
      <c r="BB136" s="15"/>
      <c r="BC136" s="15"/>
      <c r="BD136" s="15"/>
      <c r="BE136" s="15"/>
      <c r="BF136" s="15"/>
      <c r="BG136" s="15"/>
      <c r="BH136" s="15"/>
      <c r="BI136" s="15"/>
      <c r="BJ136" s="16"/>
      <c r="BK136" s="1"/>
    </row>
    <row r="137" spans="1:63" ht="15.75" x14ac:dyDescent="0.25">
      <c r="A137" s="1"/>
      <c r="B137" s="14"/>
      <c r="C137" s="15"/>
      <c r="D137" s="15"/>
      <c r="E137" s="15"/>
      <c r="F137" s="15"/>
      <c r="G137" s="15"/>
      <c r="H137" s="15"/>
      <c r="I137" s="15"/>
      <c r="J137" s="15"/>
      <c r="K137" s="15"/>
      <c r="L137" s="15"/>
      <c r="M137" s="15"/>
      <c r="N137" s="15"/>
      <c r="O137" s="15"/>
      <c r="P137" s="15"/>
      <c r="Q137" s="15"/>
      <c r="R137" s="15"/>
      <c r="S137" s="15"/>
      <c r="T137" s="15"/>
      <c r="U137" s="15"/>
      <c r="V137" s="15"/>
      <c r="W137" s="15"/>
      <c r="X137" s="15"/>
      <c r="Y137" s="15"/>
      <c r="Z137" s="15"/>
      <c r="AA137" s="15"/>
      <c r="AB137" s="15"/>
      <c r="AC137" s="15"/>
      <c r="AD137" s="15"/>
      <c r="AE137" s="15"/>
      <c r="AF137" s="15"/>
      <c r="AG137" s="15"/>
      <c r="AH137" s="15"/>
      <c r="AI137" s="15"/>
      <c r="AJ137" s="15"/>
      <c r="AK137" s="15"/>
      <c r="AL137" s="15"/>
      <c r="AM137" s="15"/>
      <c r="AN137" s="15"/>
      <c r="AO137" s="15"/>
      <c r="AP137" s="15"/>
      <c r="AQ137" s="15"/>
      <c r="AR137" s="15"/>
      <c r="AS137" s="15"/>
      <c r="AT137" s="15"/>
      <c r="AU137" s="15"/>
      <c r="AV137" s="15"/>
      <c r="AW137" s="15"/>
      <c r="AX137" s="15"/>
      <c r="AY137" s="15"/>
      <c r="AZ137" s="15"/>
      <c r="BA137" s="15"/>
      <c r="BB137" s="15"/>
      <c r="BC137" s="15"/>
      <c r="BD137" s="15"/>
      <c r="BE137" s="15"/>
      <c r="BF137" s="15"/>
      <c r="BG137" s="15"/>
      <c r="BH137" s="15"/>
      <c r="BI137" s="15"/>
      <c r="BJ137" s="16"/>
      <c r="BK137" s="1"/>
    </row>
    <row r="138" spans="1:63" ht="15.75" x14ac:dyDescent="0.25">
      <c r="A138" s="1"/>
      <c r="B138" s="14"/>
      <c r="C138" s="15"/>
      <c r="D138" s="15"/>
      <c r="E138" s="15"/>
      <c r="F138" s="15"/>
      <c r="G138" s="15"/>
      <c r="H138" s="15"/>
      <c r="I138" s="15"/>
      <c r="J138" s="15"/>
      <c r="K138" s="15"/>
      <c r="L138" s="15"/>
      <c r="M138" s="15"/>
      <c r="N138" s="15"/>
      <c r="O138" s="15"/>
      <c r="P138" s="15"/>
      <c r="Q138" s="15"/>
      <c r="R138" s="15"/>
      <c r="S138" s="15"/>
      <c r="T138" s="15"/>
      <c r="U138" s="15"/>
      <c r="V138" s="15"/>
      <c r="W138" s="15"/>
      <c r="X138" s="15"/>
      <c r="Y138" s="15"/>
      <c r="Z138" s="15"/>
      <c r="AA138" s="15"/>
      <c r="AB138" s="15"/>
      <c r="AC138" s="15"/>
      <c r="AD138" s="15"/>
      <c r="AE138" s="15"/>
      <c r="AF138" s="15"/>
      <c r="AG138" s="15"/>
      <c r="AH138" s="15"/>
      <c r="AI138" s="15"/>
      <c r="AJ138" s="15"/>
      <c r="AK138" s="15"/>
      <c r="AL138" s="15"/>
      <c r="AM138" s="15"/>
      <c r="AN138" s="15"/>
      <c r="AO138" s="15"/>
      <c r="AP138" s="15"/>
      <c r="AQ138" s="15"/>
      <c r="AR138" s="15"/>
      <c r="AS138" s="15"/>
      <c r="AT138" s="15"/>
      <c r="AU138" s="15"/>
      <c r="AV138" s="15"/>
      <c r="AW138" s="15"/>
      <c r="AX138" s="15"/>
      <c r="AY138" s="15"/>
      <c r="AZ138" s="15"/>
      <c r="BA138" s="15"/>
      <c r="BB138" s="15"/>
      <c r="BC138" s="15"/>
      <c r="BD138" s="15"/>
      <c r="BE138" s="15"/>
      <c r="BF138" s="15"/>
      <c r="BG138" s="15"/>
      <c r="BH138" s="15"/>
      <c r="BI138" s="15"/>
      <c r="BJ138" s="16"/>
      <c r="BK138" s="1"/>
    </row>
    <row r="139" spans="1:63" ht="15.75" x14ac:dyDescent="0.25">
      <c r="A139" s="1"/>
      <c r="B139" s="14"/>
      <c r="C139" s="15"/>
      <c r="D139" s="15"/>
      <c r="E139" s="15"/>
      <c r="F139" s="15"/>
      <c r="G139" s="15"/>
      <c r="H139" s="15"/>
      <c r="I139" s="15"/>
      <c r="J139" s="15"/>
      <c r="K139" s="15"/>
      <c r="L139" s="15"/>
      <c r="M139" s="15"/>
      <c r="N139" s="15"/>
      <c r="O139" s="15"/>
      <c r="P139" s="15"/>
      <c r="Q139" s="15"/>
      <c r="R139" s="15"/>
      <c r="S139" s="15"/>
      <c r="T139" s="15"/>
      <c r="U139" s="15"/>
      <c r="V139" s="15"/>
      <c r="W139" s="15"/>
      <c r="X139" s="15"/>
      <c r="Y139" s="15"/>
      <c r="Z139" s="15"/>
      <c r="AA139" s="15"/>
      <c r="AB139" s="15"/>
      <c r="AC139" s="15"/>
      <c r="AD139" s="15"/>
      <c r="AE139" s="15"/>
      <c r="AF139" s="15"/>
      <c r="AG139" s="15"/>
      <c r="AH139" s="15"/>
      <c r="AI139" s="15"/>
      <c r="AJ139" s="15"/>
      <c r="AK139" s="15"/>
      <c r="AL139" s="15"/>
      <c r="AM139" s="15"/>
      <c r="AN139" s="15"/>
      <c r="AO139" s="15"/>
      <c r="AP139" s="15"/>
      <c r="AQ139" s="15"/>
      <c r="AR139" s="15"/>
      <c r="AS139" s="15"/>
      <c r="AT139" s="15"/>
      <c r="AU139" s="15"/>
      <c r="AV139" s="15"/>
      <c r="AW139" s="15"/>
      <c r="AX139" s="15"/>
      <c r="AY139" s="15"/>
      <c r="AZ139" s="15"/>
      <c r="BA139" s="15"/>
      <c r="BB139" s="15"/>
      <c r="BC139" s="15"/>
      <c r="BD139" s="15"/>
      <c r="BE139" s="15"/>
      <c r="BF139" s="15"/>
      <c r="BG139" s="15"/>
      <c r="BH139" s="15"/>
      <c r="BI139" s="15"/>
      <c r="BJ139" s="16"/>
      <c r="BK139" s="1"/>
    </row>
    <row r="140" spans="1:63" ht="15.75" x14ac:dyDescent="0.25">
      <c r="A140" s="1"/>
      <c r="B140" s="14"/>
      <c r="C140" s="15"/>
      <c r="D140" s="15"/>
      <c r="E140" s="15"/>
      <c r="F140" s="15"/>
      <c r="G140" s="15"/>
      <c r="H140" s="15"/>
      <c r="I140" s="15"/>
      <c r="J140" s="15"/>
      <c r="K140" s="15"/>
      <c r="L140" s="15"/>
      <c r="M140" s="15"/>
      <c r="N140" s="15"/>
      <c r="O140" s="15"/>
      <c r="P140" s="15"/>
      <c r="Q140" s="15"/>
      <c r="R140" s="15"/>
      <c r="S140" s="15"/>
      <c r="T140" s="15"/>
      <c r="U140" s="15"/>
      <c r="V140" s="15"/>
      <c r="W140" s="15"/>
      <c r="X140" s="15"/>
      <c r="Y140" s="15"/>
      <c r="Z140" s="15"/>
      <c r="AA140" s="15"/>
      <c r="AB140" s="15"/>
      <c r="AC140" s="15"/>
      <c r="AD140" s="15"/>
      <c r="AE140" s="15"/>
      <c r="AF140" s="15"/>
      <c r="AG140" s="15"/>
      <c r="AH140" s="15"/>
      <c r="AI140" s="15"/>
      <c r="AJ140" s="15"/>
      <c r="AK140" s="15"/>
      <c r="AL140" s="15"/>
      <c r="AM140" s="15"/>
      <c r="AN140" s="15"/>
      <c r="AO140" s="15"/>
      <c r="AP140" s="15"/>
      <c r="AQ140" s="15"/>
      <c r="AR140" s="15"/>
      <c r="AS140" s="15"/>
      <c r="AT140" s="15"/>
      <c r="AU140" s="15"/>
      <c r="AV140" s="15"/>
      <c r="AW140" s="15"/>
      <c r="AX140" s="15"/>
      <c r="AY140" s="15"/>
      <c r="AZ140" s="15"/>
      <c r="BA140" s="15"/>
      <c r="BB140" s="15"/>
      <c r="BC140" s="15"/>
      <c r="BD140" s="15"/>
      <c r="BE140" s="15"/>
      <c r="BF140" s="15"/>
      <c r="BG140" s="15"/>
      <c r="BH140" s="15"/>
      <c r="BI140" s="15"/>
      <c r="BJ140" s="16"/>
      <c r="BK140" s="1"/>
    </row>
    <row r="141" spans="1:63" ht="15.75" x14ac:dyDescent="0.25">
      <c r="A141" s="1"/>
      <c r="B141" s="14"/>
      <c r="C141" s="15"/>
      <c r="D141" s="15"/>
      <c r="E141" s="15"/>
      <c r="F141" s="15"/>
      <c r="G141" s="15"/>
      <c r="H141" s="15"/>
      <c r="I141" s="15"/>
      <c r="J141" s="15"/>
      <c r="K141" s="15"/>
      <c r="L141" s="15"/>
      <c r="M141" s="15"/>
      <c r="N141" s="15"/>
      <c r="O141" s="15"/>
      <c r="P141" s="15"/>
      <c r="Q141" s="15"/>
      <c r="R141" s="15"/>
      <c r="S141" s="15"/>
      <c r="T141" s="15"/>
      <c r="U141" s="15"/>
      <c r="V141" s="15"/>
      <c r="W141" s="15"/>
      <c r="X141" s="15"/>
      <c r="Y141" s="15"/>
      <c r="Z141" s="15"/>
      <c r="AA141" s="15"/>
      <c r="AB141" s="15"/>
      <c r="AC141" s="15"/>
      <c r="AD141" s="15"/>
      <c r="AE141" s="15"/>
      <c r="AF141" s="15"/>
      <c r="AG141" s="15"/>
      <c r="AH141" s="15"/>
      <c r="AI141" s="15"/>
      <c r="AJ141" s="15"/>
      <c r="AK141" s="15"/>
      <c r="AL141" s="15"/>
      <c r="AM141" s="15"/>
      <c r="AN141" s="15"/>
      <c r="AO141" s="15"/>
      <c r="AP141" s="15"/>
      <c r="AQ141" s="15"/>
      <c r="AR141" s="15"/>
      <c r="AS141" s="15"/>
      <c r="AT141" s="15"/>
      <c r="AU141" s="15"/>
      <c r="AV141" s="15"/>
      <c r="AW141" s="15"/>
      <c r="AX141" s="15"/>
      <c r="AY141" s="15"/>
      <c r="AZ141" s="15"/>
      <c r="BA141" s="15"/>
      <c r="BB141" s="15"/>
      <c r="BC141" s="15"/>
      <c r="BD141" s="15"/>
      <c r="BE141" s="15"/>
      <c r="BF141" s="15"/>
      <c r="BG141" s="15"/>
      <c r="BH141" s="15"/>
      <c r="BI141" s="15"/>
      <c r="BJ141" s="16"/>
      <c r="BK141" s="1"/>
    </row>
    <row r="142" spans="1:63" ht="15.75" x14ac:dyDescent="0.25">
      <c r="A142" s="1"/>
      <c r="B142" s="14"/>
      <c r="C142" s="15"/>
      <c r="D142" s="15"/>
      <c r="E142" s="15"/>
      <c r="F142" s="15"/>
      <c r="G142" s="15"/>
      <c r="H142" s="15"/>
      <c r="I142" s="15"/>
      <c r="J142" s="15"/>
      <c r="K142" s="15"/>
      <c r="L142" s="15"/>
      <c r="M142" s="15"/>
      <c r="N142" s="15"/>
      <c r="O142" s="15"/>
      <c r="P142" s="15"/>
      <c r="Q142" s="15"/>
      <c r="R142" s="15"/>
      <c r="S142" s="15"/>
      <c r="T142" s="15"/>
      <c r="U142" s="15"/>
      <c r="V142" s="15"/>
      <c r="W142" s="15"/>
      <c r="X142" s="15"/>
      <c r="Y142" s="15"/>
      <c r="Z142" s="15"/>
      <c r="AA142" s="15"/>
      <c r="AB142" s="15"/>
      <c r="AC142" s="15"/>
      <c r="AD142" s="15"/>
      <c r="AE142" s="15"/>
      <c r="AF142" s="15"/>
      <c r="AG142" s="15"/>
      <c r="AH142" s="15"/>
      <c r="AI142" s="15"/>
      <c r="AJ142" s="15"/>
      <c r="AK142" s="15"/>
      <c r="AL142" s="15"/>
      <c r="AM142" s="15"/>
      <c r="AN142" s="15"/>
      <c r="AO142" s="15"/>
      <c r="AP142" s="15"/>
      <c r="AQ142" s="15"/>
      <c r="AR142" s="15"/>
      <c r="AS142" s="15"/>
      <c r="AT142" s="15"/>
      <c r="AU142" s="15"/>
      <c r="AV142" s="15"/>
      <c r="AW142" s="15"/>
      <c r="AX142" s="15"/>
      <c r="AY142" s="15"/>
      <c r="AZ142" s="15"/>
      <c r="BA142" s="15"/>
      <c r="BB142" s="15"/>
      <c r="BC142" s="15"/>
      <c r="BD142" s="15"/>
      <c r="BE142" s="15"/>
      <c r="BF142" s="15"/>
      <c r="BG142" s="15"/>
      <c r="BH142" s="15"/>
      <c r="BI142" s="15"/>
      <c r="BJ142" s="16"/>
      <c r="BK142" s="1"/>
    </row>
    <row r="143" spans="1:63" ht="15.75" x14ac:dyDescent="0.25">
      <c r="A143" s="1"/>
      <c r="B143" s="14"/>
      <c r="C143" s="15"/>
      <c r="D143" s="15"/>
      <c r="E143" s="15"/>
      <c r="F143" s="15"/>
      <c r="G143" s="15"/>
      <c r="H143" s="15"/>
      <c r="I143" s="15"/>
      <c r="J143" s="15"/>
      <c r="K143" s="15"/>
      <c r="L143" s="15"/>
      <c r="M143" s="15"/>
      <c r="N143" s="15"/>
      <c r="O143" s="15"/>
      <c r="P143" s="15"/>
      <c r="Q143" s="15"/>
      <c r="R143" s="15"/>
      <c r="S143" s="15"/>
      <c r="T143" s="15"/>
      <c r="U143" s="15"/>
      <c r="V143" s="15"/>
      <c r="W143" s="15"/>
      <c r="X143" s="15"/>
      <c r="Y143" s="15"/>
      <c r="Z143" s="15"/>
      <c r="AA143" s="15"/>
      <c r="AB143" s="15"/>
      <c r="AC143" s="15"/>
      <c r="AD143" s="15"/>
      <c r="AE143" s="15"/>
      <c r="AF143" s="15"/>
      <c r="AG143" s="15"/>
      <c r="AH143" s="15"/>
      <c r="AI143" s="15"/>
      <c r="AJ143" s="15"/>
      <c r="AK143" s="15"/>
      <c r="AL143" s="15"/>
      <c r="AM143" s="15"/>
      <c r="AN143" s="15"/>
      <c r="AO143" s="15"/>
      <c r="AP143" s="15"/>
      <c r="AQ143" s="15"/>
      <c r="AR143" s="15"/>
      <c r="AS143" s="15"/>
      <c r="AT143" s="15"/>
      <c r="AU143" s="15"/>
      <c r="AV143" s="15"/>
      <c r="AW143" s="15"/>
      <c r="AX143" s="15"/>
      <c r="AY143" s="15"/>
      <c r="AZ143" s="15"/>
      <c r="BA143" s="15"/>
      <c r="BB143" s="15"/>
      <c r="BC143" s="15"/>
      <c r="BD143" s="15"/>
      <c r="BE143" s="15"/>
      <c r="BF143" s="15"/>
      <c r="BG143" s="15"/>
      <c r="BH143" s="15"/>
      <c r="BI143" s="15"/>
      <c r="BJ143" s="16"/>
      <c r="BK143" s="1"/>
    </row>
    <row r="144" spans="1:63" ht="15.75" x14ac:dyDescent="0.25">
      <c r="A144" s="1"/>
      <c r="B144" s="14"/>
      <c r="C144" s="15"/>
      <c r="D144" s="15"/>
      <c r="E144" s="15"/>
      <c r="F144" s="15"/>
      <c r="G144" s="15"/>
      <c r="H144" s="15"/>
      <c r="I144" s="15"/>
      <c r="J144" s="15"/>
      <c r="K144" s="15"/>
      <c r="L144" s="15"/>
      <c r="M144" s="15"/>
      <c r="N144" s="15"/>
      <c r="O144" s="15"/>
      <c r="P144" s="15"/>
      <c r="Q144" s="15"/>
      <c r="R144" s="15"/>
      <c r="S144" s="15"/>
      <c r="T144" s="15"/>
      <c r="U144" s="15"/>
      <c r="V144" s="15"/>
      <c r="W144" s="15"/>
      <c r="X144" s="15"/>
      <c r="Y144" s="15"/>
      <c r="Z144" s="15"/>
      <c r="AA144" s="15"/>
      <c r="AB144" s="15"/>
      <c r="AC144" s="15"/>
      <c r="AD144" s="15"/>
      <c r="AE144" s="15"/>
      <c r="AF144" s="15"/>
      <c r="AG144" s="15"/>
      <c r="AH144" s="15"/>
      <c r="AI144" s="15"/>
      <c r="AJ144" s="15"/>
      <c r="AK144" s="15"/>
      <c r="AL144" s="15"/>
      <c r="AM144" s="15"/>
      <c r="AN144" s="15"/>
      <c r="AO144" s="15"/>
      <c r="AP144" s="15"/>
      <c r="AQ144" s="15"/>
      <c r="AR144" s="15"/>
      <c r="AS144" s="15"/>
      <c r="AT144" s="15"/>
      <c r="AU144" s="15"/>
      <c r="AV144" s="15"/>
      <c r="AW144" s="15"/>
      <c r="AX144" s="15"/>
      <c r="AY144" s="15"/>
      <c r="AZ144" s="15"/>
      <c r="BA144" s="15"/>
      <c r="BB144" s="15"/>
      <c r="BC144" s="15"/>
      <c r="BD144" s="15"/>
      <c r="BE144" s="15"/>
      <c r="BF144" s="15"/>
      <c r="BG144" s="15"/>
      <c r="BH144" s="15"/>
      <c r="BI144" s="15"/>
      <c r="BJ144" s="16"/>
      <c r="BK144" s="1"/>
    </row>
    <row r="145" spans="1:63" ht="15.75" x14ac:dyDescent="0.25">
      <c r="A145" s="1"/>
      <c r="B145" s="14"/>
      <c r="C145" s="15"/>
      <c r="D145" s="15"/>
      <c r="E145" s="15"/>
      <c r="F145" s="15"/>
      <c r="G145" s="15"/>
      <c r="H145" s="15"/>
      <c r="I145" s="15"/>
      <c r="J145" s="15"/>
      <c r="K145" s="15"/>
      <c r="L145" s="15"/>
      <c r="M145" s="15"/>
      <c r="N145" s="15"/>
      <c r="O145" s="15"/>
      <c r="P145" s="15"/>
      <c r="Q145" s="15"/>
      <c r="R145" s="15"/>
      <c r="S145" s="15"/>
      <c r="T145" s="15"/>
      <c r="U145" s="15"/>
      <c r="V145" s="15"/>
      <c r="W145" s="15"/>
      <c r="X145" s="15"/>
      <c r="Y145" s="15"/>
      <c r="Z145" s="15"/>
      <c r="AA145" s="15"/>
      <c r="AB145" s="15"/>
      <c r="AC145" s="15"/>
      <c r="AD145" s="15"/>
      <c r="AE145" s="15"/>
      <c r="AF145" s="15"/>
      <c r="AG145" s="15"/>
      <c r="AH145" s="15"/>
      <c r="AI145" s="15"/>
      <c r="AJ145" s="15"/>
      <c r="AK145" s="15"/>
      <c r="AL145" s="15"/>
      <c r="AM145" s="15"/>
      <c r="AN145" s="15"/>
      <c r="AO145" s="15"/>
      <c r="AP145" s="15"/>
      <c r="AQ145" s="15"/>
      <c r="AR145" s="15"/>
      <c r="AS145" s="15"/>
      <c r="AT145" s="15"/>
      <c r="AU145" s="15"/>
      <c r="AV145" s="15"/>
      <c r="AW145" s="15"/>
      <c r="AX145" s="15"/>
      <c r="AY145" s="15"/>
      <c r="AZ145" s="15"/>
      <c r="BA145" s="15"/>
      <c r="BB145" s="15"/>
      <c r="BC145" s="15"/>
      <c r="BD145" s="15"/>
      <c r="BE145" s="15"/>
      <c r="BF145" s="15"/>
      <c r="BG145" s="15"/>
      <c r="BH145" s="15"/>
      <c r="BI145" s="15"/>
      <c r="BJ145" s="16"/>
      <c r="BK145" s="1"/>
    </row>
    <row r="146" spans="1:63" ht="15.75" x14ac:dyDescent="0.25">
      <c r="A146" s="1"/>
      <c r="B146" s="14"/>
      <c r="C146" s="15"/>
      <c r="D146" s="15"/>
      <c r="E146" s="15"/>
      <c r="F146" s="15"/>
      <c r="G146" s="15"/>
      <c r="H146" s="15"/>
      <c r="I146" s="15"/>
      <c r="J146" s="15"/>
      <c r="K146" s="15"/>
      <c r="L146" s="15"/>
      <c r="M146" s="15"/>
      <c r="N146" s="15"/>
      <c r="O146" s="15"/>
      <c r="P146" s="15"/>
      <c r="Q146" s="15"/>
      <c r="R146" s="15"/>
      <c r="S146" s="15"/>
      <c r="T146" s="15"/>
      <c r="U146" s="15"/>
      <c r="V146" s="15"/>
      <c r="W146" s="15"/>
      <c r="X146" s="15"/>
      <c r="Y146" s="15"/>
      <c r="Z146" s="15"/>
      <c r="AA146" s="15"/>
      <c r="AB146" s="15"/>
      <c r="AC146" s="15"/>
      <c r="AD146" s="15"/>
      <c r="AE146" s="15"/>
      <c r="AF146" s="15"/>
      <c r="AG146" s="15"/>
      <c r="AH146" s="15"/>
      <c r="AI146" s="15"/>
      <c r="AJ146" s="15"/>
      <c r="AK146" s="15"/>
      <c r="AL146" s="15"/>
      <c r="AM146" s="15"/>
      <c r="AN146" s="15"/>
      <c r="AO146" s="15"/>
      <c r="AP146" s="15"/>
      <c r="AQ146" s="15"/>
      <c r="AR146" s="15"/>
      <c r="AS146" s="15"/>
      <c r="AT146" s="15"/>
      <c r="AU146" s="15"/>
      <c r="AV146" s="15"/>
      <c r="AW146" s="15"/>
      <c r="AX146" s="15"/>
      <c r="AY146" s="15"/>
      <c r="AZ146" s="15"/>
      <c r="BA146" s="15"/>
      <c r="BB146" s="15"/>
      <c r="BC146" s="15"/>
      <c r="BD146" s="15"/>
      <c r="BE146" s="15"/>
      <c r="BF146" s="15"/>
      <c r="BG146" s="15"/>
      <c r="BH146" s="15"/>
      <c r="BI146" s="15"/>
      <c r="BJ146" s="16"/>
      <c r="BK146" s="1"/>
    </row>
    <row r="147" spans="1:63" ht="15.75" x14ac:dyDescent="0.25">
      <c r="A147" s="1"/>
      <c r="B147" s="14"/>
      <c r="C147" s="15"/>
      <c r="D147" s="15"/>
      <c r="E147" s="15"/>
      <c r="F147" s="15"/>
      <c r="G147" s="43"/>
      <c r="H147" s="15"/>
      <c r="I147" s="15"/>
      <c r="J147" s="15"/>
      <c r="K147" s="15"/>
      <c r="L147" s="15"/>
      <c r="M147" s="15"/>
      <c r="N147" s="15"/>
      <c r="O147" s="15"/>
      <c r="P147" s="15"/>
      <c r="Q147" s="15"/>
      <c r="R147" s="15"/>
      <c r="S147" s="15"/>
      <c r="T147" s="15"/>
      <c r="U147" s="15"/>
      <c r="V147" s="15"/>
      <c r="W147" s="15"/>
      <c r="X147" s="15"/>
      <c r="Y147" s="15"/>
      <c r="Z147" s="15"/>
      <c r="AA147" s="15"/>
      <c r="AB147" s="15"/>
      <c r="AC147" s="15"/>
      <c r="AD147" s="15"/>
      <c r="AE147" s="15"/>
      <c r="AF147" s="15"/>
      <c r="AG147" s="15"/>
      <c r="AH147" s="15"/>
      <c r="AI147" s="15"/>
      <c r="AJ147" s="15"/>
      <c r="AK147" s="15"/>
      <c r="AL147" s="15"/>
      <c r="AM147" s="15"/>
      <c r="AN147" s="15"/>
      <c r="AO147" s="15"/>
      <c r="AP147" s="15"/>
      <c r="AQ147" s="15"/>
      <c r="AR147" s="15"/>
      <c r="AS147" s="15"/>
      <c r="AT147" s="15"/>
      <c r="AU147" s="15"/>
      <c r="AV147" s="15"/>
      <c r="AW147" s="15"/>
      <c r="AX147" s="15"/>
      <c r="AY147" s="15"/>
      <c r="AZ147" s="15"/>
      <c r="BA147" s="15"/>
      <c r="BB147" s="15"/>
      <c r="BC147" s="15"/>
      <c r="BD147" s="15"/>
      <c r="BE147" s="15"/>
      <c r="BF147" s="15"/>
      <c r="BG147" s="15"/>
      <c r="BH147" s="15"/>
      <c r="BI147" s="15"/>
      <c r="BJ147" s="16"/>
      <c r="BK147" s="1"/>
    </row>
    <row r="148" spans="1:63" ht="15.75" x14ac:dyDescent="0.25">
      <c r="A148" s="1"/>
      <c r="B148" s="14"/>
      <c r="C148" s="15"/>
      <c r="D148" s="15"/>
      <c r="E148" s="15"/>
      <c r="F148" s="15"/>
      <c r="G148" s="43"/>
      <c r="H148" s="15"/>
      <c r="I148" s="15"/>
      <c r="J148" s="15"/>
      <c r="K148" s="15"/>
      <c r="L148" s="15"/>
      <c r="M148" s="15"/>
      <c r="N148" s="15"/>
      <c r="O148" s="15"/>
      <c r="P148" s="15"/>
      <c r="Q148" s="15"/>
      <c r="R148" s="15"/>
      <c r="S148" s="15"/>
      <c r="T148" s="15"/>
      <c r="U148" s="15"/>
      <c r="V148" s="15"/>
      <c r="W148" s="15"/>
      <c r="X148" s="15"/>
      <c r="Y148" s="15"/>
      <c r="Z148" s="15"/>
      <c r="AA148" s="15"/>
      <c r="AB148" s="15"/>
      <c r="AC148" s="15"/>
      <c r="AD148" s="15"/>
      <c r="AE148" s="15"/>
      <c r="AF148" s="15"/>
      <c r="AG148" s="15"/>
      <c r="AH148" s="15"/>
      <c r="AI148" s="15"/>
      <c r="AJ148" s="15"/>
      <c r="AK148" s="15"/>
      <c r="AL148" s="15"/>
      <c r="AM148" s="15"/>
      <c r="AN148" s="15"/>
      <c r="AO148" s="15"/>
      <c r="AP148" s="15"/>
      <c r="AQ148" s="15"/>
      <c r="AR148" s="15"/>
      <c r="AS148" s="15"/>
      <c r="AT148" s="15"/>
      <c r="AU148" s="15"/>
      <c r="AV148" s="15"/>
      <c r="AW148" s="15"/>
      <c r="AX148" s="15"/>
      <c r="AY148" s="15"/>
      <c r="AZ148" s="15"/>
      <c r="BA148" s="15"/>
      <c r="BB148" s="15"/>
      <c r="BC148" s="15"/>
      <c r="BD148" s="15"/>
      <c r="BE148" s="15"/>
      <c r="BF148" s="15"/>
      <c r="BG148" s="15"/>
      <c r="BH148" s="15"/>
      <c r="BI148" s="15"/>
      <c r="BJ148" s="16"/>
      <c r="BK148" s="1"/>
    </row>
    <row r="149" spans="1:63" ht="15.75" x14ac:dyDescent="0.25">
      <c r="A149" s="1"/>
      <c r="B149" s="14"/>
      <c r="C149" s="15"/>
      <c r="D149" s="15"/>
      <c r="E149" s="15"/>
      <c r="F149" s="15"/>
      <c r="G149" s="43"/>
      <c r="H149" s="15"/>
      <c r="I149" s="15"/>
      <c r="J149" s="15"/>
      <c r="K149" s="15"/>
      <c r="L149" s="15"/>
      <c r="M149" s="15"/>
      <c r="N149" s="15"/>
      <c r="O149" s="15"/>
      <c r="P149" s="15"/>
      <c r="Q149" s="15"/>
      <c r="R149" s="15"/>
      <c r="S149" s="15"/>
      <c r="T149" s="15"/>
      <c r="U149" s="15"/>
      <c r="V149" s="15"/>
      <c r="W149" s="15"/>
      <c r="X149" s="15"/>
      <c r="Y149" s="15"/>
      <c r="Z149" s="15"/>
      <c r="AA149" s="15"/>
      <c r="AB149" s="15"/>
      <c r="AC149" s="15"/>
      <c r="AD149" s="15"/>
      <c r="AE149" s="15"/>
      <c r="AF149" s="15"/>
      <c r="AG149" s="15"/>
      <c r="AH149" s="15"/>
      <c r="AI149" s="15"/>
      <c r="AJ149" s="15"/>
      <c r="AK149" s="15"/>
      <c r="AL149" s="15"/>
      <c r="AM149" s="15"/>
      <c r="AN149" s="15"/>
      <c r="AO149" s="15"/>
      <c r="AP149" s="15"/>
      <c r="AQ149" s="15"/>
      <c r="AR149" s="15"/>
      <c r="AS149" s="15"/>
      <c r="AT149" s="15"/>
      <c r="AU149" s="15"/>
      <c r="AV149" s="15"/>
      <c r="AW149" s="15"/>
      <c r="AX149" s="15"/>
      <c r="AY149" s="15"/>
      <c r="AZ149" s="15"/>
      <c r="BA149" s="15"/>
      <c r="BB149" s="15"/>
      <c r="BC149" s="15"/>
      <c r="BD149" s="15"/>
      <c r="BE149" s="15"/>
      <c r="BF149" s="15"/>
      <c r="BG149" s="15"/>
      <c r="BH149" s="15"/>
      <c r="BI149" s="15"/>
      <c r="BJ149" s="16"/>
      <c r="BK149" s="1"/>
    </row>
    <row r="150" spans="1:63" ht="15.75" x14ac:dyDescent="0.25">
      <c r="A150" s="1"/>
      <c r="B150" s="14"/>
      <c r="C150" s="15"/>
      <c r="D150" s="15"/>
      <c r="E150" s="15"/>
      <c r="F150" s="15"/>
      <c r="G150" s="43"/>
      <c r="H150" s="15"/>
      <c r="I150" s="15"/>
      <c r="J150" s="15"/>
      <c r="K150" s="15"/>
      <c r="L150" s="15"/>
      <c r="M150" s="15"/>
      <c r="N150" s="15"/>
      <c r="O150" s="15"/>
      <c r="P150" s="15"/>
      <c r="Q150" s="15"/>
      <c r="R150" s="15"/>
      <c r="S150" s="15"/>
      <c r="T150" s="15"/>
      <c r="U150" s="15"/>
      <c r="V150" s="15"/>
      <c r="W150" s="15"/>
      <c r="X150" s="15"/>
      <c r="Y150" s="15"/>
      <c r="Z150" s="15"/>
      <c r="AA150" s="15"/>
      <c r="AB150" s="15"/>
      <c r="AC150" s="15"/>
      <c r="AD150" s="15"/>
      <c r="AE150" s="15"/>
      <c r="AF150" s="15"/>
      <c r="AG150" s="15"/>
      <c r="AH150" s="15"/>
      <c r="AI150" s="15"/>
      <c r="AJ150" s="15"/>
      <c r="AK150" s="15"/>
      <c r="AL150" s="15"/>
      <c r="AM150" s="15"/>
      <c r="AN150" s="15"/>
      <c r="AO150" s="15"/>
      <c r="AP150" s="15"/>
      <c r="AQ150" s="15"/>
      <c r="AR150" s="15"/>
      <c r="AS150" s="15"/>
      <c r="AT150" s="15"/>
      <c r="AU150" s="15"/>
      <c r="AV150" s="15"/>
      <c r="AW150" s="15"/>
      <c r="AX150" s="15"/>
      <c r="AY150" s="15"/>
      <c r="AZ150" s="15"/>
      <c r="BA150" s="15"/>
      <c r="BB150" s="15"/>
      <c r="BC150" s="15"/>
      <c r="BD150" s="15"/>
      <c r="BE150" s="15"/>
      <c r="BF150" s="15"/>
      <c r="BG150" s="15"/>
      <c r="BH150" s="15"/>
      <c r="BI150" s="15"/>
      <c r="BJ150" s="16"/>
      <c r="BK150" s="1"/>
    </row>
    <row r="151" spans="1:63" ht="15.75" x14ac:dyDescent="0.25">
      <c r="A151" s="1"/>
      <c r="B151" s="14"/>
      <c r="C151" s="15"/>
      <c r="D151" s="15"/>
      <c r="E151" s="15"/>
      <c r="F151" s="15"/>
      <c r="G151" s="43"/>
      <c r="H151" s="15"/>
      <c r="I151" s="15"/>
      <c r="J151" s="15"/>
      <c r="K151" s="15"/>
      <c r="L151" s="15"/>
      <c r="M151" s="15"/>
      <c r="N151" s="15"/>
      <c r="O151" s="15"/>
      <c r="P151" s="15"/>
      <c r="Q151" s="15"/>
      <c r="R151" s="15"/>
      <c r="S151" s="15"/>
      <c r="T151" s="15"/>
      <c r="U151" s="15"/>
      <c r="V151" s="15"/>
      <c r="W151" s="15"/>
      <c r="X151" s="15"/>
      <c r="Y151" s="15"/>
      <c r="Z151" s="15"/>
      <c r="AA151" s="15"/>
      <c r="AB151" s="15"/>
      <c r="AC151" s="15"/>
      <c r="AD151" s="15"/>
      <c r="AE151" s="15"/>
      <c r="AF151" s="15"/>
      <c r="AG151" s="15"/>
      <c r="AH151" s="15"/>
      <c r="AI151" s="15"/>
      <c r="AJ151" s="15"/>
      <c r="AK151" s="15"/>
      <c r="AL151" s="15"/>
      <c r="AM151" s="15"/>
      <c r="AN151" s="15"/>
      <c r="AO151" s="15"/>
      <c r="AP151" s="15"/>
      <c r="AQ151" s="15"/>
      <c r="AR151" s="15"/>
      <c r="AS151" s="15"/>
      <c r="AT151" s="15"/>
      <c r="AU151" s="15"/>
      <c r="AV151" s="15"/>
      <c r="AW151" s="15"/>
      <c r="AX151" s="15"/>
      <c r="AY151" s="15"/>
      <c r="AZ151" s="15"/>
      <c r="BA151" s="15"/>
      <c r="BB151" s="15"/>
      <c r="BC151" s="15"/>
      <c r="BD151" s="15"/>
      <c r="BE151" s="15"/>
      <c r="BF151" s="15"/>
      <c r="BG151" s="15"/>
      <c r="BH151" s="15"/>
      <c r="BI151" s="15"/>
      <c r="BJ151" s="16"/>
      <c r="BK151" s="1"/>
    </row>
    <row r="152" spans="1:63" ht="15.75" x14ac:dyDescent="0.25">
      <c r="A152" s="1"/>
      <c r="B152" s="14"/>
      <c r="C152" s="15"/>
      <c r="D152" s="15"/>
      <c r="E152" s="15"/>
      <c r="F152" s="15"/>
      <c r="G152" s="43"/>
      <c r="H152" s="15"/>
      <c r="I152" s="15"/>
      <c r="J152" s="15"/>
      <c r="K152" s="15"/>
      <c r="L152" s="15"/>
      <c r="M152" s="15"/>
      <c r="N152" s="15"/>
      <c r="O152" s="15"/>
      <c r="P152" s="15"/>
      <c r="Q152" s="15"/>
      <c r="R152" s="15"/>
      <c r="S152" s="15"/>
      <c r="T152" s="15"/>
      <c r="U152" s="15"/>
      <c r="V152" s="15"/>
      <c r="W152" s="15"/>
      <c r="X152" s="15"/>
      <c r="Y152" s="15"/>
      <c r="Z152" s="15"/>
      <c r="AA152" s="15"/>
      <c r="AB152" s="15"/>
      <c r="AC152" s="15"/>
      <c r="AD152" s="15"/>
      <c r="AE152" s="15"/>
      <c r="AF152" s="15"/>
      <c r="AG152" s="15"/>
      <c r="AH152" s="15"/>
      <c r="AI152" s="15"/>
      <c r="AJ152" s="15"/>
      <c r="AK152" s="15"/>
      <c r="AL152" s="15"/>
      <c r="AM152" s="15"/>
      <c r="AN152" s="15"/>
      <c r="AO152" s="15"/>
      <c r="AP152" s="15"/>
      <c r="AQ152" s="15"/>
      <c r="AR152" s="15"/>
      <c r="AS152" s="15"/>
      <c r="AT152" s="15"/>
      <c r="AU152" s="15"/>
      <c r="AV152" s="15"/>
      <c r="AW152" s="15"/>
      <c r="AX152" s="15"/>
      <c r="AY152" s="15"/>
      <c r="AZ152" s="15"/>
      <c r="BA152" s="15"/>
      <c r="BB152" s="15"/>
      <c r="BC152" s="15"/>
      <c r="BD152" s="15"/>
      <c r="BE152" s="15"/>
      <c r="BF152" s="15"/>
      <c r="BG152" s="15"/>
      <c r="BH152" s="15"/>
      <c r="BI152" s="15"/>
      <c r="BJ152" s="16"/>
      <c r="BK152" s="1"/>
    </row>
    <row r="153" spans="1:63" ht="15.75" x14ac:dyDescent="0.25">
      <c r="A153" s="1"/>
      <c r="B153" s="14"/>
      <c r="C153" s="15"/>
      <c r="D153" s="15"/>
      <c r="E153" s="15"/>
      <c r="F153" s="15"/>
      <c r="G153" s="43"/>
      <c r="H153" s="15"/>
      <c r="I153" s="15"/>
      <c r="J153" s="15"/>
      <c r="K153" s="15"/>
      <c r="L153" s="15"/>
      <c r="M153" s="15"/>
      <c r="N153" s="15"/>
      <c r="O153" s="15"/>
      <c r="P153" s="15"/>
      <c r="Q153" s="15"/>
      <c r="R153" s="15"/>
      <c r="S153" s="15"/>
      <c r="T153" s="15"/>
      <c r="U153" s="15"/>
      <c r="V153" s="15"/>
      <c r="W153" s="15"/>
      <c r="X153" s="15"/>
      <c r="Y153" s="15"/>
      <c r="Z153" s="15"/>
      <c r="AA153" s="15"/>
      <c r="AB153" s="15"/>
      <c r="AC153" s="15"/>
      <c r="AD153" s="15"/>
      <c r="AE153" s="15"/>
      <c r="AF153" s="15"/>
      <c r="AG153" s="15"/>
      <c r="AH153" s="15"/>
      <c r="AI153" s="15"/>
      <c r="AJ153" s="15"/>
      <c r="AK153" s="15"/>
      <c r="AL153" s="15"/>
      <c r="AM153" s="15"/>
      <c r="AN153" s="15"/>
      <c r="AO153" s="15"/>
      <c r="AP153" s="15"/>
      <c r="AQ153" s="15"/>
      <c r="AR153" s="15"/>
      <c r="AS153" s="15"/>
      <c r="AT153" s="15"/>
      <c r="AU153" s="15"/>
      <c r="AV153" s="15"/>
      <c r="AW153" s="15"/>
      <c r="AX153" s="15"/>
      <c r="AY153" s="15"/>
      <c r="AZ153" s="15"/>
      <c r="BA153" s="15"/>
      <c r="BB153" s="15"/>
      <c r="BC153" s="15"/>
      <c r="BD153" s="15"/>
      <c r="BE153" s="15"/>
      <c r="BF153" s="15"/>
      <c r="BG153" s="15"/>
      <c r="BH153" s="15"/>
      <c r="BI153" s="15"/>
      <c r="BJ153" s="16"/>
      <c r="BK153" s="1"/>
    </row>
    <row r="154" spans="1:63" ht="15.75" x14ac:dyDescent="0.25">
      <c r="A154" s="1"/>
      <c r="B154" s="14"/>
      <c r="C154" s="15"/>
      <c r="D154" s="15"/>
      <c r="E154" s="15"/>
      <c r="F154" s="15"/>
      <c r="G154" s="15"/>
      <c r="H154" s="15"/>
      <c r="I154" s="15"/>
      <c r="J154" s="15"/>
      <c r="K154" s="15"/>
      <c r="L154" s="15"/>
      <c r="M154" s="15"/>
      <c r="N154" s="15"/>
      <c r="O154" s="15"/>
      <c r="P154" s="15"/>
      <c r="Q154" s="15"/>
      <c r="R154" s="15"/>
      <c r="S154" s="15"/>
      <c r="T154" s="15"/>
      <c r="U154" s="15"/>
      <c r="V154" s="15"/>
      <c r="W154" s="15"/>
      <c r="X154" s="15"/>
      <c r="Y154" s="15"/>
      <c r="Z154" s="15"/>
      <c r="AA154" s="15"/>
      <c r="AB154" s="15"/>
      <c r="AC154" s="15"/>
      <c r="AD154" s="15"/>
      <c r="AE154" s="15"/>
      <c r="AF154" s="15"/>
      <c r="AG154" s="15"/>
      <c r="AH154" s="15"/>
      <c r="AI154" s="15"/>
      <c r="AJ154" s="15"/>
      <c r="AK154" s="15"/>
      <c r="AL154" s="15"/>
      <c r="AM154" s="15"/>
      <c r="AN154" s="15"/>
      <c r="AO154" s="15"/>
      <c r="AP154" s="15"/>
      <c r="AQ154" s="15"/>
      <c r="AR154" s="15"/>
      <c r="AS154" s="15"/>
      <c r="AT154" s="15"/>
      <c r="AU154" s="15"/>
      <c r="AV154" s="15"/>
      <c r="AW154" s="15"/>
      <c r="AX154" s="15"/>
      <c r="AY154" s="15"/>
      <c r="AZ154" s="15"/>
      <c r="BA154" s="15"/>
      <c r="BB154" s="15"/>
      <c r="BC154" s="15"/>
      <c r="BD154" s="15"/>
      <c r="BE154" s="15"/>
      <c r="BF154" s="15"/>
      <c r="BG154" s="15"/>
      <c r="BH154" s="15"/>
      <c r="BI154" s="15"/>
      <c r="BJ154" s="16"/>
      <c r="BK154" s="1"/>
    </row>
    <row r="155" spans="1:63" ht="15.75" x14ac:dyDescent="0.25">
      <c r="A155" s="1"/>
      <c r="B155" s="14"/>
      <c r="C155" s="15"/>
      <c r="D155" s="15"/>
      <c r="E155" s="15"/>
      <c r="F155" s="15"/>
      <c r="G155" s="15"/>
      <c r="H155" s="15"/>
      <c r="I155" s="15"/>
      <c r="J155" s="15"/>
      <c r="K155" s="15"/>
      <c r="L155" s="15"/>
      <c r="M155" s="15"/>
      <c r="N155" s="15"/>
      <c r="O155" s="15"/>
      <c r="P155" s="15"/>
      <c r="Q155" s="15"/>
      <c r="R155" s="15"/>
      <c r="S155" s="15"/>
      <c r="T155" s="15"/>
      <c r="U155" s="15"/>
      <c r="V155" s="15"/>
      <c r="W155" s="15"/>
      <c r="X155" s="15"/>
      <c r="Y155" s="15"/>
      <c r="Z155" s="15"/>
      <c r="AA155" s="15"/>
      <c r="AB155" s="15"/>
      <c r="AC155" s="15"/>
      <c r="AD155" s="15"/>
      <c r="AE155" s="15"/>
      <c r="AF155" s="15"/>
      <c r="AG155" s="15"/>
      <c r="AH155" s="15"/>
      <c r="AI155" s="15"/>
      <c r="AJ155" s="15"/>
      <c r="AK155" s="15"/>
      <c r="AL155" s="15"/>
      <c r="AM155" s="15"/>
      <c r="AN155" s="15"/>
      <c r="AO155" s="15"/>
      <c r="AP155" s="15"/>
      <c r="AQ155" s="15"/>
      <c r="AR155" s="15"/>
      <c r="AS155" s="15"/>
      <c r="AT155" s="15"/>
      <c r="AU155" s="15"/>
      <c r="AV155" s="15"/>
      <c r="AW155" s="15"/>
      <c r="AX155" s="15"/>
      <c r="AY155" s="15"/>
      <c r="AZ155" s="15"/>
      <c r="BA155" s="15"/>
      <c r="BB155" s="15"/>
      <c r="BC155" s="15"/>
      <c r="BD155" s="15"/>
      <c r="BE155" s="15"/>
      <c r="BF155" s="15"/>
      <c r="BG155" s="15"/>
      <c r="BH155" s="15"/>
      <c r="BI155" s="15"/>
      <c r="BJ155" s="16"/>
      <c r="BK155" s="1"/>
    </row>
    <row r="156" spans="1:63" ht="15.75" x14ac:dyDescent="0.25">
      <c r="A156" s="1"/>
      <c r="B156" s="14"/>
      <c r="C156" s="15"/>
      <c r="D156" s="15"/>
      <c r="E156" s="15"/>
      <c r="F156" s="15"/>
      <c r="G156" s="15"/>
      <c r="H156" s="15"/>
      <c r="I156" s="15"/>
      <c r="J156" s="15"/>
      <c r="K156" s="15"/>
      <c r="L156" s="15"/>
      <c r="M156" s="15"/>
      <c r="N156" s="15"/>
      <c r="O156" s="15"/>
      <c r="P156" s="15"/>
      <c r="Q156" s="15"/>
      <c r="R156" s="15"/>
      <c r="S156" s="15"/>
      <c r="T156" s="15"/>
      <c r="U156" s="15"/>
      <c r="V156" s="15"/>
      <c r="W156" s="15"/>
      <c r="X156" s="15"/>
      <c r="Y156" s="15"/>
      <c r="Z156" s="15"/>
      <c r="AA156" s="15"/>
      <c r="AB156" s="15"/>
      <c r="AC156" s="15"/>
      <c r="AD156" s="15"/>
      <c r="AE156" s="15"/>
      <c r="AF156" s="15"/>
      <c r="AG156" s="15"/>
      <c r="AH156" s="15"/>
      <c r="AI156" s="15"/>
      <c r="AJ156" s="15"/>
      <c r="AK156" s="15"/>
      <c r="AL156" s="15"/>
      <c r="AM156" s="15"/>
      <c r="AN156" s="15"/>
      <c r="AO156" s="15"/>
      <c r="AP156" s="15"/>
      <c r="AQ156" s="15"/>
      <c r="AR156" s="15"/>
      <c r="AS156" s="15"/>
      <c r="AT156" s="15"/>
      <c r="AU156" s="15"/>
      <c r="AV156" s="15"/>
      <c r="AW156" s="15"/>
      <c r="AX156" s="15"/>
      <c r="AY156" s="15"/>
      <c r="AZ156" s="15"/>
      <c r="BA156" s="15"/>
      <c r="BB156" s="15"/>
      <c r="BC156" s="15"/>
      <c r="BD156" s="15"/>
      <c r="BE156" s="15"/>
      <c r="BF156" s="15"/>
      <c r="BG156" s="15"/>
      <c r="BH156" s="15"/>
      <c r="BI156" s="15"/>
      <c r="BJ156" s="16"/>
      <c r="BK156" s="1"/>
    </row>
    <row r="157" spans="1:63" ht="15.75" x14ac:dyDescent="0.25">
      <c r="A157" s="1"/>
      <c r="B157" s="14"/>
      <c r="C157" s="15"/>
      <c r="D157" s="15"/>
      <c r="E157" s="15"/>
      <c r="F157" s="15"/>
      <c r="G157" s="15"/>
      <c r="H157" s="15"/>
      <c r="I157" s="15"/>
      <c r="J157" s="15"/>
      <c r="K157" s="15"/>
      <c r="L157" s="15"/>
      <c r="M157" s="15"/>
      <c r="N157" s="15"/>
      <c r="O157" s="15"/>
      <c r="P157" s="15"/>
      <c r="Q157" s="15"/>
      <c r="R157" s="15"/>
      <c r="S157" s="15"/>
      <c r="T157" s="15"/>
      <c r="U157" s="15"/>
      <c r="V157" s="15"/>
      <c r="W157" s="15"/>
      <c r="X157" s="15"/>
      <c r="Y157" s="15"/>
      <c r="Z157" s="15"/>
      <c r="AA157" s="15"/>
      <c r="AB157" s="15"/>
      <c r="AC157" s="15"/>
      <c r="AD157" s="15"/>
      <c r="AE157" s="15"/>
      <c r="AF157" s="15"/>
      <c r="AG157" s="15"/>
      <c r="AH157" s="15"/>
      <c r="AI157" s="15"/>
      <c r="AJ157" s="15"/>
      <c r="AK157" s="15"/>
      <c r="AL157" s="15"/>
      <c r="AM157" s="15"/>
      <c r="AN157" s="15"/>
      <c r="AO157" s="15"/>
      <c r="AP157" s="15"/>
      <c r="AQ157" s="15"/>
      <c r="AR157" s="15"/>
      <c r="AS157" s="15"/>
      <c r="AT157" s="15"/>
      <c r="AU157" s="15"/>
      <c r="AV157" s="15"/>
      <c r="AW157" s="15"/>
      <c r="AX157" s="15"/>
      <c r="AY157" s="15"/>
      <c r="AZ157" s="15"/>
      <c r="BA157" s="15"/>
      <c r="BB157" s="15"/>
      <c r="BC157" s="15"/>
      <c r="BD157" s="15"/>
      <c r="BE157" s="15"/>
      <c r="BF157" s="15"/>
      <c r="BG157" s="15"/>
      <c r="BH157" s="15"/>
      <c r="BI157" s="15"/>
      <c r="BJ157" s="16"/>
      <c r="BK157" s="1"/>
    </row>
    <row r="158" spans="1:63" ht="15.75" x14ac:dyDescent="0.25">
      <c r="A158" s="1"/>
      <c r="B158" s="14"/>
      <c r="C158" s="15"/>
      <c r="D158" s="15"/>
      <c r="E158" s="15"/>
      <c r="F158" s="15"/>
      <c r="G158" s="15"/>
      <c r="H158" s="15"/>
      <c r="I158" s="15"/>
      <c r="J158" s="15"/>
      <c r="K158" s="15"/>
      <c r="L158" s="15"/>
      <c r="M158" s="15"/>
      <c r="N158" s="15"/>
      <c r="O158" s="15"/>
      <c r="P158" s="15"/>
      <c r="Q158" s="15"/>
      <c r="R158" s="15"/>
      <c r="S158" s="15"/>
      <c r="T158" s="15"/>
      <c r="U158" s="15"/>
      <c r="V158" s="15"/>
      <c r="W158" s="15"/>
      <c r="X158" s="15"/>
      <c r="Y158" s="15"/>
      <c r="Z158" s="15"/>
      <c r="AA158" s="15"/>
      <c r="AB158" s="15"/>
      <c r="AC158" s="15"/>
      <c r="AD158" s="15"/>
      <c r="AE158" s="15"/>
      <c r="AF158" s="15"/>
      <c r="AG158" s="15"/>
      <c r="AH158" s="15"/>
      <c r="AI158" s="15"/>
      <c r="AJ158" s="15"/>
      <c r="AK158" s="15"/>
      <c r="AL158" s="15"/>
      <c r="AM158" s="15"/>
      <c r="AN158" s="15"/>
      <c r="AO158" s="15"/>
      <c r="AP158" s="15"/>
      <c r="AQ158" s="15"/>
      <c r="AR158" s="15"/>
      <c r="AS158" s="15"/>
      <c r="AT158" s="15"/>
      <c r="AU158" s="15"/>
      <c r="AV158" s="15"/>
      <c r="AW158" s="15"/>
      <c r="AX158" s="15"/>
      <c r="AY158" s="15"/>
      <c r="AZ158" s="15"/>
      <c r="BA158" s="15"/>
      <c r="BB158" s="15"/>
      <c r="BC158" s="15"/>
      <c r="BD158" s="15"/>
      <c r="BE158" s="15"/>
      <c r="BF158" s="15"/>
      <c r="BG158" s="15"/>
      <c r="BH158" s="15"/>
      <c r="BI158" s="15"/>
      <c r="BJ158" s="16"/>
      <c r="BK158" s="1"/>
    </row>
    <row r="159" spans="1:63" ht="15.75" x14ac:dyDescent="0.25">
      <c r="A159" s="1"/>
      <c r="B159" s="14"/>
      <c r="C159" s="15"/>
      <c r="D159" s="15"/>
      <c r="E159" s="15"/>
      <c r="F159" s="15"/>
      <c r="G159" s="15"/>
      <c r="H159" s="15"/>
      <c r="I159" s="15"/>
      <c r="J159" s="15"/>
      <c r="K159" s="15"/>
      <c r="L159" s="15"/>
      <c r="M159" s="15"/>
      <c r="N159" s="15"/>
      <c r="O159" s="15"/>
      <c r="P159" s="15"/>
      <c r="Q159" s="15"/>
      <c r="R159" s="15"/>
      <c r="S159" s="15"/>
      <c r="T159" s="15"/>
      <c r="U159" s="15"/>
      <c r="V159" s="15"/>
      <c r="W159" s="15"/>
      <c r="X159" s="15"/>
      <c r="Y159" s="15"/>
      <c r="Z159" s="15"/>
      <c r="AA159" s="15"/>
      <c r="AB159" s="15"/>
      <c r="AC159" s="15"/>
      <c r="AD159" s="15"/>
      <c r="AE159" s="15"/>
      <c r="AF159" s="15"/>
      <c r="AG159" s="15"/>
      <c r="AH159" s="15"/>
      <c r="AI159" s="15"/>
      <c r="AJ159" s="15"/>
      <c r="AK159" s="15"/>
      <c r="AL159" s="15"/>
      <c r="AM159" s="15"/>
      <c r="AN159" s="15"/>
      <c r="AO159" s="15"/>
      <c r="AP159" s="15"/>
      <c r="AQ159" s="15"/>
      <c r="AR159" s="15"/>
      <c r="AS159" s="15"/>
      <c r="AT159" s="15"/>
      <c r="AU159" s="15"/>
      <c r="AV159" s="15"/>
      <c r="AW159" s="15"/>
      <c r="AX159" s="15"/>
      <c r="AY159" s="15"/>
      <c r="AZ159" s="15"/>
      <c r="BA159" s="15"/>
      <c r="BB159" s="15"/>
      <c r="BC159" s="15"/>
      <c r="BD159" s="15"/>
      <c r="BE159" s="15"/>
      <c r="BF159" s="15"/>
      <c r="BG159" s="15"/>
      <c r="BH159" s="15"/>
      <c r="BI159" s="15"/>
      <c r="BJ159" s="16"/>
      <c r="BK159" s="1"/>
    </row>
    <row r="160" spans="1:63" ht="15.75" x14ac:dyDescent="0.25">
      <c r="A160" s="1"/>
      <c r="B160" s="14"/>
      <c r="C160" s="15"/>
      <c r="D160" s="15"/>
      <c r="E160" s="15"/>
      <c r="F160" s="15"/>
      <c r="G160" s="15"/>
      <c r="H160" s="15"/>
      <c r="I160" s="15"/>
      <c r="J160" s="15"/>
      <c r="K160" s="15"/>
      <c r="L160" s="15"/>
      <c r="M160" s="15"/>
      <c r="N160" s="15"/>
      <c r="O160" s="15"/>
      <c r="P160" s="15"/>
      <c r="Q160" s="15"/>
      <c r="R160" s="15"/>
      <c r="S160" s="15"/>
      <c r="T160" s="15"/>
      <c r="U160" s="15"/>
      <c r="V160" s="15"/>
      <c r="W160" s="15"/>
      <c r="X160" s="15"/>
      <c r="Y160" s="15"/>
      <c r="Z160" s="15"/>
      <c r="AA160" s="15"/>
      <c r="AB160" s="15"/>
      <c r="AC160" s="15"/>
      <c r="AD160" s="15"/>
      <c r="AE160" s="15"/>
      <c r="AF160" s="15"/>
      <c r="AG160" s="15"/>
      <c r="AH160" s="15"/>
      <c r="AI160" s="15"/>
      <c r="AJ160" s="15"/>
      <c r="AK160" s="15"/>
      <c r="AL160" s="15"/>
      <c r="AM160" s="15"/>
      <c r="AN160" s="15"/>
      <c r="AO160" s="15"/>
      <c r="AP160" s="15"/>
      <c r="AQ160" s="15"/>
      <c r="AR160" s="15"/>
      <c r="AS160" s="15"/>
      <c r="AT160" s="15"/>
      <c r="AU160" s="15"/>
      <c r="AV160" s="15"/>
      <c r="AW160" s="15"/>
      <c r="AX160" s="15"/>
      <c r="AY160" s="15"/>
      <c r="AZ160" s="15"/>
      <c r="BA160" s="15"/>
      <c r="BB160" s="15"/>
      <c r="BC160" s="15"/>
      <c r="BD160" s="15"/>
      <c r="BE160" s="15"/>
      <c r="BF160" s="15"/>
      <c r="BG160" s="15"/>
      <c r="BH160" s="15"/>
      <c r="BI160" s="15"/>
      <c r="BJ160" s="16"/>
      <c r="BK160" s="1"/>
    </row>
    <row r="161" spans="1:63" ht="15.75" x14ac:dyDescent="0.25">
      <c r="A161" s="1"/>
      <c r="B161" s="14"/>
      <c r="C161" s="15"/>
      <c r="D161" s="15"/>
      <c r="E161" s="15"/>
      <c r="F161" s="15"/>
      <c r="G161" s="15"/>
      <c r="H161" s="15"/>
      <c r="I161" s="15"/>
      <c r="J161" s="15"/>
      <c r="K161" s="15"/>
      <c r="L161" s="15"/>
      <c r="M161" s="15"/>
      <c r="N161" s="15"/>
      <c r="O161" s="15"/>
      <c r="P161" s="15"/>
      <c r="Q161" s="15"/>
      <c r="R161" s="15"/>
      <c r="S161" s="15"/>
      <c r="T161" s="15"/>
      <c r="U161" s="15"/>
      <c r="V161" s="15"/>
      <c r="W161" s="15"/>
      <c r="X161" s="15"/>
      <c r="Y161" s="15"/>
      <c r="Z161" s="15"/>
      <c r="AA161" s="15"/>
      <c r="AB161" s="15"/>
      <c r="AC161" s="15"/>
      <c r="AD161" s="15"/>
      <c r="AE161" s="15"/>
      <c r="AF161" s="15"/>
      <c r="AG161" s="15"/>
      <c r="AH161" s="15"/>
      <c r="AI161" s="15"/>
      <c r="AJ161" s="15"/>
      <c r="AK161" s="15"/>
      <c r="AL161" s="15"/>
      <c r="AM161" s="15"/>
      <c r="AN161" s="15"/>
      <c r="AO161" s="15"/>
      <c r="AP161" s="15"/>
      <c r="AQ161" s="15"/>
      <c r="AR161" s="15"/>
      <c r="AS161" s="15"/>
      <c r="AT161" s="15"/>
      <c r="AU161" s="15"/>
      <c r="AV161" s="15"/>
      <c r="AW161" s="15"/>
      <c r="AX161" s="15"/>
      <c r="AY161" s="15"/>
      <c r="AZ161" s="15"/>
      <c r="BA161" s="15"/>
      <c r="BB161" s="15"/>
      <c r="BC161" s="15"/>
      <c r="BD161" s="15"/>
      <c r="BE161" s="15"/>
      <c r="BF161" s="15"/>
      <c r="BG161" s="15"/>
      <c r="BH161" s="15"/>
      <c r="BI161" s="15"/>
      <c r="BJ161" s="16"/>
      <c r="BK161" s="1"/>
    </row>
    <row r="162" spans="1:63" ht="15.75" x14ac:dyDescent="0.25">
      <c r="A162" s="1"/>
      <c r="B162" s="14"/>
      <c r="C162" s="15"/>
      <c r="D162" s="15"/>
      <c r="E162" s="15"/>
      <c r="F162" s="15"/>
      <c r="G162" s="15"/>
      <c r="H162" s="15"/>
      <c r="I162" s="15"/>
      <c r="J162" s="15"/>
      <c r="K162" s="15"/>
      <c r="L162" s="15"/>
      <c r="M162" s="15"/>
      <c r="N162" s="15"/>
      <c r="O162" s="15"/>
      <c r="P162" s="15"/>
      <c r="Q162" s="15"/>
      <c r="R162" s="15"/>
      <c r="S162" s="15"/>
      <c r="T162" s="15"/>
      <c r="U162" s="15"/>
      <c r="V162" s="15"/>
      <c r="W162" s="15"/>
      <c r="X162" s="15"/>
      <c r="Y162" s="15"/>
      <c r="Z162" s="15"/>
      <c r="AA162" s="15"/>
      <c r="AB162" s="15"/>
      <c r="AC162" s="15"/>
      <c r="AD162" s="15"/>
      <c r="AE162" s="15"/>
      <c r="AF162" s="15"/>
      <c r="AG162" s="15"/>
      <c r="AH162" s="15"/>
      <c r="AI162" s="15"/>
      <c r="AJ162" s="15"/>
      <c r="AK162" s="15"/>
      <c r="AL162" s="15"/>
      <c r="AM162" s="15"/>
      <c r="AN162" s="15"/>
      <c r="AO162" s="15"/>
      <c r="AP162" s="15"/>
      <c r="AQ162" s="15"/>
      <c r="AR162" s="15"/>
      <c r="AS162" s="15"/>
      <c r="AT162" s="15"/>
      <c r="AU162" s="15"/>
      <c r="AV162" s="15"/>
      <c r="AW162" s="15"/>
      <c r="AX162" s="15"/>
      <c r="AY162" s="15"/>
      <c r="AZ162" s="15"/>
      <c r="BA162" s="15"/>
      <c r="BB162" s="15"/>
      <c r="BC162" s="15"/>
      <c r="BD162" s="15"/>
      <c r="BE162" s="15"/>
      <c r="BF162" s="15"/>
      <c r="BG162" s="15"/>
      <c r="BH162" s="15"/>
      <c r="BI162" s="15"/>
      <c r="BJ162" s="16"/>
      <c r="BK162" s="1"/>
    </row>
    <row r="163" spans="1:63" ht="15.75" x14ac:dyDescent="0.25">
      <c r="A163" s="1"/>
      <c r="B163" s="14"/>
      <c r="C163" s="15"/>
      <c r="D163" s="15"/>
      <c r="E163" s="15"/>
      <c r="F163" s="15"/>
      <c r="G163" s="15"/>
      <c r="H163" s="15"/>
      <c r="I163" s="15"/>
      <c r="J163" s="15"/>
      <c r="K163" s="15"/>
      <c r="L163" s="15"/>
      <c r="M163" s="15"/>
      <c r="N163" s="15"/>
      <c r="O163" s="15"/>
      <c r="P163" s="15"/>
      <c r="Q163" s="15"/>
      <c r="R163" s="15"/>
      <c r="S163" s="15"/>
      <c r="T163" s="15"/>
      <c r="U163" s="15"/>
      <c r="V163" s="15"/>
      <c r="W163" s="15"/>
      <c r="X163" s="15"/>
      <c r="Y163" s="15"/>
      <c r="Z163" s="15"/>
      <c r="AA163" s="15"/>
      <c r="AB163" s="15"/>
      <c r="AC163" s="15"/>
      <c r="AD163" s="15"/>
      <c r="AE163" s="15"/>
      <c r="AF163" s="15"/>
      <c r="AG163" s="15"/>
      <c r="AH163" s="15"/>
      <c r="AI163" s="15"/>
      <c r="AJ163" s="15"/>
      <c r="AK163" s="15"/>
      <c r="AL163" s="15"/>
      <c r="AM163" s="15"/>
      <c r="AN163" s="15"/>
      <c r="AO163" s="15"/>
      <c r="AP163" s="15"/>
      <c r="AQ163" s="15"/>
      <c r="AR163" s="15"/>
      <c r="AS163" s="15"/>
      <c r="AT163" s="15"/>
      <c r="AU163" s="15"/>
      <c r="AV163" s="15"/>
      <c r="AW163" s="15"/>
      <c r="AX163" s="15"/>
      <c r="AY163" s="15"/>
      <c r="AZ163" s="15"/>
      <c r="BA163" s="15"/>
      <c r="BB163" s="15"/>
      <c r="BC163" s="15"/>
      <c r="BD163" s="15"/>
      <c r="BE163" s="15"/>
      <c r="BF163" s="15"/>
      <c r="BG163" s="15"/>
      <c r="BH163" s="15"/>
      <c r="BI163" s="15"/>
      <c r="BJ163" s="16"/>
      <c r="BK163" s="1"/>
    </row>
    <row r="164" spans="1:63" ht="15.75" x14ac:dyDescent="0.25">
      <c r="A164" s="1"/>
      <c r="B164" s="14"/>
      <c r="C164" s="15"/>
      <c r="D164" s="15"/>
      <c r="E164" s="15"/>
      <c r="F164" s="15"/>
      <c r="G164" s="15"/>
      <c r="H164" s="15"/>
      <c r="I164" s="15"/>
      <c r="J164" s="15"/>
      <c r="K164" s="15"/>
      <c r="L164" s="15"/>
      <c r="M164" s="15"/>
      <c r="N164" s="15"/>
      <c r="O164" s="15"/>
      <c r="P164" s="15"/>
      <c r="Q164" s="15"/>
      <c r="R164" s="15"/>
      <c r="S164" s="15"/>
      <c r="T164" s="15"/>
      <c r="U164" s="15"/>
      <c r="V164" s="15"/>
      <c r="W164" s="15"/>
      <c r="X164" s="15"/>
      <c r="Y164" s="15"/>
      <c r="Z164" s="15"/>
      <c r="AA164" s="15"/>
      <c r="AB164" s="15"/>
      <c r="AC164" s="15"/>
      <c r="AD164" s="15"/>
      <c r="AE164" s="15"/>
      <c r="AF164" s="15"/>
      <c r="AG164" s="15"/>
      <c r="AH164" s="15"/>
      <c r="AI164" s="15"/>
      <c r="AJ164" s="15"/>
      <c r="AK164" s="15"/>
      <c r="AL164" s="15"/>
      <c r="AM164" s="15"/>
      <c r="AN164" s="15"/>
      <c r="AO164" s="15"/>
      <c r="AP164" s="15"/>
      <c r="AQ164" s="15"/>
      <c r="AR164" s="15"/>
      <c r="AS164" s="15"/>
      <c r="AT164" s="15"/>
      <c r="AU164" s="15"/>
      <c r="AV164" s="15"/>
      <c r="AW164" s="15"/>
      <c r="AX164" s="15"/>
      <c r="AY164" s="15"/>
      <c r="AZ164" s="15"/>
      <c r="BA164" s="15"/>
      <c r="BB164" s="15"/>
      <c r="BC164" s="15"/>
      <c r="BD164" s="15"/>
      <c r="BE164" s="15"/>
      <c r="BF164" s="15"/>
      <c r="BG164" s="15"/>
      <c r="BH164" s="15"/>
      <c r="BI164" s="15"/>
      <c r="BJ164" s="16"/>
      <c r="BK164" s="1"/>
    </row>
    <row r="165" spans="1:63" ht="15.75" x14ac:dyDescent="0.25">
      <c r="A165" s="1"/>
      <c r="B165" s="14"/>
      <c r="C165" s="15"/>
      <c r="D165" s="15"/>
      <c r="E165" s="15"/>
      <c r="F165" s="15"/>
      <c r="G165" s="15"/>
      <c r="H165" s="15"/>
      <c r="I165" s="15"/>
      <c r="J165" s="15"/>
      <c r="K165" s="15"/>
      <c r="L165" s="15"/>
      <c r="M165" s="15"/>
      <c r="N165" s="15"/>
      <c r="O165" s="15"/>
      <c r="P165" s="15"/>
      <c r="Q165" s="15"/>
      <c r="R165" s="15"/>
      <c r="S165" s="15"/>
      <c r="T165" s="15"/>
      <c r="U165" s="15"/>
      <c r="V165" s="15"/>
      <c r="W165" s="15"/>
      <c r="X165" s="15"/>
      <c r="Y165" s="15"/>
      <c r="Z165" s="15"/>
      <c r="AA165" s="15"/>
      <c r="AB165" s="15"/>
      <c r="AC165" s="15"/>
      <c r="AD165" s="15"/>
      <c r="AE165" s="15"/>
      <c r="AF165" s="15"/>
      <c r="AG165" s="15"/>
      <c r="AH165" s="15"/>
      <c r="AI165" s="15"/>
      <c r="AJ165" s="15"/>
      <c r="AK165" s="15"/>
      <c r="AL165" s="15"/>
      <c r="AM165" s="15"/>
      <c r="AN165" s="15"/>
      <c r="AO165" s="15"/>
      <c r="AP165" s="15"/>
      <c r="AQ165" s="15"/>
      <c r="AR165" s="15"/>
      <c r="AS165" s="15"/>
      <c r="AT165" s="15"/>
      <c r="AU165" s="15"/>
      <c r="AV165" s="15"/>
      <c r="AW165" s="15"/>
      <c r="AX165" s="15"/>
      <c r="AY165" s="15"/>
      <c r="AZ165" s="15"/>
      <c r="BA165" s="15"/>
      <c r="BB165" s="15"/>
      <c r="BC165" s="15"/>
      <c r="BD165" s="15"/>
      <c r="BE165" s="15"/>
      <c r="BF165" s="15"/>
      <c r="BG165" s="15"/>
      <c r="BH165" s="15"/>
      <c r="BI165" s="15"/>
      <c r="BJ165" s="16"/>
      <c r="BK165" s="1"/>
    </row>
    <row r="166" spans="1:63" ht="15.75" x14ac:dyDescent="0.25">
      <c r="A166" s="1"/>
      <c r="B166" s="14"/>
      <c r="C166" s="15"/>
      <c r="D166" s="15"/>
      <c r="E166" s="15"/>
      <c r="F166" s="15"/>
      <c r="G166" s="15"/>
      <c r="H166" s="15"/>
      <c r="I166" s="15"/>
      <c r="J166" s="15"/>
      <c r="K166" s="15"/>
      <c r="L166" s="15"/>
      <c r="M166" s="15"/>
      <c r="N166" s="15"/>
      <c r="O166" s="15"/>
      <c r="P166" s="15"/>
      <c r="Q166" s="15"/>
      <c r="R166" s="15"/>
      <c r="S166" s="15"/>
      <c r="T166" s="15"/>
      <c r="U166" s="15"/>
      <c r="V166" s="15"/>
      <c r="W166" s="15"/>
      <c r="X166" s="15"/>
      <c r="Y166" s="15"/>
      <c r="Z166" s="15"/>
      <c r="AA166" s="15"/>
      <c r="AB166" s="15"/>
      <c r="AC166" s="15"/>
      <c r="AD166" s="15"/>
      <c r="AE166" s="15"/>
      <c r="AF166" s="15"/>
      <c r="AG166" s="15"/>
      <c r="AH166" s="15"/>
      <c r="AI166" s="15"/>
      <c r="AJ166" s="15"/>
      <c r="AK166" s="15"/>
      <c r="AL166" s="15"/>
      <c r="AM166" s="15"/>
      <c r="AN166" s="15"/>
      <c r="AO166" s="15"/>
      <c r="AP166" s="15"/>
      <c r="AQ166" s="15"/>
      <c r="AR166" s="15"/>
      <c r="AS166" s="15"/>
      <c r="AT166" s="15"/>
      <c r="AU166" s="15"/>
      <c r="AV166" s="15"/>
      <c r="AW166" s="15"/>
      <c r="AX166" s="15"/>
      <c r="AY166" s="15"/>
      <c r="AZ166" s="15"/>
      <c r="BA166" s="15"/>
      <c r="BB166" s="15"/>
      <c r="BC166" s="15"/>
      <c r="BD166" s="15"/>
      <c r="BE166" s="15"/>
      <c r="BF166" s="15"/>
      <c r="BG166" s="15"/>
      <c r="BH166" s="15"/>
      <c r="BI166" s="15"/>
      <c r="BJ166" s="16"/>
      <c r="BK166" s="1"/>
    </row>
    <row r="167" spans="1:63" ht="15.75" x14ac:dyDescent="0.25">
      <c r="A167" s="1"/>
      <c r="B167" s="14"/>
      <c r="C167" s="15"/>
      <c r="D167" s="15"/>
      <c r="E167" s="15"/>
      <c r="F167" s="15"/>
      <c r="G167" s="43"/>
      <c r="H167" s="15"/>
      <c r="I167" s="15"/>
      <c r="J167" s="15"/>
      <c r="K167" s="15"/>
      <c r="L167" s="15"/>
      <c r="M167" s="15"/>
      <c r="N167" s="15"/>
      <c r="O167" s="15"/>
      <c r="P167" s="15"/>
      <c r="Q167" s="15"/>
      <c r="R167" s="15"/>
      <c r="S167" s="15"/>
      <c r="T167" s="15"/>
      <c r="U167" s="15"/>
      <c r="V167" s="15"/>
      <c r="W167" s="15"/>
      <c r="X167" s="15"/>
      <c r="Y167" s="15"/>
      <c r="Z167" s="15"/>
      <c r="AA167" s="15"/>
      <c r="AB167" s="15"/>
      <c r="AC167" s="15"/>
      <c r="AD167" s="15"/>
      <c r="AE167" s="15"/>
      <c r="AF167" s="15"/>
      <c r="AG167" s="15"/>
      <c r="AH167" s="15"/>
      <c r="AI167" s="15"/>
      <c r="AJ167" s="15"/>
      <c r="AK167" s="15"/>
      <c r="AL167" s="15"/>
      <c r="AM167" s="15"/>
      <c r="AN167" s="15"/>
      <c r="AO167" s="15"/>
      <c r="AP167" s="15"/>
      <c r="AQ167" s="15"/>
      <c r="AR167" s="15"/>
      <c r="AS167" s="15"/>
      <c r="AT167" s="15"/>
      <c r="AU167" s="15"/>
      <c r="AV167" s="15"/>
      <c r="AW167" s="15"/>
      <c r="AX167" s="15"/>
      <c r="AY167" s="15"/>
      <c r="AZ167" s="15"/>
      <c r="BA167" s="15"/>
      <c r="BB167" s="15"/>
      <c r="BC167" s="15"/>
      <c r="BD167" s="15"/>
      <c r="BE167" s="15"/>
      <c r="BF167" s="15"/>
      <c r="BG167" s="15"/>
      <c r="BH167" s="15"/>
      <c r="BI167" s="15"/>
      <c r="BJ167" s="16"/>
      <c r="BK167" s="1"/>
    </row>
    <row r="168" spans="1:63" ht="16.5" thickBot="1" x14ac:dyDescent="0.3">
      <c r="A168" s="1"/>
      <c r="B168" s="20"/>
      <c r="C168" s="21"/>
      <c r="D168" s="21"/>
      <c r="E168" s="21"/>
      <c r="F168" s="21"/>
      <c r="G168" s="46"/>
      <c r="H168" s="21"/>
      <c r="I168" s="21"/>
      <c r="J168" s="21"/>
      <c r="K168" s="21"/>
      <c r="L168" s="21"/>
      <c r="M168" s="21"/>
      <c r="N168" s="21"/>
      <c r="O168" s="21"/>
      <c r="P168" s="21"/>
      <c r="Q168" s="21"/>
      <c r="R168" s="21"/>
      <c r="S168" s="21"/>
      <c r="T168" s="21"/>
      <c r="U168" s="21"/>
      <c r="V168" s="21"/>
      <c r="W168" s="21"/>
      <c r="X168" s="21"/>
      <c r="Y168" s="21"/>
      <c r="Z168" s="21"/>
      <c r="AA168" s="21"/>
      <c r="AB168" s="21"/>
      <c r="AC168" s="21"/>
      <c r="AD168" s="21"/>
      <c r="AE168" s="21"/>
      <c r="AF168" s="21"/>
      <c r="AG168" s="21"/>
      <c r="AH168" s="21"/>
      <c r="AI168" s="21"/>
      <c r="AJ168" s="21"/>
      <c r="AK168" s="21"/>
      <c r="AL168" s="21"/>
      <c r="AM168" s="21"/>
      <c r="AN168" s="21"/>
      <c r="AO168" s="21"/>
      <c r="AP168" s="21"/>
      <c r="AQ168" s="21"/>
      <c r="AR168" s="21"/>
      <c r="AS168" s="21"/>
      <c r="AT168" s="21"/>
      <c r="AU168" s="21"/>
      <c r="AV168" s="21"/>
      <c r="AW168" s="21"/>
      <c r="AX168" s="21"/>
      <c r="AY168" s="21"/>
      <c r="AZ168" s="21"/>
      <c r="BA168" s="21"/>
      <c r="BB168" s="21"/>
      <c r="BC168" s="21"/>
      <c r="BD168" s="21"/>
      <c r="BE168" s="21"/>
      <c r="BF168" s="21"/>
      <c r="BG168" s="21"/>
      <c r="BH168" s="21"/>
      <c r="BI168" s="21"/>
      <c r="BJ168" s="22"/>
      <c r="BK168" s="1"/>
    </row>
    <row r="169" spans="1:63" ht="16.5" thickTop="1" x14ac:dyDescent="0.25">
      <c r="A169" s="1"/>
      <c r="B169" s="1"/>
      <c r="C169" s="1"/>
      <c r="D169" s="1"/>
      <c r="E169" s="1"/>
      <c r="F169" s="1"/>
      <c r="G169" s="47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  <c r="AV169" s="1"/>
      <c r="AW169" s="1"/>
      <c r="AX169" s="1"/>
      <c r="AY169" s="1"/>
      <c r="AZ169" s="1"/>
      <c r="BA169" s="1"/>
      <c r="BB169" s="1"/>
      <c r="BC169" s="1"/>
      <c r="BD169" s="1"/>
      <c r="BE169" s="1"/>
      <c r="BF169" s="1"/>
      <c r="BG169" s="1"/>
      <c r="BH169" s="1"/>
      <c r="BI169" s="1"/>
      <c r="BJ169" s="1"/>
      <c r="BK169" s="1"/>
    </row>
    <row r="170" spans="1:63" hidden="1" x14ac:dyDescent="0.2"/>
    <row r="171" spans="1:63" hidden="1" x14ac:dyDescent="0.2"/>
    <row r="172" spans="1:63" hidden="1" x14ac:dyDescent="0.2"/>
    <row r="173" spans="1:63" hidden="1" x14ac:dyDescent="0.2"/>
    <row r="174" spans="1:63" hidden="1" x14ac:dyDescent="0.2"/>
    <row r="175" spans="1:63" hidden="1" x14ac:dyDescent="0.2"/>
    <row r="176" spans="1:63" hidden="1" x14ac:dyDescent="0.2"/>
    <row r="177" hidden="1" x14ac:dyDescent="0.2"/>
    <row r="178" hidden="1" x14ac:dyDescent="0.2"/>
    <row r="179" hidden="1" x14ac:dyDescent="0.2"/>
    <row r="180" hidden="1" x14ac:dyDescent="0.2"/>
    <row r="181" hidden="1" x14ac:dyDescent="0.2"/>
    <row r="182" hidden="1" x14ac:dyDescent="0.2"/>
    <row r="183" hidden="1" x14ac:dyDescent="0.2"/>
    <row r="184" hidden="1" x14ac:dyDescent="0.2"/>
    <row r="185" hidden="1" x14ac:dyDescent="0.2"/>
    <row r="186" hidden="1" x14ac:dyDescent="0.2"/>
    <row r="187" hidden="1" x14ac:dyDescent="0.2"/>
    <row r="188" hidden="1" x14ac:dyDescent="0.2"/>
    <row r="189" hidden="1" x14ac:dyDescent="0.2"/>
    <row r="190" hidden="1" x14ac:dyDescent="0.2"/>
    <row r="191" hidden="1" x14ac:dyDescent="0.2"/>
    <row r="192" hidden="1" x14ac:dyDescent="0.2"/>
    <row r="193" hidden="1" x14ac:dyDescent="0.2"/>
    <row r="194" hidden="1" x14ac:dyDescent="0.2"/>
    <row r="195" hidden="1" x14ac:dyDescent="0.2"/>
    <row r="196" hidden="1" x14ac:dyDescent="0.2"/>
    <row r="197" hidden="1" x14ac:dyDescent="0.2"/>
    <row r="198" hidden="1" x14ac:dyDescent="0.2"/>
    <row r="199" hidden="1" x14ac:dyDescent="0.2"/>
    <row r="200" hidden="1" x14ac:dyDescent="0.2"/>
    <row r="201" hidden="1" x14ac:dyDescent="0.2"/>
    <row r="202" hidden="1" x14ac:dyDescent="0.2"/>
    <row r="203" hidden="1" x14ac:dyDescent="0.2"/>
    <row r="204" hidden="1" x14ac:dyDescent="0.2"/>
    <row r="205" hidden="1" x14ac:dyDescent="0.2"/>
    <row r="206" hidden="1" x14ac:dyDescent="0.2"/>
    <row r="207" hidden="1" x14ac:dyDescent="0.2"/>
    <row r="208" hidden="1" x14ac:dyDescent="0.2"/>
    <row r="209" hidden="1" x14ac:dyDescent="0.2"/>
    <row r="210" hidden="1" x14ac:dyDescent="0.2"/>
    <row r="211" hidden="1" x14ac:dyDescent="0.2"/>
    <row r="212" hidden="1" x14ac:dyDescent="0.2"/>
    <row r="213" hidden="1" x14ac:dyDescent="0.2"/>
    <row r="214" hidden="1" x14ac:dyDescent="0.2"/>
    <row r="215" hidden="1" x14ac:dyDescent="0.2"/>
    <row r="216" hidden="1" x14ac:dyDescent="0.2"/>
    <row r="217" hidden="1" x14ac:dyDescent="0.2"/>
    <row r="218" hidden="1" x14ac:dyDescent="0.2"/>
    <row r="219" hidden="1" x14ac:dyDescent="0.2"/>
    <row r="220" hidden="1" x14ac:dyDescent="0.2"/>
    <row r="221" hidden="1" x14ac:dyDescent="0.2"/>
    <row r="222" hidden="1" x14ac:dyDescent="0.2"/>
    <row r="223" hidden="1" x14ac:dyDescent="0.2"/>
    <row r="224" hidden="1" x14ac:dyDescent="0.2"/>
    <row r="225" hidden="1" x14ac:dyDescent="0.2"/>
    <row r="226" hidden="1" x14ac:dyDescent="0.2"/>
    <row r="227" hidden="1" x14ac:dyDescent="0.2"/>
    <row r="228" hidden="1" x14ac:dyDescent="0.2"/>
    <row r="229" hidden="1" x14ac:dyDescent="0.2"/>
    <row r="230" hidden="1" x14ac:dyDescent="0.2"/>
    <row r="231" hidden="1" x14ac:dyDescent="0.2"/>
    <row r="232" hidden="1" x14ac:dyDescent="0.2"/>
    <row r="233" hidden="1" x14ac:dyDescent="0.2"/>
    <row r="234" hidden="1" x14ac:dyDescent="0.2"/>
    <row r="235" hidden="1" x14ac:dyDescent="0.2"/>
    <row r="236" hidden="1" x14ac:dyDescent="0.2"/>
    <row r="237" hidden="1" x14ac:dyDescent="0.2"/>
    <row r="238" hidden="1" x14ac:dyDescent="0.2"/>
    <row r="239" hidden="1" x14ac:dyDescent="0.2"/>
    <row r="240" hidden="1" x14ac:dyDescent="0.2"/>
    <row r="241" hidden="1" x14ac:dyDescent="0.2"/>
    <row r="242" hidden="1" x14ac:dyDescent="0.2"/>
    <row r="243" hidden="1" x14ac:dyDescent="0.2"/>
    <row r="244" hidden="1" x14ac:dyDescent="0.2"/>
    <row r="245" hidden="1" x14ac:dyDescent="0.2"/>
    <row r="246" hidden="1" x14ac:dyDescent="0.2"/>
    <row r="247" hidden="1" x14ac:dyDescent="0.2"/>
    <row r="248" hidden="1" x14ac:dyDescent="0.2"/>
    <row r="249" hidden="1" x14ac:dyDescent="0.2"/>
    <row r="250" hidden="1" x14ac:dyDescent="0.2"/>
    <row r="251" hidden="1" x14ac:dyDescent="0.2"/>
    <row r="252" hidden="1" x14ac:dyDescent="0.2"/>
    <row r="253" hidden="1" x14ac:dyDescent="0.2"/>
    <row r="254" hidden="1" x14ac:dyDescent="0.2"/>
    <row r="255" hidden="1" x14ac:dyDescent="0.2"/>
    <row r="256" hidden="1" x14ac:dyDescent="0.2"/>
    <row r="257" hidden="1" x14ac:dyDescent="0.2"/>
    <row r="258" hidden="1" x14ac:dyDescent="0.2"/>
    <row r="259" hidden="1" x14ac:dyDescent="0.2"/>
    <row r="260" hidden="1" x14ac:dyDescent="0.2"/>
    <row r="261" hidden="1" x14ac:dyDescent="0.2"/>
    <row r="262" hidden="1" x14ac:dyDescent="0.2"/>
    <row r="263" hidden="1" x14ac:dyDescent="0.2"/>
    <row r="264" hidden="1" x14ac:dyDescent="0.2"/>
    <row r="265" hidden="1" x14ac:dyDescent="0.2"/>
    <row r="266" hidden="1" x14ac:dyDescent="0.2"/>
    <row r="267" hidden="1" x14ac:dyDescent="0.2"/>
    <row r="268" hidden="1" x14ac:dyDescent="0.2"/>
    <row r="269" hidden="1" x14ac:dyDescent="0.2"/>
    <row r="270" hidden="1" x14ac:dyDescent="0.2"/>
    <row r="271" hidden="1" x14ac:dyDescent="0.2"/>
    <row r="272" hidden="1" x14ac:dyDescent="0.2"/>
    <row r="273" hidden="1" x14ac:dyDescent="0.2"/>
    <row r="274" hidden="1" x14ac:dyDescent="0.2"/>
    <row r="275" hidden="1" x14ac:dyDescent="0.2"/>
    <row r="276" hidden="1" x14ac:dyDescent="0.2"/>
    <row r="277" hidden="1" x14ac:dyDescent="0.2"/>
    <row r="278" hidden="1" x14ac:dyDescent="0.2"/>
    <row r="279" hidden="1" x14ac:dyDescent="0.2"/>
    <row r="280" hidden="1" x14ac:dyDescent="0.2"/>
    <row r="281" hidden="1" x14ac:dyDescent="0.2"/>
    <row r="282" hidden="1" x14ac:dyDescent="0.2"/>
    <row r="283" hidden="1" x14ac:dyDescent="0.2"/>
    <row r="284" hidden="1" x14ac:dyDescent="0.2"/>
    <row r="285" hidden="1" x14ac:dyDescent="0.2"/>
    <row r="286" hidden="1" x14ac:dyDescent="0.2"/>
    <row r="287" hidden="1" x14ac:dyDescent="0.2"/>
    <row r="288" hidden="1" x14ac:dyDescent="0.2"/>
    <row r="289" hidden="1" x14ac:dyDescent="0.2"/>
    <row r="290" hidden="1" x14ac:dyDescent="0.2"/>
    <row r="291" hidden="1" x14ac:dyDescent="0.2"/>
    <row r="292" hidden="1" x14ac:dyDescent="0.2"/>
    <row r="293" hidden="1" x14ac:dyDescent="0.2"/>
    <row r="294" hidden="1" x14ac:dyDescent="0.2"/>
    <row r="295" hidden="1" x14ac:dyDescent="0.2"/>
    <row r="296" hidden="1" x14ac:dyDescent="0.2"/>
    <row r="297" hidden="1" x14ac:dyDescent="0.2"/>
    <row r="298" hidden="1" x14ac:dyDescent="0.2"/>
    <row r="299" hidden="1" x14ac:dyDescent="0.2"/>
    <row r="300" hidden="1" x14ac:dyDescent="0.2"/>
    <row r="301" hidden="1" x14ac:dyDescent="0.2"/>
    <row r="302" hidden="1" x14ac:dyDescent="0.2"/>
    <row r="303" hidden="1" x14ac:dyDescent="0.2"/>
    <row r="304" hidden="1" x14ac:dyDescent="0.2"/>
    <row r="305" hidden="1" x14ac:dyDescent="0.2"/>
    <row r="306" hidden="1" x14ac:dyDescent="0.2"/>
    <row r="307" hidden="1" x14ac:dyDescent="0.2"/>
    <row r="308" hidden="1" x14ac:dyDescent="0.2"/>
    <row r="309" hidden="1" x14ac:dyDescent="0.2"/>
    <row r="310" hidden="1" x14ac:dyDescent="0.2"/>
    <row r="311" hidden="1" x14ac:dyDescent="0.2"/>
    <row r="312" hidden="1" x14ac:dyDescent="0.2"/>
    <row r="313" hidden="1" x14ac:dyDescent="0.2"/>
    <row r="314" hidden="1" x14ac:dyDescent="0.2"/>
    <row r="315" hidden="1" x14ac:dyDescent="0.2"/>
    <row r="316" hidden="1" x14ac:dyDescent="0.2"/>
    <row r="317" hidden="1" x14ac:dyDescent="0.2"/>
    <row r="318" hidden="1" x14ac:dyDescent="0.2"/>
    <row r="319" hidden="1" x14ac:dyDescent="0.2"/>
    <row r="320" hidden="1" x14ac:dyDescent="0.2"/>
    <row r="321" hidden="1" x14ac:dyDescent="0.2"/>
    <row r="322" hidden="1" x14ac:dyDescent="0.2"/>
    <row r="323" hidden="1" x14ac:dyDescent="0.2"/>
    <row r="324" hidden="1" x14ac:dyDescent="0.2"/>
    <row r="325" hidden="1" x14ac:dyDescent="0.2"/>
    <row r="326" hidden="1" x14ac:dyDescent="0.2"/>
    <row r="327" hidden="1" x14ac:dyDescent="0.2"/>
    <row r="328" hidden="1" x14ac:dyDescent="0.2"/>
    <row r="329" hidden="1" x14ac:dyDescent="0.2"/>
    <row r="330" hidden="1" x14ac:dyDescent="0.2"/>
    <row r="331" hidden="1" x14ac:dyDescent="0.2"/>
    <row r="332" hidden="1" x14ac:dyDescent="0.2"/>
    <row r="333" hidden="1" x14ac:dyDescent="0.2"/>
    <row r="334" hidden="1" x14ac:dyDescent="0.2"/>
    <row r="335" hidden="1" x14ac:dyDescent="0.2"/>
    <row r="336" hidden="1" x14ac:dyDescent="0.2"/>
    <row r="337" hidden="1" x14ac:dyDescent="0.2"/>
    <row r="338" hidden="1" x14ac:dyDescent="0.2"/>
    <row r="339" hidden="1" x14ac:dyDescent="0.2"/>
    <row r="340" hidden="1" x14ac:dyDescent="0.2"/>
    <row r="341" hidden="1" x14ac:dyDescent="0.2"/>
    <row r="342" hidden="1" x14ac:dyDescent="0.2"/>
    <row r="343" hidden="1" x14ac:dyDescent="0.2"/>
    <row r="344" hidden="1" x14ac:dyDescent="0.2"/>
    <row r="345" hidden="1" x14ac:dyDescent="0.2"/>
    <row r="346" hidden="1" x14ac:dyDescent="0.2"/>
    <row r="347" hidden="1" x14ac:dyDescent="0.2"/>
    <row r="348" hidden="1" x14ac:dyDescent="0.2"/>
    <row r="349" hidden="1" x14ac:dyDescent="0.2"/>
    <row r="350" hidden="1" x14ac:dyDescent="0.2"/>
    <row r="351" hidden="1" x14ac:dyDescent="0.2"/>
    <row r="352" hidden="1" x14ac:dyDescent="0.2"/>
    <row r="353" hidden="1" x14ac:dyDescent="0.2"/>
    <row r="354" hidden="1" x14ac:dyDescent="0.2"/>
    <row r="355" hidden="1" x14ac:dyDescent="0.2"/>
    <row r="356" hidden="1" x14ac:dyDescent="0.2"/>
    <row r="357" hidden="1" x14ac:dyDescent="0.2"/>
    <row r="358" hidden="1" x14ac:dyDescent="0.2"/>
    <row r="359" hidden="1" x14ac:dyDescent="0.2"/>
    <row r="360" hidden="1" x14ac:dyDescent="0.2"/>
    <row r="361" hidden="1" x14ac:dyDescent="0.2"/>
    <row r="362" hidden="1" x14ac:dyDescent="0.2"/>
    <row r="363" hidden="1" x14ac:dyDescent="0.2"/>
    <row r="364" hidden="1" x14ac:dyDescent="0.2"/>
    <row r="365" hidden="1" x14ac:dyDescent="0.2"/>
    <row r="366" hidden="1" x14ac:dyDescent="0.2"/>
    <row r="367" hidden="1" x14ac:dyDescent="0.2"/>
    <row r="368" hidden="1" x14ac:dyDescent="0.2"/>
    <row r="369" hidden="1" x14ac:dyDescent="0.2"/>
    <row r="370" hidden="1" x14ac:dyDescent="0.2"/>
    <row r="371" hidden="1" x14ac:dyDescent="0.2"/>
    <row r="372" hidden="1" x14ac:dyDescent="0.2"/>
    <row r="373" hidden="1" x14ac:dyDescent="0.2"/>
    <row r="374" hidden="1" x14ac:dyDescent="0.2"/>
    <row r="375" hidden="1" x14ac:dyDescent="0.2"/>
    <row r="376" hidden="1" x14ac:dyDescent="0.2"/>
    <row r="377" hidden="1" x14ac:dyDescent="0.2"/>
    <row r="378" hidden="1" x14ac:dyDescent="0.2"/>
    <row r="379" hidden="1" x14ac:dyDescent="0.2"/>
    <row r="380" hidden="1" x14ac:dyDescent="0.2"/>
    <row r="381" hidden="1" x14ac:dyDescent="0.2"/>
    <row r="382" hidden="1" x14ac:dyDescent="0.2"/>
    <row r="383" hidden="1" x14ac:dyDescent="0.2"/>
    <row r="384" hidden="1" x14ac:dyDescent="0.2"/>
    <row r="385" hidden="1" x14ac:dyDescent="0.2"/>
    <row r="386" hidden="1" x14ac:dyDescent="0.2"/>
    <row r="387" hidden="1" x14ac:dyDescent="0.2"/>
    <row r="388" hidden="1" x14ac:dyDescent="0.2"/>
    <row r="389" hidden="1" x14ac:dyDescent="0.2"/>
    <row r="390" hidden="1" x14ac:dyDescent="0.2"/>
    <row r="391" hidden="1" x14ac:dyDescent="0.2"/>
    <row r="392" hidden="1" x14ac:dyDescent="0.2"/>
    <row r="393" hidden="1" x14ac:dyDescent="0.2"/>
    <row r="394" hidden="1" x14ac:dyDescent="0.2"/>
    <row r="395" hidden="1" x14ac:dyDescent="0.2"/>
    <row r="396" hidden="1" x14ac:dyDescent="0.2"/>
    <row r="397" hidden="1" x14ac:dyDescent="0.2"/>
    <row r="398" hidden="1" x14ac:dyDescent="0.2"/>
    <row r="399" hidden="1" x14ac:dyDescent="0.2"/>
    <row r="400" hidden="1" x14ac:dyDescent="0.2"/>
    <row r="401" hidden="1" x14ac:dyDescent="0.2"/>
    <row r="402" hidden="1" x14ac:dyDescent="0.2"/>
    <row r="403" hidden="1" x14ac:dyDescent="0.2"/>
    <row r="404" hidden="1" x14ac:dyDescent="0.2"/>
    <row r="405" hidden="1" x14ac:dyDescent="0.2"/>
    <row r="406" hidden="1" x14ac:dyDescent="0.2"/>
    <row r="407" hidden="1" x14ac:dyDescent="0.2"/>
    <row r="408" hidden="1" x14ac:dyDescent="0.2"/>
    <row r="409" hidden="1" x14ac:dyDescent="0.2"/>
    <row r="410" hidden="1" x14ac:dyDescent="0.2"/>
    <row r="411" hidden="1" x14ac:dyDescent="0.2"/>
    <row r="412" hidden="1" x14ac:dyDescent="0.2"/>
    <row r="413" hidden="1" x14ac:dyDescent="0.2"/>
    <row r="414" hidden="1" x14ac:dyDescent="0.2"/>
    <row r="415" hidden="1" x14ac:dyDescent="0.2"/>
    <row r="416" hidden="1" x14ac:dyDescent="0.2"/>
    <row r="417" hidden="1" x14ac:dyDescent="0.2"/>
    <row r="418" hidden="1" x14ac:dyDescent="0.2"/>
    <row r="419" hidden="1" x14ac:dyDescent="0.2"/>
    <row r="420" hidden="1" x14ac:dyDescent="0.2"/>
    <row r="421" hidden="1" x14ac:dyDescent="0.2"/>
    <row r="422" hidden="1" x14ac:dyDescent="0.2"/>
    <row r="423" hidden="1" x14ac:dyDescent="0.2"/>
    <row r="424" hidden="1" x14ac:dyDescent="0.2"/>
    <row r="425" hidden="1" x14ac:dyDescent="0.2"/>
    <row r="426" hidden="1" x14ac:dyDescent="0.2"/>
    <row r="427" hidden="1" x14ac:dyDescent="0.2"/>
    <row r="428" hidden="1" x14ac:dyDescent="0.2"/>
    <row r="429" hidden="1" x14ac:dyDescent="0.2"/>
    <row r="430" hidden="1" x14ac:dyDescent="0.2"/>
    <row r="431" hidden="1" x14ac:dyDescent="0.2"/>
    <row r="432" hidden="1" x14ac:dyDescent="0.2"/>
    <row r="433" hidden="1" x14ac:dyDescent="0.2"/>
    <row r="434" hidden="1" x14ac:dyDescent="0.2"/>
    <row r="435" hidden="1" x14ac:dyDescent="0.2"/>
    <row r="436" hidden="1" x14ac:dyDescent="0.2"/>
    <row r="437" hidden="1" x14ac:dyDescent="0.2"/>
    <row r="438" hidden="1" x14ac:dyDescent="0.2"/>
    <row r="439" hidden="1" x14ac:dyDescent="0.2"/>
    <row r="440" hidden="1" x14ac:dyDescent="0.2"/>
    <row r="441" hidden="1" x14ac:dyDescent="0.2"/>
    <row r="442" hidden="1" x14ac:dyDescent="0.2"/>
    <row r="443" hidden="1" x14ac:dyDescent="0.2"/>
    <row r="444" hidden="1" x14ac:dyDescent="0.2"/>
    <row r="445" hidden="1" x14ac:dyDescent="0.2"/>
    <row r="446" hidden="1" x14ac:dyDescent="0.2"/>
    <row r="447" hidden="1" x14ac:dyDescent="0.2"/>
    <row r="448" hidden="1" x14ac:dyDescent="0.2"/>
    <row r="449" hidden="1" x14ac:dyDescent="0.2"/>
    <row r="450" hidden="1" x14ac:dyDescent="0.2"/>
    <row r="451" hidden="1" x14ac:dyDescent="0.2"/>
    <row r="452" hidden="1" x14ac:dyDescent="0.2"/>
    <row r="453" hidden="1" x14ac:dyDescent="0.2"/>
    <row r="454" hidden="1" x14ac:dyDescent="0.2"/>
    <row r="455" hidden="1" x14ac:dyDescent="0.2"/>
    <row r="456" hidden="1" x14ac:dyDescent="0.2"/>
    <row r="457" hidden="1" x14ac:dyDescent="0.2"/>
    <row r="458" hidden="1" x14ac:dyDescent="0.2"/>
    <row r="459" hidden="1" x14ac:dyDescent="0.2"/>
    <row r="460" hidden="1" x14ac:dyDescent="0.2"/>
    <row r="461" hidden="1" x14ac:dyDescent="0.2"/>
    <row r="462" hidden="1" x14ac:dyDescent="0.2"/>
    <row r="463" hidden="1" x14ac:dyDescent="0.2"/>
    <row r="464" hidden="1" x14ac:dyDescent="0.2"/>
    <row r="465" hidden="1" x14ac:dyDescent="0.2"/>
    <row r="466" hidden="1" x14ac:dyDescent="0.2"/>
    <row r="467" hidden="1" x14ac:dyDescent="0.2"/>
    <row r="468" hidden="1" x14ac:dyDescent="0.2"/>
    <row r="469" hidden="1" x14ac:dyDescent="0.2"/>
    <row r="470" hidden="1" x14ac:dyDescent="0.2"/>
    <row r="471" hidden="1" x14ac:dyDescent="0.2"/>
    <row r="472" hidden="1" x14ac:dyDescent="0.2"/>
    <row r="473" hidden="1" x14ac:dyDescent="0.2"/>
    <row r="474" hidden="1" x14ac:dyDescent="0.2"/>
    <row r="475" hidden="1" x14ac:dyDescent="0.2"/>
    <row r="476" hidden="1" x14ac:dyDescent="0.2"/>
    <row r="477" hidden="1" x14ac:dyDescent="0.2"/>
    <row r="478" hidden="1" x14ac:dyDescent="0.2"/>
    <row r="479" hidden="1" x14ac:dyDescent="0.2"/>
    <row r="480" hidden="1" x14ac:dyDescent="0.2"/>
    <row r="481" hidden="1" x14ac:dyDescent="0.2"/>
    <row r="482" hidden="1" x14ac:dyDescent="0.2"/>
    <row r="483" hidden="1" x14ac:dyDescent="0.2"/>
    <row r="484" hidden="1" x14ac:dyDescent="0.2"/>
    <row r="485" hidden="1" x14ac:dyDescent="0.2"/>
    <row r="486" hidden="1" x14ac:dyDescent="0.2"/>
    <row r="487" hidden="1" x14ac:dyDescent="0.2"/>
    <row r="488" hidden="1" x14ac:dyDescent="0.2"/>
    <row r="489" hidden="1" x14ac:dyDescent="0.2"/>
    <row r="490" hidden="1" x14ac:dyDescent="0.2"/>
    <row r="491" hidden="1" x14ac:dyDescent="0.2"/>
    <row r="492" hidden="1" x14ac:dyDescent="0.2"/>
    <row r="493" hidden="1" x14ac:dyDescent="0.2"/>
    <row r="494" hidden="1" x14ac:dyDescent="0.2"/>
    <row r="495" hidden="1" x14ac:dyDescent="0.2"/>
    <row r="496" hidden="1" x14ac:dyDescent="0.2"/>
    <row r="497" hidden="1" x14ac:dyDescent="0.2"/>
    <row r="498" hidden="1" x14ac:dyDescent="0.2"/>
    <row r="499" hidden="1" x14ac:dyDescent="0.2"/>
    <row r="500" hidden="1" x14ac:dyDescent="0.2"/>
    <row r="501" hidden="1" x14ac:dyDescent="0.2"/>
    <row r="502" hidden="1" x14ac:dyDescent="0.2"/>
    <row r="503" hidden="1" x14ac:dyDescent="0.2"/>
    <row r="504" hidden="1" x14ac:dyDescent="0.2"/>
    <row r="505" hidden="1" x14ac:dyDescent="0.2"/>
    <row r="506" hidden="1" x14ac:dyDescent="0.2"/>
    <row r="507" hidden="1" x14ac:dyDescent="0.2"/>
    <row r="508" hidden="1" x14ac:dyDescent="0.2"/>
    <row r="509" hidden="1" x14ac:dyDescent="0.2"/>
    <row r="510" hidden="1" x14ac:dyDescent="0.2"/>
    <row r="511" hidden="1" x14ac:dyDescent="0.2"/>
    <row r="512" hidden="1" x14ac:dyDescent="0.2"/>
    <row r="513" hidden="1" x14ac:dyDescent="0.2"/>
    <row r="514" hidden="1" x14ac:dyDescent="0.2"/>
    <row r="515" hidden="1" x14ac:dyDescent="0.2"/>
    <row r="516" hidden="1" x14ac:dyDescent="0.2"/>
    <row r="517" hidden="1" x14ac:dyDescent="0.2"/>
    <row r="518" hidden="1" x14ac:dyDescent="0.2"/>
    <row r="519" hidden="1" x14ac:dyDescent="0.2"/>
    <row r="520" hidden="1" x14ac:dyDescent="0.2"/>
    <row r="521" hidden="1" x14ac:dyDescent="0.2"/>
    <row r="522" hidden="1" x14ac:dyDescent="0.2"/>
    <row r="523" hidden="1" x14ac:dyDescent="0.2"/>
    <row r="524" hidden="1" x14ac:dyDescent="0.2"/>
    <row r="525" hidden="1" x14ac:dyDescent="0.2"/>
    <row r="526" hidden="1" x14ac:dyDescent="0.2"/>
    <row r="527" hidden="1" x14ac:dyDescent="0.2"/>
    <row r="528" hidden="1" x14ac:dyDescent="0.2"/>
    <row r="529" hidden="1" x14ac:dyDescent="0.2"/>
    <row r="530" hidden="1" x14ac:dyDescent="0.2"/>
    <row r="531" hidden="1" x14ac:dyDescent="0.2"/>
    <row r="532" hidden="1" x14ac:dyDescent="0.2"/>
    <row r="533" hidden="1" x14ac:dyDescent="0.2"/>
    <row r="534" hidden="1" x14ac:dyDescent="0.2"/>
    <row r="535" hidden="1" x14ac:dyDescent="0.2"/>
    <row r="536" hidden="1" x14ac:dyDescent="0.2"/>
    <row r="537" hidden="1" x14ac:dyDescent="0.2"/>
    <row r="538" hidden="1" x14ac:dyDescent="0.2"/>
    <row r="539" hidden="1" x14ac:dyDescent="0.2"/>
    <row r="540" hidden="1" x14ac:dyDescent="0.2"/>
    <row r="541" hidden="1" x14ac:dyDescent="0.2"/>
    <row r="542" hidden="1" x14ac:dyDescent="0.2"/>
    <row r="543" hidden="1" x14ac:dyDescent="0.2"/>
    <row r="544" hidden="1" x14ac:dyDescent="0.2"/>
    <row r="545" hidden="1" x14ac:dyDescent="0.2"/>
    <row r="546" hidden="1" x14ac:dyDescent="0.2"/>
    <row r="547" hidden="1" x14ac:dyDescent="0.2"/>
    <row r="548" hidden="1" x14ac:dyDescent="0.2"/>
    <row r="549" hidden="1" x14ac:dyDescent="0.2"/>
    <row r="550" hidden="1" x14ac:dyDescent="0.2"/>
    <row r="551" hidden="1" x14ac:dyDescent="0.2"/>
    <row r="552" hidden="1" x14ac:dyDescent="0.2"/>
    <row r="553" hidden="1" x14ac:dyDescent="0.2"/>
    <row r="554" hidden="1" x14ac:dyDescent="0.2"/>
    <row r="555" hidden="1" x14ac:dyDescent="0.2"/>
    <row r="556" hidden="1" x14ac:dyDescent="0.2"/>
    <row r="557" hidden="1" x14ac:dyDescent="0.2"/>
    <row r="558" hidden="1" x14ac:dyDescent="0.2"/>
    <row r="559" hidden="1" x14ac:dyDescent="0.2"/>
    <row r="560" hidden="1" x14ac:dyDescent="0.2"/>
    <row r="561" hidden="1" x14ac:dyDescent="0.2"/>
    <row r="562" hidden="1" x14ac:dyDescent="0.2"/>
    <row r="563" hidden="1" x14ac:dyDescent="0.2"/>
    <row r="564" hidden="1" x14ac:dyDescent="0.2"/>
    <row r="565" hidden="1" x14ac:dyDescent="0.2"/>
    <row r="566" hidden="1" x14ac:dyDescent="0.2"/>
    <row r="567" hidden="1" x14ac:dyDescent="0.2"/>
    <row r="568" hidden="1" x14ac:dyDescent="0.2"/>
    <row r="569" hidden="1" x14ac:dyDescent="0.2"/>
    <row r="570" hidden="1" x14ac:dyDescent="0.2"/>
    <row r="571" hidden="1" x14ac:dyDescent="0.2"/>
    <row r="572" hidden="1" x14ac:dyDescent="0.2"/>
    <row r="573" hidden="1" x14ac:dyDescent="0.2"/>
    <row r="574" hidden="1" x14ac:dyDescent="0.2"/>
    <row r="575" hidden="1" x14ac:dyDescent="0.2"/>
    <row r="576" hidden="1" x14ac:dyDescent="0.2"/>
    <row r="577" hidden="1" x14ac:dyDescent="0.2"/>
    <row r="578" hidden="1" x14ac:dyDescent="0.2"/>
    <row r="579" hidden="1" x14ac:dyDescent="0.2"/>
    <row r="580" hidden="1" x14ac:dyDescent="0.2"/>
    <row r="581" hidden="1" x14ac:dyDescent="0.2"/>
    <row r="582" hidden="1" x14ac:dyDescent="0.2"/>
    <row r="583" hidden="1" x14ac:dyDescent="0.2"/>
    <row r="584" hidden="1" x14ac:dyDescent="0.2"/>
    <row r="585" hidden="1" x14ac:dyDescent="0.2"/>
    <row r="586" hidden="1" x14ac:dyDescent="0.2"/>
    <row r="587" hidden="1" x14ac:dyDescent="0.2"/>
    <row r="588" hidden="1" x14ac:dyDescent="0.2"/>
    <row r="589" hidden="1" x14ac:dyDescent="0.2"/>
    <row r="590" hidden="1" x14ac:dyDescent="0.2"/>
    <row r="591" hidden="1" x14ac:dyDescent="0.2"/>
    <row r="592" hidden="1" x14ac:dyDescent="0.2"/>
    <row r="593" hidden="1" x14ac:dyDescent="0.2"/>
    <row r="594" hidden="1" x14ac:dyDescent="0.2"/>
    <row r="595" hidden="1" x14ac:dyDescent="0.2"/>
    <row r="596" hidden="1" x14ac:dyDescent="0.2"/>
    <row r="597" hidden="1" x14ac:dyDescent="0.2"/>
    <row r="598" hidden="1" x14ac:dyDescent="0.2"/>
    <row r="599" hidden="1" x14ac:dyDescent="0.2"/>
    <row r="600" hidden="1" x14ac:dyDescent="0.2"/>
    <row r="601" hidden="1" x14ac:dyDescent="0.2"/>
    <row r="602" hidden="1" x14ac:dyDescent="0.2"/>
    <row r="603" hidden="1" x14ac:dyDescent="0.2"/>
    <row r="604" hidden="1" x14ac:dyDescent="0.2"/>
    <row r="605" hidden="1" x14ac:dyDescent="0.2"/>
    <row r="606" hidden="1" x14ac:dyDescent="0.2"/>
    <row r="607" hidden="1" x14ac:dyDescent="0.2"/>
    <row r="608" hidden="1" x14ac:dyDescent="0.2"/>
    <row r="609" hidden="1" x14ac:dyDescent="0.2"/>
    <row r="610" hidden="1" x14ac:dyDescent="0.2"/>
    <row r="611" hidden="1" x14ac:dyDescent="0.2"/>
    <row r="612" hidden="1" x14ac:dyDescent="0.2"/>
    <row r="613" hidden="1" x14ac:dyDescent="0.2"/>
    <row r="614" hidden="1" x14ac:dyDescent="0.2"/>
    <row r="615" hidden="1" x14ac:dyDescent="0.2"/>
    <row r="616" hidden="1" x14ac:dyDescent="0.2"/>
    <row r="617" hidden="1" x14ac:dyDescent="0.2"/>
    <row r="618" hidden="1" x14ac:dyDescent="0.2"/>
    <row r="619" hidden="1" x14ac:dyDescent="0.2"/>
    <row r="620" hidden="1" x14ac:dyDescent="0.2"/>
    <row r="621" hidden="1" x14ac:dyDescent="0.2"/>
    <row r="622" hidden="1" x14ac:dyDescent="0.2"/>
    <row r="623" hidden="1" x14ac:dyDescent="0.2"/>
    <row r="624" hidden="1" x14ac:dyDescent="0.2"/>
    <row r="625" hidden="1" x14ac:dyDescent="0.2"/>
    <row r="626" hidden="1" x14ac:dyDescent="0.2"/>
    <row r="627" hidden="1" x14ac:dyDescent="0.2"/>
    <row r="628" hidden="1" x14ac:dyDescent="0.2"/>
    <row r="629" hidden="1" x14ac:dyDescent="0.2"/>
    <row r="630" hidden="1" x14ac:dyDescent="0.2"/>
    <row r="631" hidden="1" x14ac:dyDescent="0.2"/>
    <row r="632" hidden="1" x14ac:dyDescent="0.2"/>
    <row r="633" hidden="1" x14ac:dyDescent="0.2"/>
    <row r="634" hidden="1" x14ac:dyDescent="0.2"/>
    <row r="635" hidden="1" x14ac:dyDescent="0.2"/>
    <row r="636" hidden="1" x14ac:dyDescent="0.2"/>
    <row r="637" hidden="1" x14ac:dyDescent="0.2"/>
    <row r="638" hidden="1" x14ac:dyDescent="0.2"/>
    <row r="639" hidden="1" x14ac:dyDescent="0.2"/>
    <row r="640" hidden="1" x14ac:dyDescent="0.2"/>
    <row r="641" hidden="1" x14ac:dyDescent="0.2"/>
    <row r="642" hidden="1" x14ac:dyDescent="0.2"/>
    <row r="643" hidden="1" x14ac:dyDescent="0.2"/>
    <row r="644" hidden="1" x14ac:dyDescent="0.2"/>
    <row r="645" hidden="1" x14ac:dyDescent="0.2"/>
    <row r="646" hidden="1" x14ac:dyDescent="0.2"/>
    <row r="647" hidden="1" x14ac:dyDescent="0.2"/>
    <row r="648" hidden="1" x14ac:dyDescent="0.2"/>
    <row r="649" hidden="1" x14ac:dyDescent="0.2"/>
    <row r="650" hidden="1" x14ac:dyDescent="0.2"/>
    <row r="651" hidden="1" x14ac:dyDescent="0.2"/>
    <row r="652" hidden="1" x14ac:dyDescent="0.2"/>
    <row r="653" hidden="1" x14ac:dyDescent="0.2"/>
    <row r="654" hidden="1" x14ac:dyDescent="0.2"/>
    <row r="655" hidden="1" x14ac:dyDescent="0.2"/>
    <row r="656" hidden="1" x14ac:dyDescent="0.2"/>
    <row r="657" hidden="1" x14ac:dyDescent="0.2"/>
    <row r="658" hidden="1" x14ac:dyDescent="0.2"/>
    <row r="659" hidden="1" x14ac:dyDescent="0.2"/>
    <row r="660" hidden="1" x14ac:dyDescent="0.2"/>
    <row r="661" hidden="1" x14ac:dyDescent="0.2"/>
    <row r="662" hidden="1" x14ac:dyDescent="0.2"/>
    <row r="663" hidden="1" x14ac:dyDescent="0.2"/>
    <row r="664" hidden="1" x14ac:dyDescent="0.2"/>
    <row r="665" hidden="1" x14ac:dyDescent="0.2"/>
    <row r="666" hidden="1" x14ac:dyDescent="0.2"/>
    <row r="667" hidden="1" x14ac:dyDescent="0.2"/>
    <row r="668" hidden="1" x14ac:dyDescent="0.2"/>
    <row r="669" hidden="1" x14ac:dyDescent="0.2"/>
    <row r="670" hidden="1" x14ac:dyDescent="0.2"/>
    <row r="671" hidden="1" x14ac:dyDescent="0.2"/>
    <row r="672" hidden="1" x14ac:dyDescent="0.2"/>
    <row r="673" hidden="1" x14ac:dyDescent="0.2"/>
    <row r="674" hidden="1" x14ac:dyDescent="0.2"/>
    <row r="675" hidden="1" x14ac:dyDescent="0.2"/>
    <row r="676" hidden="1" x14ac:dyDescent="0.2"/>
    <row r="677" hidden="1" x14ac:dyDescent="0.2"/>
    <row r="678" hidden="1" x14ac:dyDescent="0.2"/>
    <row r="679" hidden="1" x14ac:dyDescent="0.2"/>
    <row r="680" hidden="1" x14ac:dyDescent="0.2"/>
    <row r="681" hidden="1" x14ac:dyDescent="0.2"/>
    <row r="682" hidden="1" x14ac:dyDescent="0.2"/>
    <row r="683" hidden="1" x14ac:dyDescent="0.2"/>
    <row r="684" hidden="1" x14ac:dyDescent="0.2"/>
    <row r="685" hidden="1" x14ac:dyDescent="0.2"/>
    <row r="686" hidden="1" x14ac:dyDescent="0.2"/>
    <row r="687" hidden="1" x14ac:dyDescent="0.2"/>
    <row r="688" hidden="1" x14ac:dyDescent="0.2"/>
    <row r="689" hidden="1" x14ac:dyDescent="0.2"/>
    <row r="690" hidden="1" x14ac:dyDescent="0.2"/>
    <row r="691" hidden="1" x14ac:dyDescent="0.2"/>
    <row r="692" hidden="1" x14ac:dyDescent="0.2"/>
    <row r="693" hidden="1" x14ac:dyDescent="0.2"/>
    <row r="694" hidden="1" x14ac:dyDescent="0.2"/>
    <row r="695" hidden="1" x14ac:dyDescent="0.2"/>
    <row r="696" hidden="1" x14ac:dyDescent="0.2"/>
    <row r="697" hidden="1" x14ac:dyDescent="0.2"/>
    <row r="698" hidden="1" x14ac:dyDescent="0.2"/>
    <row r="699" hidden="1" x14ac:dyDescent="0.2"/>
    <row r="700" hidden="1" x14ac:dyDescent="0.2"/>
    <row r="701" hidden="1" x14ac:dyDescent="0.2"/>
    <row r="702" hidden="1" x14ac:dyDescent="0.2"/>
    <row r="703" hidden="1" x14ac:dyDescent="0.2"/>
    <row r="704" hidden="1" x14ac:dyDescent="0.2"/>
    <row r="705" hidden="1" x14ac:dyDescent="0.2"/>
    <row r="706" hidden="1" x14ac:dyDescent="0.2"/>
    <row r="707" hidden="1" x14ac:dyDescent="0.2"/>
    <row r="708" hidden="1" x14ac:dyDescent="0.2"/>
    <row r="709" hidden="1" x14ac:dyDescent="0.2"/>
    <row r="710" hidden="1" x14ac:dyDescent="0.2"/>
    <row r="711" hidden="1" x14ac:dyDescent="0.2"/>
    <row r="712" hidden="1" x14ac:dyDescent="0.2"/>
    <row r="713" hidden="1" x14ac:dyDescent="0.2"/>
    <row r="714" hidden="1" x14ac:dyDescent="0.2"/>
    <row r="715" hidden="1" x14ac:dyDescent="0.2"/>
    <row r="716" hidden="1" x14ac:dyDescent="0.2"/>
    <row r="717" hidden="1" x14ac:dyDescent="0.2"/>
    <row r="718" hidden="1" x14ac:dyDescent="0.2"/>
    <row r="719" hidden="1" x14ac:dyDescent="0.2"/>
    <row r="720" hidden="1" x14ac:dyDescent="0.2"/>
    <row r="721" hidden="1" x14ac:dyDescent="0.2"/>
    <row r="722" hidden="1" x14ac:dyDescent="0.2"/>
    <row r="723" hidden="1" x14ac:dyDescent="0.2"/>
    <row r="724" hidden="1" x14ac:dyDescent="0.2"/>
    <row r="725" hidden="1" x14ac:dyDescent="0.2"/>
    <row r="726" hidden="1" x14ac:dyDescent="0.2"/>
    <row r="727" hidden="1" x14ac:dyDescent="0.2"/>
    <row r="728" hidden="1" x14ac:dyDescent="0.2"/>
    <row r="729" hidden="1" x14ac:dyDescent="0.2"/>
    <row r="730" hidden="1" x14ac:dyDescent="0.2"/>
    <row r="731" hidden="1" x14ac:dyDescent="0.2"/>
    <row r="732" hidden="1" x14ac:dyDescent="0.2"/>
    <row r="733" hidden="1" x14ac:dyDescent="0.2"/>
    <row r="734" hidden="1" x14ac:dyDescent="0.2"/>
    <row r="735" hidden="1" x14ac:dyDescent="0.2"/>
    <row r="736" hidden="1" x14ac:dyDescent="0.2"/>
    <row r="737" hidden="1" x14ac:dyDescent="0.2"/>
    <row r="738" hidden="1" x14ac:dyDescent="0.2"/>
    <row r="739" hidden="1" x14ac:dyDescent="0.2"/>
    <row r="740" hidden="1" x14ac:dyDescent="0.2"/>
    <row r="741" hidden="1" x14ac:dyDescent="0.2"/>
    <row r="742" hidden="1" x14ac:dyDescent="0.2"/>
    <row r="743" hidden="1" x14ac:dyDescent="0.2"/>
    <row r="744" hidden="1" x14ac:dyDescent="0.2"/>
    <row r="745" hidden="1" x14ac:dyDescent="0.2"/>
    <row r="746" hidden="1" x14ac:dyDescent="0.2"/>
    <row r="747" hidden="1" x14ac:dyDescent="0.2"/>
    <row r="748" hidden="1" x14ac:dyDescent="0.2"/>
    <row r="749" hidden="1" x14ac:dyDescent="0.2"/>
    <row r="750" hidden="1" x14ac:dyDescent="0.2"/>
    <row r="751" hidden="1" x14ac:dyDescent="0.2"/>
    <row r="752" hidden="1" x14ac:dyDescent="0.2"/>
    <row r="753" hidden="1" x14ac:dyDescent="0.2"/>
    <row r="754" hidden="1" x14ac:dyDescent="0.2"/>
    <row r="755" hidden="1" x14ac:dyDescent="0.2"/>
    <row r="756" hidden="1" x14ac:dyDescent="0.2"/>
    <row r="757" hidden="1" x14ac:dyDescent="0.2"/>
    <row r="758" hidden="1" x14ac:dyDescent="0.2"/>
    <row r="759" hidden="1" x14ac:dyDescent="0.2"/>
    <row r="760" hidden="1" x14ac:dyDescent="0.2"/>
    <row r="761" hidden="1" x14ac:dyDescent="0.2"/>
    <row r="762" hidden="1" x14ac:dyDescent="0.2"/>
    <row r="763" hidden="1" x14ac:dyDescent="0.2"/>
    <row r="764" hidden="1" x14ac:dyDescent="0.2"/>
    <row r="765" hidden="1" x14ac:dyDescent="0.2"/>
    <row r="766" hidden="1" x14ac:dyDescent="0.2"/>
    <row r="767" hidden="1" x14ac:dyDescent="0.2"/>
    <row r="768" hidden="1" x14ac:dyDescent="0.2"/>
    <row r="769" hidden="1" x14ac:dyDescent="0.2"/>
    <row r="770" hidden="1" x14ac:dyDescent="0.2"/>
    <row r="771" hidden="1" x14ac:dyDescent="0.2"/>
    <row r="772" hidden="1" x14ac:dyDescent="0.2"/>
    <row r="773" hidden="1" x14ac:dyDescent="0.2"/>
    <row r="774" hidden="1" x14ac:dyDescent="0.2"/>
    <row r="775" hidden="1" x14ac:dyDescent="0.2"/>
    <row r="776" hidden="1" x14ac:dyDescent="0.2"/>
    <row r="777" hidden="1" x14ac:dyDescent="0.2"/>
    <row r="778" hidden="1" x14ac:dyDescent="0.2"/>
    <row r="779" hidden="1" x14ac:dyDescent="0.2"/>
    <row r="780" hidden="1" x14ac:dyDescent="0.2"/>
    <row r="781" hidden="1" x14ac:dyDescent="0.2"/>
    <row r="782" hidden="1" x14ac:dyDescent="0.2"/>
    <row r="783" hidden="1" x14ac:dyDescent="0.2"/>
    <row r="784" hidden="1" x14ac:dyDescent="0.2"/>
    <row r="785" hidden="1" x14ac:dyDescent="0.2"/>
    <row r="786" hidden="1" x14ac:dyDescent="0.2"/>
    <row r="787" hidden="1" x14ac:dyDescent="0.2"/>
    <row r="788" hidden="1" x14ac:dyDescent="0.2"/>
    <row r="789" hidden="1" x14ac:dyDescent="0.2"/>
    <row r="790" hidden="1" x14ac:dyDescent="0.2"/>
    <row r="791" hidden="1" x14ac:dyDescent="0.2"/>
    <row r="792" hidden="1" x14ac:dyDescent="0.2"/>
    <row r="793" hidden="1" x14ac:dyDescent="0.2"/>
    <row r="794" hidden="1" x14ac:dyDescent="0.2"/>
    <row r="795" hidden="1" x14ac:dyDescent="0.2"/>
    <row r="796" hidden="1" x14ac:dyDescent="0.2"/>
    <row r="797" hidden="1" x14ac:dyDescent="0.2"/>
    <row r="798" hidden="1" x14ac:dyDescent="0.2"/>
    <row r="799" hidden="1" x14ac:dyDescent="0.2"/>
    <row r="800" hidden="1" x14ac:dyDescent="0.2"/>
    <row r="801" hidden="1" x14ac:dyDescent="0.2"/>
    <row r="802" hidden="1" x14ac:dyDescent="0.2"/>
    <row r="803" hidden="1" x14ac:dyDescent="0.2"/>
    <row r="804" hidden="1" x14ac:dyDescent="0.2"/>
    <row r="805" hidden="1" x14ac:dyDescent="0.2"/>
    <row r="806" hidden="1" x14ac:dyDescent="0.2"/>
    <row r="807" hidden="1" x14ac:dyDescent="0.2"/>
    <row r="808" hidden="1" x14ac:dyDescent="0.2"/>
    <row r="809" hidden="1" x14ac:dyDescent="0.2"/>
    <row r="810" hidden="1" x14ac:dyDescent="0.2"/>
    <row r="811" hidden="1" x14ac:dyDescent="0.2"/>
    <row r="812" hidden="1" x14ac:dyDescent="0.2"/>
    <row r="813" hidden="1" x14ac:dyDescent="0.2"/>
    <row r="814" hidden="1" x14ac:dyDescent="0.2"/>
    <row r="815" hidden="1" x14ac:dyDescent="0.2"/>
    <row r="816" hidden="1" x14ac:dyDescent="0.2"/>
    <row r="817" hidden="1" x14ac:dyDescent="0.2"/>
    <row r="818" hidden="1" x14ac:dyDescent="0.2"/>
    <row r="819" hidden="1" x14ac:dyDescent="0.2"/>
    <row r="820" hidden="1" x14ac:dyDescent="0.2"/>
    <row r="821" hidden="1" x14ac:dyDescent="0.2"/>
    <row r="822" hidden="1" x14ac:dyDescent="0.2"/>
    <row r="823" hidden="1" x14ac:dyDescent="0.2"/>
    <row r="824" hidden="1" x14ac:dyDescent="0.2"/>
    <row r="825" hidden="1" x14ac:dyDescent="0.2"/>
    <row r="826" hidden="1" x14ac:dyDescent="0.2"/>
    <row r="827" hidden="1" x14ac:dyDescent="0.2"/>
    <row r="828" hidden="1" x14ac:dyDescent="0.2"/>
    <row r="829" hidden="1" x14ac:dyDescent="0.2"/>
    <row r="830" hidden="1" x14ac:dyDescent="0.2"/>
    <row r="831" hidden="1" x14ac:dyDescent="0.2"/>
    <row r="832" hidden="1" x14ac:dyDescent="0.2"/>
    <row r="833" hidden="1" x14ac:dyDescent="0.2"/>
    <row r="834" hidden="1" x14ac:dyDescent="0.2"/>
    <row r="835" hidden="1" x14ac:dyDescent="0.2"/>
    <row r="836" hidden="1" x14ac:dyDescent="0.2"/>
    <row r="837" hidden="1" x14ac:dyDescent="0.2"/>
    <row r="838" hidden="1" x14ac:dyDescent="0.2"/>
    <row r="839" hidden="1" x14ac:dyDescent="0.2"/>
    <row r="840" hidden="1" x14ac:dyDescent="0.2"/>
    <row r="841" hidden="1" x14ac:dyDescent="0.2"/>
    <row r="842" hidden="1" x14ac:dyDescent="0.2"/>
    <row r="843" hidden="1" x14ac:dyDescent="0.2"/>
    <row r="844" hidden="1" x14ac:dyDescent="0.2"/>
    <row r="845" hidden="1" x14ac:dyDescent="0.2"/>
    <row r="846" hidden="1" x14ac:dyDescent="0.2"/>
    <row r="847" hidden="1" x14ac:dyDescent="0.2"/>
    <row r="848" hidden="1" x14ac:dyDescent="0.2"/>
    <row r="849" hidden="1" x14ac:dyDescent="0.2"/>
    <row r="850" hidden="1" x14ac:dyDescent="0.2"/>
    <row r="851" hidden="1" x14ac:dyDescent="0.2"/>
    <row r="852" hidden="1" x14ac:dyDescent="0.2"/>
    <row r="853" hidden="1" x14ac:dyDescent="0.2"/>
    <row r="854" hidden="1" x14ac:dyDescent="0.2"/>
    <row r="855" hidden="1" x14ac:dyDescent="0.2"/>
    <row r="856" hidden="1" x14ac:dyDescent="0.2"/>
    <row r="857" hidden="1" x14ac:dyDescent="0.2"/>
    <row r="858" hidden="1" x14ac:dyDescent="0.2"/>
    <row r="859" hidden="1" x14ac:dyDescent="0.2"/>
    <row r="860" hidden="1" x14ac:dyDescent="0.2"/>
    <row r="861" hidden="1" x14ac:dyDescent="0.2"/>
    <row r="862" hidden="1" x14ac:dyDescent="0.2"/>
    <row r="863" hidden="1" x14ac:dyDescent="0.2"/>
    <row r="864" hidden="1" x14ac:dyDescent="0.2"/>
    <row r="865" hidden="1" x14ac:dyDescent="0.2"/>
    <row r="866" hidden="1" x14ac:dyDescent="0.2"/>
    <row r="867" hidden="1" x14ac:dyDescent="0.2"/>
    <row r="868" hidden="1" x14ac:dyDescent="0.2"/>
    <row r="869" hidden="1" x14ac:dyDescent="0.2"/>
    <row r="870" hidden="1" x14ac:dyDescent="0.2"/>
    <row r="871" hidden="1" x14ac:dyDescent="0.2"/>
    <row r="872" hidden="1" x14ac:dyDescent="0.2"/>
    <row r="873" hidden="1" x14ac:dyDescent="0.2"/>
    <row r="874" hidden="1" x14ac:dyDescent="0.2"/>
    <row r="875" hidden="1" x14ac:dyDescent="0.2"/>
    <row r="876" hidden="1" x14ac:dyDescent="0.2"/>
    <row r="877" hidden="1" x14ac:dyDescent="0.2"/>
    <row r="878" hidden="1" x14ac:dyDescent="0.2"/>
    <row r="879" hidden="1" x14ac:dyDescent="0.2"/>
    <row r="880" hidden="1" x14ac:dyDescent="0.2"/>
    <row r="881" hidden="1" x14ac:dyDescent="0.2"/>
    <row r="882" hidden="1" x14ac:dyDescent="0.2"/>
    <row r="883" hidden="1" x14ac:dyDescent="0.2"/>
    <row r="884" hidden="1" x14ac:dyDescent="0.2"/>
    <row r="885" hidden="1" x14ac:dyDescent="0.2"/>
    <row r="886" hidden="1" x14ac:dyDescent="0.2"/>
    <row r="887" hidden="1" x14ac:dyDescent="0.2"/>
    <row r="888" hidden="1" x14ac:dyDescent="0.2"/>
    <row r="889" hidden="1" x14ac:dyDescent="0.2"/>
    <row r="890" hidden="1" x14ac:dyDescent="0.2"/>
    <row r="891" hidden="1" x14ac:dyDescent="0.2"/>
    <row r="892" hidden="1" x14ac:dyDescent="0.2"/>
    <row r="893" hidden="1" x14ac:dyDescent="0.2"/>
    <row r="894" hidden="1" x14ac:dyDescent="0.2"/>
    <row r="895" hidden="1" x14ac:dyDescent="0.2"/>
    <row r="896" hidden="1" x14ac:dyDescent="0.2"/>
    <row r="897" hidden="1" x14ac:dyDescent="0.2"/>
    <row r="898" hidden="1" x14ac:dyDescent="0.2"/>
    <row r="899" hidden="1" x14ac:dyDescent="0.2"/>
    <row r="900" hidden="1" x14ac:dyDescent="0.2"/>
    <row r="901" hidden="1" x14ac:dyDescent="0.2"/>
    <row r="902" hidden="1" x14ac:dyDescent="0.2"/>
    <row r="903" hidden="1" x14ac:dyDescent="0.2"/>
    <row r="904" hidden="1" x14ac:dyDescent="0.2"/>
    <row r="905" hidden="1" x14ac:dyDescent="0.2"/>
    <row r="906" hidden="1" x14ac:dyDescent="0.2"/>
    <row r="907" hidden="1" x14ac:dyDescent="0.2"/>
    <row r="908" hidden="1" x14ac:dyDescent="0.2"/>
    <row r="909" hidden="1" x14ac:dyDescent="0.2"/>
    <row r="910" hidden="1" x14ac:dyDescent="0.2"/>
    <row r="911" hidden="1" x14ac:dyDescent="0.2"/>
    <row r="912" hidden="1" x14ac:dyDescent="0.2"/>
    <row r="913" hidden="1" x14ac:dyDescent="0.2"/>
    <row r="914" hidden="1" x14ac:dyDescent="0.2"/>
    <row r="915" hidden="1" x14ac:dyDescent="0.2"/>
    <row r="916" hidden="1" x14ac:dyDescent="0.2"/>
    <row r="917" hidden="1" x14ac:dyDescent="0.2"/>
    <row r="918" hidden="1" x14ac:dyDescent="0.2"/>
    <row r="919" hidden="1" x14ac:dyDescent="0.2"/>
    <row r="920" hidden="1" x14ac:dyDescent="0.2"/>
    <row r="921" hidden="1" x14ac:dyDescent="0.2"/>
    <row r="922" hidden="1" x14ac:dyDescent="0.2"/>
    <row r="923" hidden="1" x14ac:dyDescent="0.2"/>
    <row r="924" hidden="1" x14ac:dyDescent="0.2"/>
    <row r="925" hidden="1" x14ac:dyDescent="0.2"/>
    <row r="926" hidden="1" x14ac:dyDescent="0.2"/>
    <row r="927" hidden="1" x14ac:dyDescent="0.2"/>
    <row r="928" hidden="1" x14ac:dyDescent="0.2"/>
    <row r="929" hidden="1" x14ac:dyDescent="0.2"/>
    <row r="930" hidden="1" x14ac:dyDescent="0.2"/>
    <row r="931" hidden="1" x14ac:dyDescent="0.2"/>
    <row r="932" hidden="1" x14ac:dyDescent="0.2"/>
    <row r="933" hidden="1" x14ac:dyDescent="0.2"/>
    <row r="934" hidden="1" x14ac:dyDescent="0.2"/>
    <row r="935" hidden="1" x14ac:dyDescent="0.2"/>
    <row r="936" hidden="1" x14ac:dyDescent="0.2"/>
    <row r="937" hidden="1" x14ac:dyDescent="0.2"/>
    <row r="938" hidden="1" x14ac:dyDescent="0.2"/>
    <row r="939" hidden="1" x14ac:dyDescent="0.2"/>
    <row r="940" hidden="1" x14ac:dyDescent="0.2"/>
    <row r="941" hidden="1" x14ac:dyDescent="0.2"/>
    <row r="942" hidden="1" x14ac:dyDescent="0.2"/>
    <row r="943" hidden="1" x14ac:dyDescent="0.2"/>
    <row r="944" hidden="1" x14ac:dyDescent="0.2"/>
    <row r="945" hidden="1" x14ac:dyDescent="0.2"/>
    <row r="946" hidden="1" x14ac:dyDescent="0.2"/>
    <row r="947" hidden="1" x14ac:dyDescent="0.2"/>
    <row r="948" hidden="1" x14ac:dyDescent="0.2"/>
    <row r="949" hidden="1" x14ac:dyDescent="0.2"/>
    <row r="950" hidden="1" x14ac:dyDescent="0.2"/>
    <row r="951" hidden="1" x14ac:dyDescent="0.2"/>
    <row r="952" hidden="1" x14ac:dyDescent="0.2"/>
    <row r="953" hidden="1" x14ac:dyDescent="0.2"/>
    <row r="954" hidden="1" x14ac:dyDescent="0.2"/>
    <row r="955" hidden="1" x14ac:dyDescent="0.2"/>
    <row r="956" hidden="1" x14ac:dyDescent="0.2"/>
    <row r="957" hidden="1" x14ac:dyDescent="0.2"/>
    <row r="958" hidden="1" x14ac:dyDescent="0.2"/>
    <row r="959" hidden="1" x14ac:dyDescent="0.2"/>
    <row r="960" hidden="1" x14ac:dyDescent="0.2"/>
    <row r="961" hidden="1" x14ac:dyDescent="0.2"/>
    <row r="962" hidden="1" x14ac:dyDescent="0.2"/>
    <row r="963" hidden="1" x14ac:dyDescent="0.2"/>
    <row r="964" hidden="1" x14ac:dyDescent="0.2"/>
    <row r="965" hidden="1" x14ac:dyDescent="0.2"/>
    <row r="966" hidden="1" x14ac:dyDescent="0.2"/>
    <row r="967" hidden="1" x14ac:dyDescent="0.2"/>
    <row r="968" hidden="1" x14ac:dyDescent="0.2"/>
    <row r="969" hidden="1" x14ac:dyDescent="0.2"/>
    <row r="970" hidden="1" x14ac:dyDescent="0.2"/>
    <row r="971" hidden="1" x14ac:dyDescent="0.2"/>
    <row r="972" hidden="1" x14ac:dyDescent="0.2"/>
    <row r="973" hidden="1" x14ac:dyDescent="0.2"/>
    <row r="974" hidden="1" x14ac:dyDescent="0.2"/>
    <row r="975" hidden="1" x14ac:dyDescent="0.2"/>
    <row r="976" hidden="1" x14ac:dyDescent="0.2"/>
    <row r="977" hidden="1" x14ac:dyDescent="0.2"/>
    <row r="978" hidden="1" x14ac:dyDescent="0.2"/>
    <row r="979" hidden="1" x14ac:dyDescent="0.2"/>
    <row r="980" hidden="1" x14ac:dyDescent="0.2"/>
    <row r="981" hidden="1" x14ac:dyDescent="0.2"/>
    <row r="982" hidden="1" x14ac:dyDescent="0.2"/>
    <row r="983" hidden="1" x14ac:dyDescent="0.2"/>
    <row r="984" hidden="1" x14ac:dyDescent="0.2"/>
    <row r="985" hidden="1" x14ac:dyDescent="0.2"/>
    <row r="986" hidden="1" x14ac:dyDescent="0.2"/>
    <row r="987" hidden="1" x14ac:dyDescent="0.2"/>
    <row r="988" hidden="1" x14ac:dyDescent="0.2"/>
    <row r="989" hidden="1" x14ac:dyDescent="0.2"/>
    <row r="990" hidden="1" x14ac:dyDescent="0.2"/>
    <row r="991" hidden="1" x14ac:dyDescent="0.2"/>
    <row r="992" hidden="1" x14ac:dyDescent="0.2"/>
    <row r="993" hidden="1" x14ac:dyDescent="0.2"/>
    <row r="994" hidden="1" x14ac:dyDescent="0.2"/>
    <row r="995" hidden="1" x14ac:dyDescent="0.2"/>
    <row r="996" hidden="1" x14ac:dyDescent="0.2"/>
    <row r="997" hidden="1" x14ac:dyDescent="0.2"/>
    <row r="998" hidden="1" x14ac:dyDescent="0.2"/>
    <row r="999" hidden="1" x14ac:dyDescent="0.2"/>
    <row r="1000" hidden="1" x14ac:dyDescent="0.2"/>
    <row r="1001" hidden="1" x14ac:dyDescent="0.2"/>
    <row r="1002" hidden="1" x14ac:dyDescent="0.2"/>
    <row r="1003" hidden="1" x14ac:dyDescent="0.2"/>
    <row r="1004" hidden="1" x14ac:dyDescent="0.2"/>
    <row r="1005" hidden="1" x14ac:dyDescent="0.2"/>
    <row r="1006" hidden="1" x14ac:dyDescent="0.2"/>
    <row r="1007" hidden="1" x14ac:dyDescent="0.2"/>
    <row r="1008" hidden="1" x14ac:dyDescent="0.2"/>
    <row r="1009" hidden="1" x14ac:dyDescent="0.2"/>
    <row r="1010" hidden="1" x14ac:dyDescent="0.2"/>
    <row r="1011" hidden="1" x14ac:dyDescent="0.2"/>
    <row r="1012" hidden="1" x14ac:dyDescent="0.2"/>
    <row r="1013" hidden="1" x14ac:dyDescent="0.2"/>
    <row r="1014" hidden="1" x14ac:dyDescent="0.2"/>
    <row r="1015" hidden="1" x14ac:dyDescent="0.2"/>
    <row r="1016" hidden="1" x14ac:dyDescent="0.2"/>
    <row r="1017" hidden="1" x14ac:dyDescent="0.2"/>
    <row r="1018" hidden="1" x14ac:dyDescent="0.2"/>
    <row r="1019" hidden="1" x14ac:dyDescent="0.2"/>
    <row r="1020" hidden="1" x14ac:dyDescent="0.2"/>
    <row r="1021" hidden="1" x14ac:dyDescent="0.2"/>
    <row r="1022" hidden="1" x14ac:dyDescent="0.2"/>
    <row r="1023" hidden="1" x14ac:dyDescent="0.2"/>
    <row r="1024" hidden="1" x14ac:dyDescent="0.2"/>
    <row r="1025" hidden="1" x14ac:dyDescent="0.2"/>
    <row r="1026" hidden="1" x14ac:dyDescent="0.2"/>
    <row r="1027" hidden="1" x14ac:dyDescent="0.2"/>
    <row r="1028" hidden="1" x14ac:dyDescent="0.2"/>
    <row r="1029" hidden="1" x14ac:dyDescent="0.2"/>
    <row r="1030" hidden="1" x14ac:dyDescent="0.2"/>
    <row r="1031" hidden="1" x14ac:dyDescent="0.2"/>
    <row r="1032" hidden="1" x14ac:dyDescent="0.2"/>
    <row r="1033" hidden="1" x14ac:dyDescent="0.2"/>
    <row r="1034" hidden="1" x14ac:dyDescent="0.2"/>
    <row r="1035" hidden="1" x14ac:dyDescent="0.2"/>
    <row r="1036" hidden="1" x14ac:dyDescent="0.2"/>
    <row r="1037" hidden="1" x14ac:dyDescent="0.2"/>
    <row r="1038" hidden="1" x14ac:dyDescent="0.2"/>
    <row r="1039" hidden="1" x14ac:dyDescent="0.2"/>
    <row r="1040" hidden="1" x14ac:dyDescent="0.2"/>
    <row r="1041" hidden="1" x14ac:dyDescent="0.2"/>
    <row r="1042" hidden="1" x14ac:dyDescent="0.2"/>
    <row r="1043" hidden="1" x14ac:dyDescent="0.2"/>
    <row r="1044" hidden="1" x14ac:dyDescent="0.2"/>
    <row r="1045" hidden="1" x14ac:dyDescent="0.2"/>
    <row r="1046" hidden="1" x14ac:dyDescent="0.2"/>
    <row r="1047" hidden="1" x14ac:dyDescent="0.2"/>
    <row r="1048" hidden="1" x14ac:dyDescent="0.2"/>
    <row r="1049" hidden="1" x14ac:dyDescent="0.2"/>
    <row r="1050" hidden="1" x14ac:dyDescent="0.2"/>
    <row r="1051" hidden="1" x14ac:dyDescent="0.2"/>
    <row r="1052" hidden="1" x14ac:dyDescent="0.2"/>
    <row r="1053" hidden="1" x14ac:dyDescent="0.2"/>
    <row r="1054" hidden="1" x14ac:dyDescent="0.2"/>
    <row r="1055" hidden="1" x14ac:dyDescent="0.2"/>
    <row r="1056" hidden="1" x14ac:dyDescent="0.2"/>
    <row r="1057" hidden="1" x14ac:dyDescent="0.2"/>
    <row r="1058" hidden="1" x14ac:dyDescent="0.2"/>
    <row r="1059" hidden="1" x14ac:dyDescent="0.2"/>
    <row r="1060" hidden="1" x14ac:dyDescent="0.2"/>
    <row r="1061" hidden="1" x14ac:dyDescent="0.2"/>
    <row r="1062" hidden="1" x14ac:dyDescent="0.2"/>
    <row r="1063" hidden="1" x14ac:dyDescent="0.2"/>
    <row r="1064" hidden="1" x14ac:dyDescent="0.2"/>
    <row r="1065" hidden="1" x14ac:dyDescent="0.2"/>
    <row r="1066" hidden="1" x14ac:dyDescent="0.2"/>
    <row r="1067" hidden="1" x14ac:dyDescent="0.2"/>
    <row r="1068" hidden="1" x14ac:dyDescent="0.2"/>
    <row r="1069" hidden="1" x14ac:dyDescent="0.2"/>
    <row r="1070" hidden="1" x14ac:dyDescent="0.2"/>
    <row r="1071" hidden="1" x14ac:dyDescent="0.2"/>
    <row r="1072" hidden="1" x14ac:dyDescent="0.2"/>
    <row r="1073" hidden="1" x14ac:dyDescent="0.2"/>
    <row r="1074" hidden="1" x14ac:dyDescent="0.2"/>
    <row r="1075" hidden="1" x14ac:dyDescent="0.2"/>
    <row r="1076" hidden="1" x14ac:dyDescent="0.2"/>
    <row r="1077" hidden="1" x14ac:dyDescent="0.2"/>
    <row r="1078" hidden="1" x14ac:dyDescent="0.2"/>
    <row r="1079" hidden="1" x14ac:dyDescent="0.2"/>
    <row r="1080" hidden="1" x14ac:dyDescent="0.2"/>
    <row r="1081" hidden="1" x14ac:dyDescent="0.2"/>
    <row r="1082" hidden="1" x14ac:dyDescent="0.2"/>
    <row r="1083" hidden="1" x14ac:dyDescent="0.2"/>
    <row r="1084" hidden="1" x14ac:dyDescent="0.2"/>
    <row r="1085" hidden="1" x14ac:dyDescent="0.2"/>
    <row r="1086" hidden="1" x14ac:dyDescent="0.2"/>
    <row r="1087" hidden="1" x14ac:dyDescent="0.2"/>
    <row r="1088" hidden="1" x14ac:dyDescent="0.2"/>
    <row r="1089" hidden="1" x14ac:dyDescent="0.2"/>
    <row r="1090" hidden="1" x14ac:dyDescent="0.2"/>
    <row r="1091" hidden="1" x14ac:dyDescent="0.2"/>
    <row r="1092" hidden="1" x14ac:dyDescent="0.2"/>
    <row r="1093" hidden="1" x14ac:dyDescent="0.2"/>
    <row r="1094" hidden="1" x14ac:dyDescent="0.2"/>
    <row r="1095" hidden="1" x14ac:dyDescent="0.2"/>
    <row r="1096" hidden="1" x14ac:dyDescent="0.2"/>
    <row r="1097" hidden="1" x14ac:dyDescent="0.2"/>
    <row r="1098" hidden="1" x14ac:dyDescent="0.2"/>
    <row r="1099" hidden="1" x14ac:dyDescent="0.2"/>
    <row r="1100" hidden="1" x14ac:dyDescent="0.2"/>
    <row r="1101" hidden="1" x14ac:dyDescent="0.2"/>
    <row r="1102" hidden="1" x14ac:dyDescent="0.2"/>
    <row r="1103" hidden="1" x14ac:dyDescent="0.2"/>
    <row r="1104" hidden="1" x14ac:dyDescent="0.2"/>
    <row r="1105" hidden="1" x14ac:dyDescent="0.2"/>
    <row r="1106" hidden="1" x14ac:dyDescent="0.2"/>
    <row r="1107" hidden="1" x14ac:dyDescent="0.2"/>
    <row r="1108" hidden="1" x14ac:dyDescent="0.2"/>
    <row r="1109" hidden="1" x14ac:dyDescent="0.2"/>
    <row r="1110" hidden="1" x14ac:dyDescent="0.2"/>
    <row r="1111" hidden="1" x14ac:dyDescent="0.2"/>
    <row r="1112" hidden="1" x14ac:dyDescent="0.2"/>
    <row r="1113" hidden="1" x14ac:dyDescent="0.2"/>
    <row r="1114" hidden="1" x14ac:dyDescent="0.2"/>
    <row r="1115" hidden="1" x14ac:dyDescent="0.2"/>
    <row r="1116" hidden="1" x14ac:dyDescent="0.2"/>
    <row r="1117" hidden="1" x14ac:dyDescent="0.2"/>
    <row r="1118" hidden="1" x14ac:dyDescent="0.2"/>
    <row r="1119" hidden="1" x14ac:dyDescent="0.2"/>
    <row r="1120" hidden="1" x14ac:dyDescent="0.2"/>
    <row r="1121" hidden="1" x14ac:dyDescent="0.2"/>
    <row r="1122" hidden="1" x14ac:dyDescent="0.2"/>
    <row r="1123" hidden="1" x14ac:dyDescent="0.2"/>
    <row r="1124" hidden="1" x14ac:dyDescent="0.2"/>
    <row r="1125" hidden="1" x14ac:dyDescent="0.2"/>
    <row r="1126" hidden="1" x14ac:dyDescent="0.2"/>
    <row r="1127" hidden="1" x14ac:dyDescent="0.2"/>
    <row r="1128" hidden="1" x14ac:dyDescent="0.2"/>
    <row r="1129" hidden="1" x14ac:dyDescent="0.2"/>
    <row r="1130" hidden="1" x14ac:dyDescent="0.2"/>
    <row r="1131" hidden="1" x14ac:dyDescent="0.2"/>
    <row r="1132" hidden="1" x14ac:dyDescent="0.2"/>
    <row r="1133" hidden="1" x14ac:dyDescent="0.2"/>
    <row r="1134" hidden="1" x14ac:dyDescent="0.2"/>
    <row r="1135" hidden="1" x14ac:dyDescent="0.2"/>
    <row r="1136" hidden="1" x14ac:dyDescent="0.2"/>
    <row r="1137" hidden="1" x14ac:dyDescent="0.2"/>
    <row r="1138" hidden="1" x14ac:dyDescent="0.2"/>
    <row r="1139" hidden="1" x14ac:dyDescent="0.2"/>
    <row r="1140" hidden="1" x14ac:dyDescent="0.2"/>
    <row r="1141" hidden="1" x14ac:dyDescent="0.2"/>
    <row r="1142" hidden="1" x14ac:dyDescent="0.2"/>
    <row r="1143" hidden="1" x14ac:dyDescent="0.2"/>
    <row r="1144" hidden="1" x14ac:dyDescent="0.2"/>
    <row r="1145" hidden="1" x14ac:dyDescent="0.2"/>
    <row r="1146" hidden="1" x14ac:dyDescent="0.2"/>
    <row r="1147" hidden="1" x14ac:dyDescent="0.2"/>
    <row r="1148" hidden="1" x14ac:dyDescent="0.2"/>
    <row r="1149" hidden="1" x14ac:dyDescent="0.2"/>
    <row r="1150" hidden="1" x14ac:dyDescent="0.2"/>
    <row r="1151" hidden="1" x14ac:dyDescent="0.2"/>
    <row r="1152" hidden="1" x14ac:dyDescent="0.2"/>
    <row r="1153" hidden="1" x14ac:dyDescent="0.2"/>
    <row r="1154" hidden="1" x14ac:dyDescent="0.2"/>
    <row r="1155" hidden="1" x14ac:dyDescent="0.2"/>
    <row r="1156" hidden="1" x14ac:dyDescent="0.2"/>
    <row r="1157" hidden="1" x14ac:dyDescent="0.2"/>
    <row r="1158" hidden="1" x14ac:dyDescent="0.2"/>
    <row r="1159" hidden="1" x14ac:dyDescent="0.2"/>
    <row r="1160" hidden="1" x14ac:dyDescent="0.2"/>
    <row r="1161" hidden="1" x14ac:dyDescent="0.2"/>
    <row r="1162" hidden="1" x14ac:dyDescent="0.2"/>
    <row r="1163" hidden="1" x14ac:dyDescent="0.2"/>
    <row r="1164" hidden="1" x14ac:dyDescent="0.2"/>
    <row r="1165" hidden="1" x14ac:dyDescent="0.2"/>
    <row r="1166" hidden="1" x14ac:dyDescent="0.2"/>
    <row r="1167" hidden="1" x14ac:dyDescent="0.2"/>
    <row r="1168" hidden="1" x14ac:dyDescent="0.2"/>
    <row r="1169" hidden="1" x14ac:dyDescent="0.2"/>
    <row r="1170" hidden="1" x14ac:dyDescent="0.2"/>
    <row r="1171" hidden="1" x14ac:dyDescent="0.2"/>
    <row r="1172" hidden="1" x14ac:dyDescent="0.2"/>
    <row r="1173" hidden="1" x14ac:dyDescent="0.2"/>
    <row r="1174" hidden="1" x14ac:dyDescent="0.2"/>
    <row r="1175" hidden="1" x14ac:dyDescent="0.2"/>
    <row r="1176" hidden="1" x14ac:dyDescent="0.2"/>
    <row r="1177" hidden="1" x14ac:dyDescent="0.2"/>
    <row r="1178" hidden="1" x14ac:dyDescent="0.2"/>
    <row r="1179" hidden="1" x14ac:dyDescent="0.2"/>
    <row r="1180" hidden="1" x14ac:dyDescent="0.2"/>
    <row r="1181" hidden="1" x14ac:dyDescent="0.2"/>
    <row r="1182" hidden="1" x14ac:dyDescent="0.2"/>
    <row r="1183" hidden="1" x14ac:dyDescent="0.2"/>
    <row r="1184" hidden="1" x14ac:dyDescent="0.2"/>
    <row r="1185" hidden="1" x14ac:dyDescent="0.2"/>
    <row r="1186" hidden="1" x14ac:dyDescent="0.2"/>
    <row r="1187" hidden="1" x14ac:dyDescent="0.2"/>
    <row r="1188" hidden="1" x14ac:dyDescent="0.2"/>
    <row r="1189" hidden="1" x14ac:dyDescent="0.2"/>
    <row r="1190" hidden="1" x14ac:dyDescent="0.2"/>
    <row r="1191" hidden="1" x14ac:dyDescent="0.2"/>
    <row r="1192" hidden="1" x14ac:dyDescent="0.2"/>
    <row r="1193" hidden="1" x14ac:dyDescent="0.2"/>
    <row r="1194" hidden="1" x14ac:dyDescent="0.2"/>
    <row r="1195" hidden="1" x14ac:dyDescent="0.2"/>
    <row r="1196" hidden="1" x14ac:dyDescent="0.2"/>
    <row r="1197" hidden="1" x14ac:dyDescent="0.2"/>
    <row r="1198" hidden="1" x14ac:dyDescent="0.2"/>
    <row r="1199" hidden="1" x14ac:dyDescent="0.2"/>
    <row r="1200" hidden="1" x14ac:dyDescent="0.2"/>
    <row r="1201" hidden="1" x14ac:dyDescent="0.2"/>
    <row r="1202" hidden="1" x14ac:dyDescent="0.2"/>
    <row r="1203" hidden="1" x14ac:dyDescent="0.2"/>
    <row r="1204" hidden="1" x14ac:dyDescent="0.2"/>
    <row r="1205" hidden="1" x14ac:dyDescent="0.2"/>
    <row r="1206" hidden="1" x14ac:dyDescent="0.2"/>
    <row r="1207" hidden="1" x14ac:dyDescent="0.2"/>
    <row r="1208" hidden="1" x14ac:dyDescent="0.2"/>
    <row r="1209" hidden="1" x14ac:dyDescent="0.2"/>
    <row r="1210" hidden="1" x14ac:dyDescent="0.2"/>
    <row r="1211" hidden="1" x14ac:dyDescent="0.2"/>
    <row r="1212" hidden="1" x14ac:dyDescent="0.2"/>
    <row r="1213" hidden="1" x14ac:dyDescent="0.2"/>
    <row r="1214" hidden="1" x14ac:dyDescent="0.2"/>
    <row r="1215" hidden="1" x14ac:dyDescent="0.2"/>
    <row r="1216" hidden="1" x14ac:dyDescent="0.2"/>
    <row r="1217" hidden="1" x14ac:dyDescent="0.2"/>
    <row r="1218" hidden="1" x14ac:dyDescent="0.2"/>
    <row r="1219" hidden="1" x14ac:dyDescent="0.2"/>
    <row r="1220" hidden="1" x14ac:dyDescent="0.2"/>
    <row r="1221" hidden="1" x14ac:dyDescent="0.2"/>
    <row r="1222" hidden="1" x14ac:dyDescent="0.2"/>
    <row r="1223" hidden="1" x14ac:dyDescent="0.2"/>
    <row r="1224" hidden="1" x14ac:dyDescent="0.2"/>
    <row r="1225" hidden="1" x14ac:dyDescent="0.2"/>
    <row r="1226" hidden="1" x14ac:dyDescent="0.2"/>
    <row r="1227" hidden="1" x14ac:dyDescent="0.2"/>
    <row r="1228" hidden="1" x14ac:dyDescent="0.2"/>
    <row r="1229" hidden="1" x14ac:dyDescent="0.2"/>
    <row r="1230" hidden="1" x14ac:dyDescent="0.2"/>
    <row r="1231" hidden="1" x14ac:dyDescent="0.2"/>
    <row r="1232" hidden="1" x14ac:dyDescent="0.2"/>
    <row r="1233" hidden="1" x14ac:dyDescent="0.2"/>
    <row r="1234" hidden="1" x14ac:dyDescent="0.2"/>
    <row r="1235" hidden="1" x14ac:dyDescent="0.2"/>
    <row r="1236" hidden="1" x14ac:dyDescent="0.2"/>
    <row r="1237" hidden="1" x14ac:dyDescent="0.2"/>
    <row r="1238" hidden="1" x14ac:dyDescent="0.2"/>
    <row r="1239" hidden="1" x14ac:dyDescent="0.2"/>
    <row r="1240" hidden="1" x14ac:dyDescent="0.2"/>
    <row r="1241" hidden="1" x14ac:dyDescent="0.2"/>
    <row r="1242" hidden="1" x14ac:dyDescent="0.2"/>
    <row r="1243" hidden="1" x14ac:dyDescent="0.2"/>
    <row r="1244" hidden="1" x14ac:dyDescent="0.2"/>
    <row r="1245" hidden="1" x14ac:dyDescent="0.2"/>
    <row r="1246" hidden="1" x14ac:dyDescent="0.2"/>
    <row r="1247" hidden="1" x14ac:dyDescent="0.2"/>
    <row r="1248" hidden="1" x14ac:dyDescent="0.2"/>
    <row r="1249" hidden="1" x14ac:dyDescent="0.2"/>
    <row r="1250" hidden="1" x14ac:dyDescent="0.2"/>
    <row r="1251" hidden="1" x14ac:dyDescent="0.2"/>
    <row r="1252" hidden="1" x14ac:dyDescent="0.2"/>
    <row r="1253" hidden="1" x14ac:dyDescent="0.2"/>
    <row r="1254" hidden="1" x14ac:dyDescent="0.2"/>
    <row r="1255" hidden="1" x14ac:dyDescent="0.2"/>
    <row r="1256" hidden="1" x14ac:dyDescent="0.2"/>
    <row r="1257" hidden="1" x14ac:dyDescent="0.2"/>
    <row r="1258" hidden="1" x14ac:dyDescent="0.2"/>
    <row r="1259" hidden="1" x14ac:dyDescent="0.2"/>
    <row r="1260" hidden="1" x14ac:dyDescent="0.2"/>
    <row r="1261" hidden="1" x14ac:dyDescent="0.2"/>
    <row r="1262" hidden="1" x14ac:dyDescent="0.2"/>
    <row r="1263" hidden="1" x14ac:dyDescent="0.2"/>
    <row r="1264" hidden="1" x14ac:dyDescent="0.2"/>
    <row r="1265" hidden="1" x14ac:dyDescent="0.2"/>
    <row r="1266" hidden="1" x14ac:dyDescent="0.2"/>
    <row r="1267" hidden="1" x14ac:dyDescent="0.2"/>
    <row r="1268" hidden="1" x14ac:dyDescent="0.2"/>
    <row r="1269" hidden="1" x14ac:dyDescent="0.2"/>
    <row r="1270" hidden="1" x14ac:dyDescent="0.2"/>
    <row r="1271" hidden="1" x14ac:dyDescent="0.2"/>
    <row r="1272" hidden="1" x14ac:dyDescent="0.2"/>
    <row r="1273" hidden="1" x14ac:dyDescent="0.2"/>
    <row r="1274" hidden="1" x14ac:dyDescent="0.2"/>
    <row r="1275" hidden="1" x14ac:dyDescent="0.2"/>
    <row r="1276" hidden="1" x14ac:dyDescent="0.2"/>
    <row r="1277" hidden="1" x14ac:dyDescent="0.2"/>
    <row r="1278" hidden="1" x14ac:dyDescent="0.2"/>
    <row r="1279" hidden="1" x14ac:dyDescent="0.2"/>
    <row r="1280" hidden="1" x14ac:dyDescent="0.2"/>
    <row r="1281" hidden="1" x14ac:dyDescent="0.2"/>
    <row r="1282" hidden="1" x14ac:dyDescent="0.2"/>
    <row r="1283" hidden="1" x14ac:dyDescent="0.2"/>
    <row r="1284" hidden="1" x14ac:dyDescent="0.2"/>
    <row r="1285" hidden="1" x14ac:dyDescent="0.2"/>
    <row r="1286" hidden="1" x14ac:dyDescent="0.2"/>
    <row r="1287" hidden="1" x14ac:dyDescent="0.2"/>
    <row r="1288" hidden="1" x14ac:dyDescent="0.2"/>
    <row r="1289" hidden="1" x14ac:dyDescent="0.2"/>
    <row r="1290" hidden="1" x14ac:dyDescent="0.2"/>
    <row r="1291" hidden="1" x14ac:dyDescent="0.2"/>
    <row r="1292" hidden="1" x14ac:dyDescent="0.2"/>
    <row r="1293" hidden="1" x14ac:dyDescent="0.2"/>
    <row r="1294" hidden="1" x14ac:dyDescent="0.2"/>
    <row r="1295" hidden="1" x14ac:dyDescent="0.2"/>
    <row r="1296" hidden="1" x14ac:dyDescent="0.2"/>
    <row r="1297" hidden="1" x14ac:dyDescent="0.2"/>
    <row r="1298" hidden="1" x14ac:dyDescent="0.2"/>
    <row r="1299" hidden="1" x14ac:dyDescent="0.2"/>
    <row r="1300" hidden="1" x14ac:dyDescent="0.2"/>
    <row r="1301" hidden="1" x14ac:dyDescent="0.2"/>
    <row r="1302" hidden="1" x14ac:dyDescent="0.2"/>
    <row r="1303" hidden="1" x14ac:dyDescent="0.2"/>
    <row r="1304" hidden="1" x14ac:dyDescent="0.2"/>
    <row r="1305" hidden="1" x14ac:dyDescent="0.2"/>
    <row r="1306" hidden="1" x14ac:dyDescent="0.2"/>
    <row r="1307" hidden="1" x14ac:dyDescent="0.2"/>
    <row r="1308" hidden="1" x14ac:dyDescent="0.2"/>
    <row r="1309" hidden="1" x14ac:dyDescent="0.2"/>
    <row r="1310" hidden="1" x14ac:dyDescent="0.2"/>
    <row r="1311" hidden="1" x14ac:dyDescent="0.2"/>
    <row r="1312" hidden="1" x14ac:dyDescent="0.2"/>
    <row r="1313" hidden="1" x14ac:dyDescent="0.2"/>
    <row r="1314" hidden="1" x14ac:dyDescent="0.2"/>
    <row r="1315" hidden="1" x14ac:dyDescent="0.2"/>
    <row r="1316" hidden="1" x14ac:dyDescent="0.2"/>
    <row r="1317" hidden="1" x14ac:dyDescent="0.2"/>
    <row r="1318" hidden="1" x14ac:dyDescent="0.2"/>
    <row r="1319" hidden="1" x14ac:dyDescent="0.2"/>
    <row r="1320" hidden="1" x14ac:dyDescent="0.2"/>
    <row r="1321" hidden="1" x14ac:dyDescent="0.2"/>
    <row r="1322" hidden="1" x14ac:dyDescent="0.2"/>
    <row r="1323" hidden="1" x14ac:dyDescent="0.2"/>
    <row r="1324" hidden="1" x14ac:dyDescent="0.2"/>
    <row r="1325" hidden="1" x14ac:dyDescent="0.2"/>
    <row r="1326" hidden="1" x14ac:dyDescent="0.2"/>
    <row r="1327" hidden="1" x14ac:dyDescent="0.2"/>
    <row r="1328" hidden="1" x14ac:dyDescent="0.2"/>
    <row r="1329" hidden="1" x14ac:dyDescent="0.2"/>
    <row r="1330" hidden="1" x14ac:dyDescent="0.2"/>
    <row r="1331" hidden="1" x14ac:dyDescent="0.2"/>
    <row r="1332" hidden="1" x14ac:dyDescent="0.2"/>
    <row r="1333" hidden="1" x14ac:dyDescent="0.2"/>
    <row r="1334" hidden="1" x14ac:dyDescent="0.2"/>
    <row r="1335" hidden="1" x14ac:dyDescent="0.2"/>
    <row r="1336" hidden="1" x14ac:dyDescent="0.2"/>
    <row r="1337" hidden="1" x14ac:dyDescent="0.2"/>
    <row r="1338" hidden="1" x14ac:dyDescent="0.2"/>
    <row r="1339" hidden="1" x14ac:dyDescent="0.2"/>
    <row r="1340" hidden="1" x14ac:dyDescent="0.2"/>
    <row r="1341" hidden="1" x14ac:dyDescent="0.2"/>
    <row r="1342" hidden="1" x14ac:dyDescent="0.2"/>
    <row r="1343" hidden="1" x14ac:dyDescent="0.2"/>
    <row r="1344" hidden="1" x14ac:dyDescent="0.2"/>
    <row r="1345" hidden="1" x14ac:dyDescent="0.2"/>
    <row r="1346" hidden="1" x14ac:dyDescent="0.2"/>
    <row r="1347" hidden="1" x14ac:dyDescent="0.2"/>
    <row r="1348" hidden="1" x14ac:dyDescent="0.2"/>
    <row r="1349" hidden="1" x14ac:dyDescent="0.2"/>
    <row r="1350" hidden="1" x14ac:dyDescent="0.2"/>
    <row r="1351" hidden="1" x14ac:dyDescent="0.2"/>
    <row r="1352" hidden="1" x14ac:dyDescent="0.2"/>
    <row r="1353" hidden="1" x14ac:dyDescent="0.2"/>
    <row r="1354" hidden="1" x14ac:dyDescent="0.2"/>
    <row r="1355" hidden="1" x14ac:dyDescent="0.2"/>
    <row r="1356" hidden="1" x14ac:dyDescent="0.2"/>
    <row r="1357" hidden="1" x14ac:dyDescent="0.2"/>
    <row r="1358" hidden="1" x14ac:dyDescent="0.2"/>
    <row r="1359" hidden="1" x14ac:dyDescent="0.2"/>
    <row r="1360" hidden="1" x14ac:dyDescent="0.2"/>
    <row r="1361" hidden="1" x14ac:dyDescent="0.2"/>
    <row r="1362" hidden="1" x14ac:dyDescent="0.2"/>
    <row r="1363" hidden="1" x14ac:dyDescent="0.2"/>
    <row r="1364" hidden="1" x14ac:dyDescent="0.2"/>
    <row r="1365" hidden="1" x14ac:dyDescent="0.2"/>
    <row r="1366" hidden="1" x14ac:dyDescent="0.2"/>
    <row r="1367" hidden="1" x14ac:dyDescent="0.2"/>
    <row r="1368" hidden="1" x14ac:dyDescent="0.2"/>
    <row r="1369" hidden="1" x14ac:dyDescent="0.2"/>
    <row r="1370" hidden="1" x14ac:dyDescent="0.2"/>
    <row r="1371" hidden="1" x14ac:dyDescent="0.2"/>
    <row r="1372" hidden="1" x14ac:dyDescent="0.2"/>
    <row r="1373" hidden="1" x14ac:dyDescent="0.2"/>
    <row r="1374" hidden="1" x14ac:dyDescent="0.2"/>
    <row r="1375" hidden="1" x14ac:dyDescent="0.2"/>
    <row r="1376" hidden="1" x14ac:dyDescent="0.2"/>
    <row r="1377" hidden="1" x14ac:dyDescent="0.2"/>
    <row r="1378" hidden="1" x14ac:dyDescent="0.2"/>
    <row r="1379" hidden="1" x14ac:dyDescent="0.2"/>
    <row r="1380" hidden="1" x14ac:dyDescent="0.2"/>
    <row r="1381" hidden="1" x14ac:dyDescent="0.2"/>
    <row r="1382" hidden="1" x14ac:dyDescent="0.2"/>
    <row r="1383" hidden="1" x14ac:dyDescent="0.2"/>
    <row r="1384" hidden="1" x14ac:dyDescent="0.2"/>
    <row r="1385" hidden="1" x14ac:dyDescent="0.2"/>
    <row r="1386" hidden="1" x14ac:dyDescent="0.2"/>
    <row r="1387" hidden="1" x14ac:dyDescent="0.2"/>
    <row r="1388" hidden="1" x14ac:dyDescent="0.2"/>
    <row r="1389" hidden="1" x14ac:dyDescent="0.2"/>
    <row r="1390" hidden="1" x14ac:dyDescent="0.2"/>
    <row r="1391" hidden="1" x14ac:dyDescent="0.2"/>
    <row r="1392" hidden="1" x14ac:dyDescent="0.2"/>
    <row r="1393" hidden="1" x14ac:dyDescent="0.2"/>
    <row r="1394" hidden="1" x14ac:dyDescent="0.2"/>
    <row r="1395" hidden="1" x14ac:dyDescent="0.2"/>
    <row r="1396" hidden="1" x14ac:dyDescent="0.2"/>
    <row r="1397" hidden="1" x14ac:dyDescent="0.2"/>
    <row r="1398" hidden="1" x14ac:dyDescent="0.2"/>
    <row r="1399" hidden="1" x14ac:dyDescent="0.2"/>
    <row r="1400" hidden="1" x14ac:dyDescent="0.2"/>
    <row r="1401" hidden="1" x14ac:dyDescent="0.2"/>
    <row r="1402" hidden="1" x14ac:dyDescent="0.2"/>
    <row r="1403" hidden="1" x14ac:dyDescent="0.2"/>
    <row r="1404" hidden="1" x14ac:dyDescent="0.2"/>
    <row r="1405" hidden="1" x14ac:dyDescent="0.2"/>
    <row r="1406" hidden="1" x14ac:dyDescent="0.2"/>
    <row r="1407" hidden="1" x14ac:dyDescent="0.2"/>
    <row r="1408" hidden="1" x14ac:dyDescent="0.2"/>
    <row r="1409" hidden="1" x14ac:dyDescent="0.2"/>
    <row r="1410" hidden="1" x14ac:dyDescent="0.2"/>
    <row r="1411" hidden="1" x14ac:dyDescent="0.2"/>
    <row r="1412" hidden="1" x14ac:dyDescent="0.2"/>
    <row r="1413" hidden="1" x14ac:dyDescent="0.2"/>
    <row r="1414" hidden="1" x14ac:dyDescent="0.2"/>
    <row r="1415" hidden="1" x14ac:dyDescent="0.2"/>
    <row r="1416" hidden="1" x14ac:dyDescent="0.2"/>
    <row r="1417" hidden="1" x14ac:dyDescent="0.2"/>
    <row r="1418" hidden="1" x14ac:dyDescent="0.2"/>
    <row r="1419" hidden="1" x14ac:dyDescent="0.2"/>
    <row r="1420" hidden="1" x14ac:dyDescent="0.2"/>
    <row r="1421" hidden="1" x14ac:dyDescent="0.2"/>
    <row r="1422" hidden="1" x14ac:dyDescent="0.2"/>
    <row r="1423" hidden="1" x14ac:dyDescent="0.2"/>
    <row r="1424" hidden="1" x14ac:dyDescent="0.2"/>
    <row r="1425" hidden="1" x14ac:dyDescent="0.2"/>
    <row r="1426" hidden="1" x14ac:dyDescent="0.2"/>
    <row r="1427" hidden="1" x14ac:dyDescent="0.2"/>
    <row r="1428" hidden="1" x14ac:dyDescent="0.2"/>
    <row r="1429" hidden="1" x14ac:dyDescent="0.2"/>
    <row r="1430" hidden="1" x14ac:dyDescent="0.2"/>
    <row r="1431" hidden="1" x14ac:dyDescent="0.2"/>
    <row r="1432" hidden="1" x14ac:dyDescent="0.2"/>
    <row r="1433" hidden="1" x14ac:dyDescent="0.2"/>
    <row r="1434" hidden="1" x14ac:dyDescent="0.2"/>
    <row r="1435" hidden="1" x14ac:dyDescent="0.2"/>
    <row r="1436" hidden="1" x14ac:dyDescent="0.2"/>
    <row r="1437" hidden="1" x14ac:dyDescent="0.2"/>
    <row r="1438" hidden="1" x14ac:dyDescent="0.2"/>
    <row r="1439" hidden="1" x14ac:dyDescent="0.2"/>
    <row r="1440" hidden="1" x14ac:dyDescent="0.2"/>
    <row r="1441" hidden="1" x14ac:dyDescent="0.2"/>
    <row r="1442" hidden="1" x14ac:dyDescent="0.2"/>
    <row r="1443" hidden="1" x14ac:dyDescent="0.2"/>
    <row r="1444" hidden="1" x14ac:dyDescent="0.2"/>
    <row r="1445" hidden="1" x14ac:dyDescent="0.2"/>
    <row r="1446" hidden="1" x14ac:dyDescent="0.2"/>
    <row r="1447" hidden="1" x14ac:dyDescent="0.2"/>
    <row r="1448" hidden="1" x14ac:dyDescent="0.2"/>
    <row r="1449" hidden="1" x14ac:dyDescent="0.2"/>
    <row r="1450" hidden="1" x14ac:dyDescent="0.2"/>
    <row r="1451" hidden="1" x14ac:dyDescent="0.2"/>
    <row r="1452" hidden="1" x14ac:dyDescent="0.2"/>
    <row r="1453" hidden="1" x14ac:dyDescent="0.2"/>
    <row r="1454" hidden="1" x14ac:dyDescent="0.2"/>
    <row r="1455" hidden="1" x14ac:dyDescent="0.2"/>
    <row r="1456" hidden="1" x14ac:dyDescent="0.2"/>
    <row r="1457" hidden="1" x14ac:dyDescent="0.2"/>
    <row r="1458" hidden="1" x14ac:dyDescent="0.2"/>
    <row r="1459" hidden="1" x14ac:dyDescent="0.2"/>
    <row r="1460" hidden="1" x14ac:dyDescent="0.2"/>
    <row r="1461" hidden="1" x14ac:dyDescent="0.2"/>
    <row r="1462" hidden="1" x14ac:dyDescent="0.2"/>
    <row r="1463" hidden="1" x14ac:dyDescent="0.2"/>
    <row r="1464" hidden="1" x14ac:dyDescent="0.2"/>
    <row r="1465" hidden="1" x14ac:dyDescent="0.2"/>
    <row r="1466" hidden="1" x14ac:dyDescent="0.2"/>
    <row r="1467" hidden="1" x14ac:dyDescent="0.2"/>
    <row r="1468" hidden="1" x14ac:dyDescent="0.2"/>
    <row r="1469" hidden="1" x14ac:dyDescent="0.2"/>
    <row r="1470" hidden="1" x14ac:dyDescent="0.2"/>
    <row r="1471" hidden="1" x14ac:dyDescent="0.2"/>
    <row r="1472" hidden="1" x14ac:dyDescent="0.2"/>
    <row r="1473" hidden="1" x14ac:dyDescent="0.2"/>
    <row r="1474" hidden="1" x14ac:dyDescent="0.2"/>
    <row r="1475" hidden="1" x14ac:dyDescent="0.2"/>
    <row r="1476" hidden="1" x14ac:dyDescent="0.2"/>
    <row r="1477" hidden="1" x14ac:dyDescent="0.2"/>
    <row r="1478" hidden="1" x14ac:dyDescent="0.2"/>
    <row r="1479" hidden="1" x14ac:dyDescent="0.2"/>
    <row r="1480" hidden="1" x14ac:dyDescent="0.2"/>
    <row r="1481" hidden="1" x14ac:dyDescent="0.2"/>
    <row r="1482" hidden="1" x14ac:dyDescent="0.2"/>
    <row r="1483" hidden="1" x14ac:dyDescent="0.2"/>
    <row r="1484" hidden="1" x14ac:dyDescent="0.2"/>
    <row r="1485" hidden="1" x14ac:dyDescent="0.2"/>
    <row r="1486" hidden="1" x14ac:dyDescent="0.2"/>
    <row r="1487" hidden="1" x14ac:dyDescent="0.2"/>
    <row r="1488" hidden="1" x14ac:dyDescent="0.2"/>
    <row r="1489" hidden="1" x14ac:dyDescent="0.2"/>
    <row r="1490" hidden="1" x14ac:dyDescent="0.2"/>
    <row r="1491" hidden="1" x14ac:dyDescent="0.2"/>
    <row r="1492" hidden="1" x14ac:dyDescent="0.2"/>
    <row r="1493" hidden="1" x14ac:dyDescent="0.2"/>
    <row r="1494" hidden="1" x14ac:dyDescent="0.2"/>
    <row r="1495" hidden="1" x14ac:dyDescent="0.2"/>
    <row r="1496" hidden="1" x14ac:dyDescent="0.2"/>
    <row r="1497" hidden="1" x14ac:dyDescent="0.2"/>
    <row r="1498" hidden="1" x14ac:dyDescent="0.2"/>
    <row r="1499" hidden="1" x14ac:dyDescent="0.2"/>
    <row r="1500" hidden="1" x14ac:dyDescent="0.2"/>
    <row r="1501" hidden="1" x14ac:dyDescent="0.2"/>
    <row r="1502" hidden="1" x14ac:dyDescent="0.2"/>
    <row r="1503" hidden="1" x14ac:dyDescent="0.2"/>
    <row r="1504" hidden="1" x14ac:dyDescent="0.2"/>
    <row r="1505" hidden="1" x14ac:dyDescent="0.2"/>
    <row r="1506" hidden="1" x14ac:dyDescent="0.2"/>
    <row r="1507" hidden="1" x14ac:dyDescent="0.2"/>
    <row r="1508" hidden="1" x14ac:dyDescent="0.2"/>
    <row r="1509" hidden="1" x14ac:dyDescent="0.2"/>
    <row r="1510" hidden="1" x14ac:dyDescent="0.2"/>
    <row r="1511" hidden="1" x14ac:dyDescent="0.2"/>
    <row r="1512" hidden="1" x14ac:dyDescent="0.2"/>
    <row r="1513" hidden="1" x14ac:dyDescent="0.2"/>
    <row r="1514" hidden="1" x14ac:dyDescent="0.2"/>
    <row r="1515" hidden="1" x14ac:dyDescent="0.2"/>
    <row r="1516" hidden="1" x14ac:dyDescent="0.2"/>
    <row r="1517" hidden="1" x14ac:dyDescent="0.2"/>
    <row r="1518" hidden="1" x14ac:dyDescent="0.2"/>
    <row r="1519" hidden="1" x14ac:dyDescent="0.2"/>
    <row r="1520" hidden="1" x14ac:dyDescent="0.2"/>
    <row r="1521" hidden="1" x14ac:dyDescent="0.2"/>
    <row r="1522" hidden="1" x14ac:dyDescent="0.2"/>
    <row r="1523" hidden="1" x14ac:dyDescent="0.2"/>
    <row r="1524" hidden="1" x14ac:dyDescent="0.2"/>
    <row r="1525" hidden="1" x14ac:dyDescent="0.2"/>
    <row r="1526" hidden="1" x14ac:dyDescent="0.2"/>
    <row r="1527" hidden="1" x14ac:dyDescent="0.2"/>
    <row r="1528" hidden="1" x14ac:dyDescent="0.2"/>
    <row r="1529" hidden="1" x14ac:dyDescent="0.2"/>
    <row r="1530" hidden="1" x14ac:dyDescent="0.2"/>
    <row r="1531" hidden="1" x14ac:dyDescent="0.2"/>
    <row r="1532" hidden="1" x14ac:dyDescent="0.2"/>
    <row r="1533" hidden="1" x14ac:dyDescent="0.2"/>
    <row r="1534" hidden="1" x14ac:dyDescent="0.2"/>
    <row r="1535" hidden="1" x14ac:dyDescent="0.2"/>
    <row r="1536" hidden="1" x14ac:dyDescent="0.2"/>
    <row r="1537" hidden="1" x14ac:dyDescent="0.2"/>
    <row r="1538" hidden="1" x14ac:dyDescent="0.2"/>
    <row r="1539" hidden="1" x14ac:dyDescent="0.2"/>
    <row r="1540" hidden="1" x14ac:dyDescent="0.2"/>
    <row r="1541" hidden="1" x14ac:dyDescent="0.2"/>
    <row r="1542" hidden="1" x14ac:dyDescent="0.2"/>
    <row r="1543" hidden="1" x14ac:dyDescent="0.2"/>
    <row r="1544" hidden="1" x14ac:dyDescent="0.2"/>
    <row r="1545" hidden="1" x14ac:dyDescent="0.2"/>
    <row r="1546" hidden="1" x14ac:dyDescent="0.2"/>
    <row r="1547" hidden="1" x14ac:dyDescent="0.2"/>
    <row r="1548" hidden="1" x14ac:dyDescent="0.2"/>
    <row r="1549" hidden="1" x14ac:dyDescent="0.2"/>
    <row r="1550" hidden="1" x14ac:dyDescent="0.2"/>
    <row r="1551" hidden="1" x14ac:dyDescent="0.2"/>
    <row r="1552" hidden="1" x14ac:dyDescent="0.2"/>
    <row r="1553" hidden="1" x14ac:dyDescent="0.2"/>
    <row r="1554" hidden="1" x14ac:dyDescent="0.2"/>
    <row r="1555" hidden="1" x14ac:dyDescent="0.2"/>
    <row r="1556" hidden="1" x14ac:dyDescent="0.2"/>
    <row r="1557" hidden="1" x14ac:dyDescent="0.2"/>
    <row r="1558" hidden="1" x14ac:dyDescent="0.2"/>
    <row r="1559" hidden="1" x14ac:dyDescent="0.2"/>
    <row r="1560" hidden="1" x14ac:dyDescent="0.2"/>
    <row r="1561" hidden="1" x14ac:dyDescent="0.2"/>
    <row r="1562" hidden="1" x14ac:dyDescent="0.2"/>
    <row r="1563" hidden="1" x14ac:dyDescent="0.2"/>
    <row r="1564" hidden="1" x14ac:dyDescent="0.2"/>
    <row r="1565" hidden="1" x14ac:dyDescent="0.2"/>
    <row r="1566" hidden="1" x14ac:dyDescent="0.2"/>
    <row r="1567" hidden="1" x14ac:dyDescent="0.2"/>
    <row r="1568" hidden="1" x14ac:dyDescent="0.2"/>
    <row r="1569" hidden="1" x14ac:dyDescent="0.2"/>
    <row r="1570" hidden="1" x14ac:dyDescent="0.2"/>
    <row r="1571" hidden="1" x14ac:dyDescent="0.2"/>
    <row r="1572" hidden="1" x14ac:dyDescent="0.2"/>
    <row r="1573" hidden="1" x14ac:dyDescent="0.2"/>
    <row r="1574" hidden="1" x14ac:dyDescent="0.2"/>
    <row r="1575" hidden="1" x14ac:dyDescent="0.2"/>
    <row r="1576" hidden="1" x14ac:dyDescent="0.2"/>
    <row r="1577" hidden="1" x14ac:dyDescent="0.2"/>
    <row r="1578" hidden="1" x14ac:dyDescent="0.2"/>
    <row r="1579" hidden="1" x14ac:dyDescent="0.2"/>
    <row r="1580" hidden="1" x14ac:dyDescent="0.2"/>
    <row r="1581" hidden="1" x14ac:dyDescent="0.2"/>
    <row r="1582" hidden="1" x14ac:dyDescent="0.2"/>
    <row r="1583" hidden="1" x14ac:dyDescent="0.2"/>
    <row r="1584" hidden="1" x14ac:dyDescent="0.2"/>
    <row r="1585" hidden="1" x14ac:dyDescent="0.2"/>
    <row r="1586" hidden="1" x14ac:dyDescent="0.2"/>
    <row r="1587" hidden="1" x14ac:dyDescent="0.2"/>
    <row r="1588" hidden="1" x14ac:dyDescent="0.2"/>
    <row r="1589" hidden="1" x14ac:dyDescent="0.2"/>
    <row r="1590" hidden="1" x14ac:dyDescent="0.2"/>
    <row r="1591" hidden="1" x14ac:dyDescent="0.2"/>
    <row r="1592" hidden="1" x14ac:dyDescent="0.2"/>
    <row r="1593" hidden="1" x14ac:dyDescent="0.2"/>
    <row r="1594" hidden="1" x14ac:dyDescent="0.2"/>
    <row r="1595" hidden="1" x14ac:dyDescent="0.2"/>
    <row r="1596" hidden="1" x14ac:dyDescent="0.2"/>
    <row r="1597" hidden="1" x14ac:dyDescent="0.2"/>
    <row r="1598" hidden="1" x14ac:dyDescent="0.2"/>
    <row r="1599" hidden="1" x14ac:dyDescent="0.2"/>
    <row r="1600" hidden="1" x14ac:dyDescent="0.2"/>
    <row r="1601" hidden="1" x14ac:dyDescent="0.2"/>
    <row r="1602" hidden="1" x14ac:dyDescent="0.2"/>
    <row r="1603" hidden="1" x14ac:dyDescent="0.2"/>
    <row r="1604" hidden="1" x14ac:dyDescent="0.2"/>
    <row r="1605" hidden="1" x14ac:dyDescent="0.2"/>
    <row r="1606" hidden="1" x14ac:dyDescent="0.2"/>
    <row r="1607" hidden="1" x14ac:dyDescent="0.2"/>
    <row r="1608" hidden="1" x14ac:dyDescent="0.2"/>
    <row r="1609" hidden="1" x14ac:dyDescent="0.2"/>
    <row r="1610" hidden="1" x14ac:dyDescent="0.2"/>
    <row r="1611" hidden="1" x14ac:dyDescent="0.2"/>
    <row r="1612" hidden="1" x14ac:dyDescent="0.2"/>
    <row r="1613" hidden="1" x14ac:dyDescent="0.2"/>
    <row r="1614" hidden="1" x14ac:dyDescent="0.2"/>
    <row r="1615" hidden="1" x14ac:dyDescent="0.2"/>
    <row r="1616" hidden="1" x14ac:dyDescent="0.2"/>
    <row r="1617" hidden="1" x14ac:dyDescent="0.2"/>
    <row r="1618" hidden="1" x14ac:dyDescent="0.2"/>
    <row r="1619" hidden="1" x14ac:dyDescent="0.2"/>
    <row r="1620" hidden="1" x14ac:dyDescent="0.2"/>
    <row r="1621" hidden="1" x14ac:dyDescent="0.2"/>
    <row r="1622" hidden="1" x14ac:dyDescent="0.2"/>
    <row r="1623" hidden="1" x14ac:dyDescent="0.2"/>
    <row r="1624" hidden="1" x14ac:dyDescent="0.2"/>
    <row r="1625" hidden="1" x14ac:dyDescent="0.2"/>
    <row r="1626" hidden="1" x14ac:dyDescent="0.2"/>
    <row r="1627" hidden="1" x14ac:dyDescent="0.2"/>
    <row r="1628" hidden="1" x14ac:dyDescent="0.2"/>
    <row r="1629" hidden="1" x14ac:dyDescent="0.2"/>
    <row r="1630" hidden="1" x14ac:dyDescent="0.2"/>
    <row r="1631" hidden="1" x14ac:dyDescent="0.2"/>
    <row r="1632" hidden="1" x14ac:dyDescent="0.2"/>
    <row r="1633" hidden="1" x14ac:dyDescent="0.2"/>
    <row r="1634" hidden="1" x14ac:dyDescent="0.2"/>
    <row r="1635" hidden="1" x14ac:dyDescent="0.2"/>
    <row r="1636" hidden="1" x14ac:dyDescent="0.2"/>
    <row r="1637" hidden="1" x14ac:dyDescent="0.2"/>
    <row r="1638" hidden="1" x14ac:dyDescent="0.2"/>
    <row r="1639" hidden="1" x14ac:dyDescent="0.2"/>
    <row r="1640" hidden="1" x14ac:dyDescent="0.2"/>
    <row r="1641" hidden="1" x14ac:dyDescent="0.2"/>
    <row r="1642" hidden="1" x14ac:dyDescent="0.2"/>
    <row r="1643" hidden="1" x14ac:dyDescent="0.2"/>
    <row r="1644" hidden="1" x14ac:dyDescent="0.2"/>
    <row r="1645" hidden="1" x14ac:dyDescent="0.2"/>
    <row r="1646" hidden="1" x14ac:dyDescent="0.2"/>
    <row r="1647" hidden="1" x14ac:dyDescent="0.2"/>
    <row r="1648" hidden="1" x14ac:dyDescent="0.2"/>
    <row r="1649" hidden="1" x14ac:dyDescent="0.2"/>
    <row r="1650" hidden="1" x14ac:dyDescent="0.2"/>
    <row r="1651" hidden="1" x14ac:dyDescent="0.2"/>
    <row r="1652" hidden="1" x14ac:dyDescent="0.2"/>
    <row r="1653" hidden="1" x14ac:dyDescent="0.2"/>
    <row r="1654" hidden="1" x14ac:dyDescent="0.2"/>
    <row r="1655" hidden="1" x14ac:dyDescent="0.2"/>
    <row r="1656" hidden="1" x14ac:dyDescent="0.2"/>
    <row r="1657" hidden="1" x14ac:dyDescent="0.2"/>
    <row r="1658" hidden="1" x14ac:dyDescent="0.2"/>
    <row r="1659" hidden="1" x14ac:dyDescent="0.2"/>
    <row r="1660" hidden="1" x14ac:dyDescent="0.2"/>
    <row r="1661" hidden="1" x14ac:dyDescent="0.2"/>
    <row r="1662" hidden="1" x14ac:dyDescent="0.2"/>
    <row r="1663" hidden="1" x14ac:dyDescent="0.2"/>
    <row r="1664" hidden="1" x14ac:dyDescent="0.2"/>
    <row r="1665" hidden="1" x14ac:dyDescent="0.2"/>
    <row r="1666" hidden="1" x14ac:dyDescent="0.2"/>
    <row r="1667" hidden="1" x14ac:dyDescent="0.2"/>
    <row r="1668" hidden="1" x14ac:dyDescent="0.2"/>
    <row r="1669" hidden="1" x14ac:dyDescent="0.2"/>
    <row r="1670" hidden="1" x14ac:dyDescent="0.2"/>
    <row r="1671" hidden="1" x14ac:dyDescent="0.2"/>
    <row r="1672" hidden="1" x14ac:dyDescent="0.2"/>
    <row r="1673" hidden="1" x14ac:dyDescent="0.2"/>
    <row r="1674" hidden="1" x14ac:dyDescent="0.2"/>
    <row r="1675" hidden="1" x14ac:dyDescent="0.2"/>
    <row r="1676" hidden="1" x14ac:dyDescent="0.2"/>
    <row r="1677" hidden="1" x14ac:dyDescent="0.2"/>
    <row r="1678" hidden="1" x14ac:dyDescent="0.2"/>
    <row r="1679" hidden="1" x14ac:dyDescent="0.2"/>
    <row r="1680" hidden="1" x14ac:dyDescent="0.2"/>
    <row r="1681" hidden="1" x14ac:dyDescent="0.2"/>
    <row r="1682" hidden="1" x14ac:dyDescent="0.2"/>
    <row r="1683" hidden="1" x14ac:dyDescent="0.2"/>
    <row r="1684" hidden="1" x14ac:dyDescent="0.2"/>
    <row r="1685" hidden="1" x14ac:dyDescent="0.2"/>
    <row r="1686" hidden="1" x14ac:dyDescent="0.2"/>
    <row r="1687" hidden="1" x14ac:dyDescent="0.2"/>
    <row r="1688" hidden="1" x14ac:dyDescent="0.2"/>
    <row r="1689" hidden="1" x14ac:dyDescent="0.2"/>
    <row r="1690" hidden="1" x14ac:dyDescent="0.2"/>
    <row r="1691" hidden="1" x14ac:dyDescent="0.2"/>
    <row r="1692" hidden="1" x14ac:dyDescent="0.2"/>
    <row r="1693" hidden="1" x14ac:dyDescent="0.2"/>
    <row r="1694" hidden="1" x14ac:dyDescent="0.2"/>
    <row r="1695" hidden="1" x14ac:dyDescent="0.2"/>
    <row r="1696" hidden="1" x14ac:dyDescent="0.2"/>
    <row r="1697" hidden="1" x14ac:dyDescent="0.2"/>
    <row r="1698" hidden="1" x14ac:dyDescent="0.2"/>
    <row r="1699" hidden="1" x14ac:dyDescent="0.2"/>
    <row r="1700" hidden="1" x14ac:dyDescent="0.2"/>
    <row r="1701" hidden="1" x14ac:dyDescent="0.2"/>
    <row r="1702" hidden="1" x14ac:dyDescent="0.2"/>
    <row r="1703" hidden="1" x14ac:dyDescent="0.2"/>
    <row r="1704" hidden="1" x14ac:dyDescent="0.2"/>
    <row r="1705" hidden="1" x14ac:dyDescent="0.2"/>
    <row r="1706" hidden="1" x14ac:dyDescent="0.2"/>
    <row r="1707" hidden="1" x14ac:dyDescent="0.2"/>
    <row r="1708" hidden="1" x14ac:dyDescent="0.2"/>
    <row r="1709" hidden="1" x14ac:dyDescent="0.2"/>
    <row r="1710" hidden="1" x14ac:dyDescent="0.2"/>
    <row r="1711" hidden="1" x14ac:dyDescent="0.2"/>
    <row r="1712" hidden="1" x14ac:dyDescent="0.2"/>
    <row r="1713" hidden="1" x14ac:dyDescent="0.2"/>
    <row r="1714" hidden="1" x14ac:dyDescent="0.2"/>
    <row r="1715" hidden="1" x14ac:dyDescent="0.2"/>
    <row r="1716" hidden="1" x14ac:dyDescent="0.2"/>
    <row r="1717" hidden="1" x14ac:dyDescent="0.2"/>
    <row r="1718" hidden="1" x14ac:dyDescent="0.2"/>
    <row r="1719" hidden="1" x14ac:dyDescent="0.2"/>
    <row r="1720" hidden="1" x14ac:dyDescent="0.2"/>
    <row r="1721" hidden="1" x14ac:dyDescent="0.2"/>
    <row r="1722" hidden="1" x14ac:dyDescent="0.2"/>
    <row r="1723" hidden="1" x14ac:dyDescent="0.2"/>
    <row r="1724" hidden="1" x14ac:dyDescent="0.2"/>
    <row r="1725" hidden="1" x14ac:dyDescent="0.2"/>
    <row r="1726" hidden="1" x14ac:dyDescent="0.2"/>
    <row r="1727" hidden="1" x14ac:dyDescent="0.2"/>
    <row r="1728" hidden="1" x14ac:dyDescent="0.2"/>
    <row r="1729" hidden="1" x14ac:dyDescent="0.2"/>
    <row r="1730" hidden="1" x14ac:dyDescent="0.2"/>
    <row r="1731" hidden="1" x14ac:dyDescent="0.2"/>
    <row r="1732" hidden="1" x14ac:dyDescent="0.2"/>
    <row r="1733" hidden="1" x14ac:dyDescent="0.2"/>
    <row r="1734" hidden="1" x14ac:dyDescent="0.2"/>
    <row r="1735" hidden="1" x14ac:dyDescent="0.2"/>
    <row r="1736" hidden="1" x14ac:dyDescent="0.2"/>
    <row r="1737" hidden="1" x14ac:dyDescent="0.2"/>
    <row r="1738" hidden="1" x14ac:dyDescent="0.2"/>
    <row r="1739" hidden="1" x14ac:dyDescent="0.2"/>
    <row r="1740" hidden="1" x14ac:dyDescent="0.2"/>
    <row r="1741" hidden="1" x14ac:dyDescent="0.2"/>
    <row r="1742" hidden="1" x14ac:dyDescent="0.2"/>
    <row r="1743" hidden="1" x14ac:dyDescent="0.2"/>
    <row r="1744" hidden="1" x14ac:dyDescent="0.2"/>
    <row r="1745" hidden="1" x14ac:dyDescent="0.2"/>
    <row r="1746" hidden="1" x14ac:dyDescent="0.2"/>
    <row r="1747" hidden="1" x14ac:dyDescent="0.2"/>
    <row r="1748" hidden="1" x14ac:dyDescent="0.2"/>
    <row r="1749" hidden="1" x14ac:dyDescent="0.2"/>
    <row r="1750" hidden="1" x14ac:dyDescent="0.2"/>
    <row r="1751" hidden="1" x14ac:dyDescent="0.2"/>
    <row r="1752" hidden="1" x14ac:dyDescent="0.2"/>
    <row r="1753" hidden="1" x14ac:dyDescent="0.2"/>
    <row r="1754" hidden="1" x14ac:dyDescent="0.2"/>
    <row r="1755" hidden="1" x14ac:dyDescent="0.2"/>
    <row r="1756" hidden="1" x14ac:dyDescent="0.2"/>
    <row r="1757" hidden="1" x14ac:dyDescent="0.2"/>
    <row r="1758" hidden="1" x14ac:dyDescent="0.2"/>
    <row r="1759" hidden="1" x14ac:dyDescent="0.2"/>
    <row r="1760" hidden="1" x14ac:dyDescent="0.2"/>
    <row r="1761" hidden="1" x14ac:dyDescent="0.2"/>
    <row r="1762" hidden="1" x14ac:dyDescent="0.2"/>
    <row r="1763" hidden="1" x14ac:dyDescent="0.2"/>
    <row r="1764" hidden="1" x14ac:dyDescent="0.2"/>
    <row r="1765" hidden="1" x14ac:dyDescent="0.2"/>
    <row r="1766" hidden="1" x14ac:dyDescent="0.2"/>
    <row r="1767" hidden="1" x14ac:dyDescent="0.2"/>
    <row r="1768" hidden="1" x14ac:dyDescent="0.2"/>
    <row r="1769" hidden="1" x14ac:dyDescent="0.2"/>
    <row r="1770" hidden="1" x14ac:dyDescent="0.2"/>
    <row r="1771" hidden="1" x14ac:dyDescent="0.2"/>
    <row r="1772" hidden="1" x14ac:dyDescent="0.2"/>
    <row r="1773" hidden="1" x14ac:dyDescent="0.2"/>
    <row r="1774" hidden="1" x14ac:dyDescent="0.2"/>
    <row r="1775" hidden="1" x14ac:dyDescent="0.2"/>
    <row r="1776" hidden="1" x14ac:dyDescent="0.2"/>
    <row r="1777" hidden="1" x14ac:dyDescent="0.2"/>
    <row r="1778" hidden="1" x14ac:dyDescent="0.2"/>
    <row r="1779" hidden="1" x14ac:dyDescent="0.2"/>
    <row r="1780" hidden="1" x14ac:dyDescent="0.2"/>
    <row r="1781" hidden="1" x14ac:dyDescent="0.2"/>
    <row r="1782" hidden="1" x14ac:dyDescent="0.2"/>
    <row r="1783" hidden="1" x14ac:dyDescent="0.2"/>
    <row r="1784" hidden="1" x14ac:dyDescent="0.2"/>
    <row r="1785" hidden="1" x14ac:dyDescent="0.2"/>
    <row r="1786" hidden="1" x14ac:dyDescent="0.2"/>
    <row r="1787" hidden="1" x14ac:dyDescent="0.2"/>
    <row r="1788" hidden="1" x14ac:dyDescent="0.2"/>
    <row r="1789" hidden="1" x14ac:dyDescent="0.2"/>
    <row r="1790" hidden="1" x14ac:dyDescent="0.2"/>
    <row r="1791" hidden="1" x14ac:dyDescent="0.2"/>
    <row r="1792" hidden="1" x14ac:dyDescent="0.2"/>
    <row r="1793" hidden="1" x14ac:dyDescent="0.2"/>
    <row r="1794" hidden="1" x14ac:dyDescent="0.2"/>
    <row r="1795" hidden="1" x14ac:dyDescent="0.2"/>
    <row r="1796" hidden="1" x14ac:dyDescent="0.2"/>
    <row r="1797" hidden="1" x14ac:dyDescent="0.2"/>
    <row r="1798" hidden="1" x14ac:dyDescent="0.2"/>
    <row r="1799" hidden="1" x14ac:dyDescent="0.2"/>
    <row r="1800" hidden="1" x14ac:dyDescent="0.2"/>
    <row r="1801" hidden="1" x14ac:dyDescent="0.2"/>
    <row r="1802" hidden="1" x14ac:dyDescent="0.2"/>
    <row r="1803" hidden="1" x14ac:dyDescent="0.2"/>
    <row r="1804" hidden="1" x14ac:dyDescent="0.2"/>
    <row r="1805" hidden="1" x14ac:dyDescent="0.2"/>
    <row r="1806" hidden="1" x14ac:dyDescent="0.2"/>
    <row r="1807" hidden="1" x14ac:dyDescent="0.2"/>
    <row r="1808" hidden="1" x14ac:dyDescent="0.2"/>
    <row r="1809" hidden="1" x14ac:dyDescent="0.2"/>
    <row r="1810" hidden="1" x14ac:dyDescent="0.2"/>
    <row r="1811" hidden="1" x14ac:dyDescent="0.2"/>
    <row r="1812" hidden="1" x14ac:dyDescent="0.2"/>
    <row r="1813" hidden="1" x14ac:dyDescent="0.2"/>
    <row r="1814" hidden="1" x14ac:dyDescent="0.2"/>
    <row r="1815" hidden="1" x14ac:dyDescent="0.2"/>
    <row r="1816" hidden="1" x14ac:dyDescent="0.2"/>
    <row r="1817" hidden="1" x14ac:dyDescent="0.2"/>
    <row r="1818" hidden="1" x14ac:dyDescent="0.2"/>
    <row r="1819" hidden="1" x14ac:dyDescent="0.2"/>
    <row r="1820" hidden="1" x14ac:dyDescent="0.2"/>
    <row r="1821" hidden="1" x14ac:dyDescent="0.2"/>
    <row r="1822" hidden="1" x14ac:dyDescent="0.2"/>
    <row r="1823" hidden="1" x14ac:dyDescent="0.2"/>
    <row r="1824" hidden="1" x14ac:dyDescent="0.2"/>
    <row r="1825" hidden="1" x14ac:dyDescent="0.2"/>
    <row r="1826" hidden="1" x14ac:dyDescent="0.2"/>
    <row r="1827" hidden="1" x14ac:dyDescent="0.2"/>
    <row r="1828" hidden="1" x14ac:dyDescent="0.2"/>
    <row r="1829" hidden="1" x14ac:dyDescent="0.2"/>
    <row r="1830" hidden="1" x14ac:dyDescent="0.2"/>
    <row r="1831" hidden="1" x14ac:dyDescent="0.2"/>
    <row r="1832" hidden="1" x14ac:dyDescent="0.2"/>
    <row r="1833" hidden="1" x14ac:dyDescent="0.2"/>
    <row r="1834" hidden="1" x14ac:dyDescent="0.2"/>
    <row r="1835" hidden="1" x14ac:dyDescent="0.2"/>
    <row r="1836" hidden="1" x14ac:dyDescent="0.2"/>
    <row r="1837" hidden="1" x14ac:dyDescent="0.2"/>
    <row r="1838" hidden="1" x14ac:dyDescent="0.2"/>
    <row r="1839" hidden="1" x14ac:dyDescent="0.2"/>
    <row r="1840" hidden="1" x14ac:dyDescent="0.2"/>
    <row r="1841" hidden="1" x14ac:dyDescent="0.2"/>
    <row r="1842" hidden="1" x14ac:dyDescent="0.2"/>
    <row r="1843" hidden="1" x14ac:dyDescent="0.2"/>
    <row r="1844" hidden="1" x14ac:dyDescent="0.2"/>
    <row r="1845" hidden="1" x14ac:dyDescent="0.2"/>
    <row r="1846" hidden="1" x14ac:dyDescent="0.2"/>
    <row r="1847" hidden="1" x14ac:dyDescent="0.2"/>
    <row r="1848" hidden="1" x14ac:dyDescent="0.2"/>
    <row r="1849" hidden="1" x14ac:dyDescent="0.2"/>
    <row r="1850" hidden="1" x14ac:dyDescent="0.2"/>
    <row r="1851" hidden="1" x14ac:dyDescent="0.2"/>
    <row r="1852" hidden="1" x14ac:dyDescent="0.2"/>
    <row r="1853" hidden="1" x14ac:dyDescent="0.2"/>
    <row r="1854" hidden="1" x14ac:dyDescent="0.2"/>
    <row r="1855" hidden="1" x14ac:dyDescent="0.2"/>
    <row r="1856" hidden="1" x14ac:dyDescent="0.2"/>
    <row r="1857" hidden="1" x14ac:dyDescent="0.2"/>
    <row r="1858" hidden="1" x14ac:dyDescent="0.2"/>
    <row r="1859" hidden="1" x14ac:dyDescent="0.2"/>
    <row r="1860" hidden="1" x14ac:dyDescent="0.2"/>
    <row r="1861" hidden="1" x14ac:dyDescent="0.2"/>
    <row r="1862" hidden="1" x14ac:dyDescent="0.2"/>
    <row r="1863" hidden="1" x14ac:dyDescent="0.2"/>
    <row r="1864" hidden="1" x14ac:dyDescent="0.2"/>
    <row r="1865" hidden="1" x14ac:dyDescent="0.2"/>
    <row r="1866" hidden="1" x14ac:dyDescent="0.2"/>
    <row r="1867" hidden="1" x14ac:dyDescent="0.2"/>
    <row r="1868" hidden="1" x14ac:dyDescent="0.2"/>
    <row r="1869" hidden="1" x14ac:dyDescent="0.2"/>
    <row r="1870" hidden="1" x14ac:dyDescent="0.2"/>
    <row r="1871" hidden="1" x14ac:dyDescent="0.2"/>
    <row r="1872" hidden="1" x14ac:dyDescent="0.2"/>
    <row r="1873" hidden="1" x14ac:dyDescent="0.2"/>
    <row r="1874" hidden="1" x14ac:dyDescent="0.2"/>
    <row r="1875" hidden="1" x14ac:dyDescent="0.2"/>
    <row r="1876" hidden="1" x14ac:dyDescent="0.2"/>
    <row r="1877" hidden="1" x14ac:dyDescent="0.2"/>
    <row r="1878" hidden="1" x14ac:dyDescent="0.2"/>
    <row r="1879" hidden="1" x14ac:dyDescent="0.2"/>
    <row r="1880" hidden="1" x14ac:dyDescent="0.2"/>
    <row r="1881" hidden="1" x14ac:dyDescent="0.2"/>
    <row r="1882" hidden="1" x14ac:dyDescent="0.2"/>
    <row r="1883" hidden="1" x14ac:dyDescent="0.2"/>
    <row r="1884" hidden="1" x14ac:dyDescent="0.2"/>
    <row r="1885" hidden="1" x14ac:dyDescent="0.2"/>
    <row r="1886" hidden="1" x14ac:dyDescent="0.2"/>
    <row r="1887" hidden="1" x14ac:dyDescent="0.2"/>
    <row r="1888" hidden="1" x14ac:dyDescent="0.2"/>
    <row r="1889" hidden="1" x14ac:dyDescent="0.2"/>
    <row r="1890" hidden="1" x14ac:dyDescent="0.2"/>
    <row r="1891" hidden="1" x14ac:dyDescent="0.2"/>
    <row r="1892" hidden="1" x14ac:dyDescent="0.2"/>
    <row r="1893" hidden="1" x14ac:dyDescent="0.2"/>
    <row r="1894" hidden="1" x14ac:dyDescent="0.2"/>
    <row r="1895" hidden="1" x14ac:dyDescent="0.2"/>
    <row r="1896" hidden="1" x14ac:dyDescent="0.2"/>
    <row r="1897" hidden="1" x14ac:dyDescent="0.2"/>
    <row r="1898" hidden="1" x14ac:dyDescent="0.2"/>
    <row r="1899" hidden="1" x14ac:dyDescent="0.2"/>
    <row r="1900" hidden="1" x14ac:dyDescent="0.2"/>
    <row r="1901" hidden="1" x14ac:dyDescent="0.2"/>
    <row r="1902" hidden="1" x14ac:dyDescent="0.2"/>
    <row r="1903" hidden="1" x14ac:dyDescent="0.2"/>
    <row r="1904" hidden="1" x14ac:dyDescent="0.2"/>
    <row r="1905" hidden="1" x14ac:dyDescent="0.2"/>
    <row r="1906" hidden="1" x14ac:dyDescent="0.2"/>
    <row r="1907" hidden="1" x14ac:dyDescent="0.2"/>
    <row r="1908" hidden="1" x14ac:dyDescent="0.2"/>
    <row r="1909" hidden="1" x14ac:dyDescent="0.2"/>
    <row r="1910" hidden="1" x14ac:dyDescent="0.2"/>
    <row r="1911" hidden="1" x14ac:dyDescent="0.2"/>
    <row r="1912" hidden="1" x14ac:dyDescent="0.2"/>
    <row r="1913" hidden="1" x14ac:dyDescent="0.2"/>
    <row r="1914" hidden="1" x14ac:dyDescent="0.2"/>
    <row r="1915" hidden="1" x14ac:dyDescent="0.2"/>
    <row r="1916" hidden="1" x14ac:dyDescent="0.2"/>
    <row r="1917" hidden="1" x14ac:dyDescent="0.2"/>
    <row r="1918" hidden="1" x14ac:dyDescent="0.2"/>
    <row r="1919" hidden="1" x14ac:dyDescent="0.2"/>
    <row r="1920" hidden="1" x14ac:dyDescent="0.2"/>
    <row r="1921" hidden="1" x14ac:dyDescent="0.2"/>
    <row r="1922" hidden="1" x14ac:dyDescent="0.2"/>
    <row r="1923" hidden="1" x14ac:dyDescent="0.2"/>
    <row r="1924" hidden="1" x14ac:dyDescent="0.2"/>
    <row r="1925" hidden="1" x14ac:dyDescent="0.2"/>
    <row r="1926" hidden="1" x14ac:dyDescent="0.2"/>
    <row r="1927" hidden="1" x14ac:dyDescent="0.2"/>
    <row r="1928" hidden="1" x14ac:dyDescent="0.2"/>
    <row r="1929" hidden="1" x14ac:dyDescent="0.2"/>
    <row r="1930" hidden="1" x14ac:dyDescent="0.2"/>
    <row r="1931" hidden="1" x14ac:dyDescent="0.2"/>
    <row r="1932" hidden="1" x14ac:dyDescent="0.2"/>
    <row r="1933" hidden="1" x14ac:dyDescent="0.2"/>
    <row r="1934" hidden="1" x14ac:dyDescent="0.2"/>
    <row r="1935" hidden="1" x14ac:dyDescent="0.2"/>
    <row r="1936" hidden="1" x14ac:dyDescent="0.2"/>
    <row r="1937" hidden="1" x14ac:dyDescent="0.2"/>
    <row r="1938" hidden="1" x14ac:dyDescent="0.2"/>
    <row r="1939" hidden="1" x14ac:dyDescent="0.2"/>
    <row r="1940" hidden="1" x14ac:dyDescent="0.2"/>
    <row r="1941" hidden="1" x14ac:dyDescent="0.2"/>
    <row r="1942" hidden="1" x14ac:dyDescent="0.2"/>
    <row r="1943" hidden="1" x14ac:dyDescent="0.2"/>
    <row r="1944" hidden="1" x14ac:dyDescent="0.2"/>
    <row r="1945" hidden="1" x14ac:dyDescent="0.2"/>
    <row r="1946" hidden="1" x14ac:dyDescent="0.2"/>
    <row r="1947" hidden="1" x14ac:dyDescent="0.2"/>
    <row r="1948" hidden="1" x14ac:dyDescent="0.2"/>
    <row r="1949" hidden="1" x14ac:dyDescent="0.2"/>
    <row r="1950" hidden="1" x14ac:dyDescent="0.2"/>
    <row r="1951" hidden="1" x14ac:dyDescent="0.2"/>
    <row r="1952" hidden="1" x14ac:dyDescent="0.2"/>
    <row r="1953" hidden="1" x14ac:dyDescent="0.2"/>
    <row r="1954" hidden="1" x14ac:dyDescent="0.2"/>
    <row r="1955" hidden="1" x14ac:dyDescent="0.2"/>
    <row r="1956" hidden="1" x14ac:dyDescent="0.2"/>
    <row r="1957" hidden="1" x14ac:dyDescent="0.2"/>
    <row r="1958" hidden="1" x14ac:dyDescent="0.2"/>
    <row r="1959" hidden="1" x14ac:dyDescent="0.2"/>
    <row r="1960" hidden="1" x14ac:dyDescent="0.2"/>
    <row r="1961" hidden="1" x14ac:dyDescent="0.2"/>
    <row r="1962" hidden="1" x14ac:dyDescent="0.2"/>
    <row r="1963" hidden="1" x14ac:dyDescent="0.2"/>
    <row r="1964" hidden="1" x14ac:dyDescent="0.2"/>
    <row r="1965" hidden="1" x14ac:dyDescent="0.2"/>
    <row r="1966" hidden="1" x14ac:dyDescent="0.2"/>
    <row r="1967" hidden="1" x14ac:dyDescent="0.2"/>
    <row r="1968" hidden="1" x14ac:dyDescent="0.2"/>
    <row r="1969" hidden="1" x14ac:dyDescent="0.2"/>
    <row r="1970" hidden="1" x14ac:dyDescent="0.2"/>
    <row r="1971" hidden="1" x14ac:dyDescent="0.2"/>
    <row r="1972" hidden="1" x14ac:dyDescent="0.2"/>
    <row r="1973" hidden="1" x14ac:dyDescent="0.2"/>
    <row r="1974" hidden="1" x14ac:dyDescent="0.2"/>
    <row r="1975" hidden="1" x14ac:dyDescent="0.2"/>
    <row r="1976" hidden="1" x14ac:dyDescent="0.2"/>
    <row r="1977" hidden="1" x14ac:dyDescent="0.2"/>
    <row r="1978" hidden="1" x14ac:dyDescent="0.2"/>
    <row r="1979" hidden="1" x14ac:dyDescent="0.2"/>
    <row r="1980" hidden="1" x14ac:dyDescent="0.2"/>
    <row r="1981" hidden="1" x14ac:dyDescent="0.2"/>
    <row r="1982" hidden="1" x14ac:dyDescent="0.2"/>
    <row r="1983" hidden="1" x14ac:dyDescent="0.2"/>
    <row r="1984" hidden="1" x14ac:dyDescent="0.2"/>
    <row r="1985" hidden="1" x14ac:dyDescent="0.2"/>
    <row r="1986" hidden="1" x14ac:dyDescent="0.2"/>
    <row r="1987" hidden="1" x14ac:dyDescent="0.2"/>
    <row r="1988" hidden="1" x14ac:dyDescent="0.2"/>
    <row r="1989" hidden="1" x14ac:dyDescent="0.2"/>
    <row r="1990" hidden="1" x14ac:dyDescent="0.2"/>
    <row r="1991" hidden="1" x14ac:dyDescent="0.2"/>
    <row r="1992" hidden="1" x14ac:dyDescent="0.2"/>
    <row r="1993" hidden="1" x14ac:dyDescent="0.2"/>
    <row r="1994" hidden="1" x14ac:dyDescent="0.2"/>
    <row r="1995" hidden="1" x14ac:dyDescent="0.2"/>
    <row r="1996" hidden="1" x14ac:dyDescent="0.2"/>
    <row r="1997" hidden="1" x14ac:dyDescent="0.2"/>
    <row r="1998" hidden="1" x14ac:dyDescent="0.2"/>
    <row r="1999" hidden="1" x14ac:dyDescent="0.2"/>
    <row r="2000" hidden="1" x14ac:dyDescent="0.2"/>
    <row r="2001" hidden="1" x14ac:dyDescent="0.2"/>
    <row r="2002" hidden="1" x14ac:dyDescent="0.2"/>
    <row r="2003" hidden="1" x14ac:dyDescent="0.2"/>
    <row r="2004" hidden="1" x14ac:dyDescent="0.2"/>
    <row r="2005" hidden="1" x14ac:dyDescent="0.2"/>
    <row r="2006" hidden="1" x14ac:dyDescent="0.2"/>
    <row r="2007" hidden="1" x14ac:dyDescent="0.2"/>
    <row r="2008" hidden="1" x14ac:dyDescent="0.2"/>
    <row r="2009" hidden="1" x14ac:dyDescent="0.2"/>
    <row r="2010" hidden="1" x14ac:dyDescent="0.2"/>
    <row r="2011" hidden="1" x14ac:dyDescent="0.2"/>
    <row r="2012" hidden="1" x14ac:dyDescent="0.2"/>
    <row r="2013" hidden="1" x14ac:dyDescent="0.2"/>
    <row r="2014" hidden="1" x14ac:dyDescent="0.2"/>
    <row r="2015" hidden="1" x14ac:dyDescent="0.2"/>
    <row r="2016" hidden="1" x14ac:dyDescent="0.2"/>
    <row r="2017" hidden="1" x14ac:dyDescent="0.2"/>
    <row r="2018" hidden="1" x14ac:dyDescent="0.2"/>
    <row r="2019" hidden="1" x14ac:dyDescent="0.2"/>
    <row r="2020" hidden="1" x14ac:dyDescent="0.2"/>
    <row r="2021" hidden="1" x14ac:dyDescent="0.2"/>
    <row r="2022" hidden="1" x14ac:dyDescent="0.2"/>
    <row r="2023" hidden="1" x14ac:dyDescent="0.2"/>
    <row r="2024" hidden="1" x14ac:dyDescent="0.2"/>
    <row r="2025" hidden="1" x14ac:dyDescent="0.2"/>
    <row r="2026" hidden="1" x14ac:dyDescent="0.2"/>
    <row r="2027" hidden="1" x14ac:dyDescent="0.2"/>
    <row r="2028" hidden="1" x14ac:dyDescent="0.2"/>
    <row r="2029" hidden="1" x14ac:dyDescent="0.2"/>
    <row r="2030" hidden="1" x14ac:dyDescent="0.2"/>
    <row r="2031" hidden="1" x14ac:dyDescent="0.2"/>
    <row r="2032" hidden="1" x14ac:dyDescent="0.2"/>
    <row r="2033" hidden="1" x14ac:dyDescent="0.2"/>
    <row r="2034" hidden="1" x14ac:dyDescent="0.2"/>
    <row r="2035" hidden="1" x14ac:dyDescent="0.2"/>
    <row r="2036" hidden="1" x14ac:dyDescent="0.2"/>
    <row r="2037" hidden="1" x14ac:dyDescent="0.2"/>
    <row r="2038" hidden="1" x14ac:dyDescent="0.2"/>
    <row r="2039" hidden="1" x14ac:dyDescent="0.2"/>
    <row r="2040" hidden="1" x14ac:dyDescent="0.2"/>
    <row r="2041" hidden="1" x14ac:dyDescent="0.2"/>
    <row r="2042" hidden="1" x14ac:dyDescent="0.2"/>
    <row r="2043" hidden="1" x14ac:dyDescent="0.2"/>
    <row r="2044" hidden="1" x14ac:dyDescent="0.2"/>
    <row r="2045" hidden="1" x14ac:dyDescent="0.2"/>
    <row r="2046" hidden="1" x14ac:dyDescent="0.2"/>
    <row r="2047" hidden="1" x14ac:dyDescent="0.2"/>
    <row r="2048" hidden="1" x14ac:dyDescent="0.2"/>
    <row r="2049" hidden="1" x14ac:dyDescent="0.2"/>
    <row r="2050" hidden="1" x14ac:dyDescent="0.2"/>
    <row r="2051" hidden="1" x14ac:dyDescent="0.2"/>
    <row r="2052" hidden="1" x14ac:dyDescent="0.2"/>
    <row r="2053" hidden="1" x14ac:dyDescent="0.2"/>
    <row r="2054" hidden="1" x14ac:dyDescent="0.2"/>
    <row r="2055" hidden="1" x14ac:dyDescent="0.2"/>
    <row r="2056" hidden="1" x14ac:dyDescent="0.2"/>
    <row r="2057" hidden="1" x14ac:dyDescent="0.2"/>
    <row r="2058" hidden="1" x14ac:dyDescent="0.2"/>
    <row r="2059" hidden="1" x14ac:dyDescent="0.2"/>
    <row r="2060" hidden="1" x14ac:dyDescent="0.2"/>
    <row r="2061" hidden="1" x14ac:dyDescent="0.2"/>
    <row r="2062" hidden="1" x14ac:dyDescent="0.2"/>
    <row r="2063" hidden="1" x14ac:dyDescent="0.2"/>
    <row r="2064" hidden="1" x14ac:dyDescent="0.2"/>
    <row r="2065" hidden="1" x14ac:dyDescent="0.2"/>
    <row r="2066" hidden="1" x14ac:dyDescent="0.2"/>
    <row r="2067" hidden="1" x14ac:dyDescent="0.2"/>
    <row r="2068" hidden="1" x14ac:dyDescent="0.2"/>
    <row r="2069" hidden="1" x14ac:dyDescent="0.2"/>
    <row r="2070" hidden="1" x14ac:dyDescent="0.2"/>
    <row r="2071" hidden="1" x14ac:dyDescent="0.2"/>
    <row r="2072" hidden="1" x14ac:dyDescent="0.2"/>
    <row r="2073" hidden="1" x14ac:dyDescent="0.2"/>
    <row r="2074" hidden="1" x14ac:dyDescent="0.2"/>
    <row r="2075" hidden="1" x14ac:dyDescent="0.2"/>
    <row r="2076" hidden="1" x14ac:dyDescent="0.2"/>
    <row r="2077" hidden="1" x14ac:dyDescent="0.2"/>
    <row r="2078" hidden="1" x14ac:dyDescent="0.2"/>
    <row r="2079" hidden="1" x14ac:dyDescent="0.2"/>
    <row r="2080" hidden="1" x14ac:dyDescent="0.2"/>
    <row r="2081" hidden="1" x14ac:dyDescent="0.2"/>
    <row r="2082" hidden="1" x14ac:dyDescent="0.2"/>
    <row r="2083" hidden="1" x14ac:dyDescent="0.2"/>
    <row r="2084" hidden="1" x14ac:dyDescent="0.2"/>
    <row r="2085" hidden="1" x14ac:dyDescent="0.2"/>
    <row r="2086" hidden="1" x14ac:dyDescent="0.2"/>
    <row r="2087" hidden="1" x14ac:dyDescent="0.2"/>
    <row r="2088" hidden="1" x14ac:dyDescent="0.2"/>
    <row r="2089" hidden="1" x14ac:dyDescent="0.2"/>
    <row r="2090" hidden="1" x14ac:dyDescent="0.2"/>
    <row r="2091" hidden="1" x14ac:dyDescent="0.2"/>
    <row r="2092" hidden="1" x14ac:dyDescent="0.2"/>
    <row r="2093" hidden="1" x14ac:dyDescent="0.2"/>
    <row r="2094" hidden="1" x14ac:dyDescent="0.2"/>
    <row r="2095" hidden="1" x14ac:dyDescent="0.2"/>
    <row r="2096" hidden="1" x14ac:dyDescent="0.2"/>
    <row r="2097" hidden="1" x14ac:dyDescent="0.2"/>
    <row r="2098" hidden="1" x14ac:dyDescent="0.2"/>
    <row r="2099" hidden="1" x14ac:dyDescent="0.2"/>
    <row r="2100" hidden="1" x14ac:dyDescent="0.2"/>
    <row r="2101" hidden="1" x14ac:dyDescent="0.2"/>
    <row r="2102" hidden="1" x14ac:dyDescent="0.2"/>
    <row r="2103" hidden="1" x14ac:dyDescent="0.2"/>
    <row r="2104" hidden="1" x14ac:dyDescent="0.2"/>
    <row r="2105" hidden="1" x14ac:dyDescent="0.2"/>
    <row r="2106" hidden="1" x14ac:dyDescent="0.2"/>
    <row r="2107" hidden="1" x14ac:dyDescent="0.2"/>
    <row r="2108" hidden="1" x14ac:dyDescent="0.2"/>
    <row r="2109" hidden="1" x14ac:dyDescent="0.2"/>
    <row r="2110" hidden="1" x14ac:dyDescent="0.2"/>
    <row r="2111" hidden="1" x14ac:dyDescent="0.2"/>
    <row r="2112" hidden="1" x14ac:dyDescent="0.2"/>
    <row r="2113" hidden="1" x14ac:dyDescent="0.2"/>
    <row r="2114" hidden="1" x14ac:dyDescent="0.2"/>
    <row r="2115" hidden="1" x14ac:dyDescent="0.2"/>
    <row r="2116" hidden="1" x14ac:dyDescent="0.2"/>
    <row r="2117" hidden="1" x14ac:dyDescent="0.2"/>
    <row r="2118" hidden="1" x14ac:dyDescent="0.2"/>
    <row r="2119" hidden="1" x14ac:dyDescent="0.2"/>
    <row r="2120" hidden="1" x14ac:dyDescent="0.2"/>
    <row r="2121" hidden="1" x14ac:dyDescent="0.2"/>
    <row r="2122" hidden="1" x14ac:dyDescent="0.2"/>
    <row r="2123" hidden="1" x14ac:dyDescent="0.2"/>
    <row r="2124" hidden="1" x14ac:dyDescent="0.2"/>
    <row r="2125" hidden="1" x14ac:dyDescent="0.2"/>
    <row r="2126" hidden="1" x14ac:dyDescent="0.2"/>
    <row r="2127" hidden="1" x14ac:dyDescent="0.2"/>
    <row r="2128" hidden="1" x14ac:dyDescent="0.2"/>
    <row r="2129" hidden="1" x14ac:dyDescent="0.2"/>
    <row r="2130" hidden="1" x14ac:dyDescent="0.2"/>
    <row r="2131" hidden="1" x14ac:dyDescent="0.2"/>
    <row r="2132" hidden="1" x14ac:dyDescent="0.2"/>
    <row r="2133" hidden="1" x14ac:dyDescent="0.2"/>
    <row r="2134" hidden="1" x14ac:dyDescent="0.2"/>
    <row r="2135" hidden="1" x14ac:dyDescent="0.2"/>
    <row r="2136" hidden="1" x14ac:dyDescent="0.2"/>
    <row r="2137" hidden="1" x14ac:dyDescent="0.2"/>
    <row r="2138" hidden="1" x14ac:dyDescent="0.2"/>
    <row r="2139" hidden="1" x14ac:dyDescent="0.2"/>
    <row r="2140" hidden="1" x14ac:dyDescent="0.2"/>
    <row r="2141" hidden="1" x14ac:dyDescent="0.2"/>
    <row r="2142" hidden="1" x14ac:dyDescent="0.2"/>
    <row r="2143" hidden="1" x14ac:dyDescent="0.2"/>
    <row r="2144" hidden="1" x14ac:dyDescent="0.2"/>
    <row r="2145" hidden="1" x14ac:dyDescent="0.2"/>
    <row r="2146" hidden="1" x14ac:dyDescent="0.2"/>
    <row r="2147" hidden="1" x14ac:dyDescent="0.2"/>
    <row r="2148" hidden="1" x14ac:dyDescent="0.2"/>
    <row r="2149" hidden="1" x14ac:dyDescent="0.2"/>
    <row r="2150" hidden="1" x14ac:dyDescent="0.2"/>
    <row r="2151" hidden="1" x14ac:dyDescent="0.2"/>
    <row r="2152" hidden="1" x14ac:dyDescent="0.2"/>
    <row r="2153" hidden="1" x14ac:dyDescent="0.2"/>
    <row r="2154" hidden="1" x14ac:dyDescent="0.2"/>
    <row r="2155" hidden="1" x14ac:dyDescent="0.2"/>
    <row r="2156" hidden="1" x14ac:dyDescent="0.2"/>
    <row r="2157" hidden="1" x14ac:dyDescent="0.2"/>
    <row r="2158" hidden="1" x14ac:dyDescent="0.2"/>
    <row r="2159" hidden="1" x14ac:dyDescent="0.2"/>
    <row r="2160" hidden="1" x14ac:dyDescent="0.2"/>
    <row r="2161" hidden="1" x14ac:dyDescent="0.2"/>
    <row r="2162" hidden="1" x14ac:dyDescent="0.2"/>
    <row r="2163" hidden="1" x14ac:dyDescent="0.2"/>
    <row r="2164" hidden="1" x14ac:dyDescent="0.2"/>
    <row r="2165" hidden="1" x14ac:dyDescent="0.2"/>
    <row r="2166" hidden="1" x14ac:dyDescent="0.2"/>
    <row r="2167" hidden="1" x14ac:dyDescent="0.2"/>
    <row r="2168" hidden="1" x14ac:dyDescent="0.2"/>
    <row r="2169" hidden="1" x14ac:dyDescent="0.2"/>
    <row r="2170" hidden="1" x14ac:dyDescent="0.2"/>
    <row r="2171" hidden="1" x14ac:dyDescent="0.2"/>
    <row r="2172" hidden="1" x14ac:dyDescent="0.2"/>
    <row r="2173" hidden="1" x14ac:dyDescent="0.2"/>
    <row r="2174" hidden="1" x14ac:dyDescent="0.2"/>
    <row r="2175" hidden="1" x14ac:dyDescent="0.2"/>
    <row r="2176" hidden="1" x14ac:dyDescent="0.2"/>
    <row r="2177" hidden="1" x14ac:dyDescent="0.2"/>
    <row r="2178" hidden="1" x14ac:dyDescent="0.2"/>
    <row r="2179" hidden="1" x14ac:dyDescent="0.2"/>
    <row r="2180" hidden="1" x14ac:dyDescent="0.2"/>
    <row r="2181" hidden="1" x14ac:dyDescent="0.2"/>
    <row r="2182" hidden="1" x14ac:dyDescent="0.2"/>
    <row r="2183" hidden="1" x14ac:dyDescent="0.2"/>
    <row r="2184" hidden="1" x14ac:dyDescent="0.2"/>
    <row r="2185" hidden="1" x14ac:dyDescent="0.2"/>
    <row r="2186" hidden="1" x14ac:dyDescent="0.2"/>
    <row r="2187" hidden="1" x14ac:dyDescent="0.2"/>
    <row r="2188" hidden="1" x14ac:dyDescent="0.2"/>
    <row r="2189" hidden="1" x14ac:dyDescent="0.2"/>
    <row r="2190" hidden="1" x14ac:dyDescent="0.2"/>
    <row r="2191" hidden="1" x14ac:dyDescent="0.2"/>
    <row r="2192" hidden="1" x14ac:dyDescent="0.2"/>
    <row r="2193" hidden="1" x14ac:dyDescent="0.2"/>
    <row r="2194" hidden="1" x14ac:dyDescent="0.2"/>
    <row r="2195" hidden="1" x14ac:dyDescent="0.2"/>
    <row r="2196" hidden="1" x14ac:dyDescent="0.2"/>
    <row r="2197" hidden="1" x14ac:dyDescent="0.2"/>
    <row r="2198" hidden="1" x14ac:dyDescent="0.2"/>
    <row r="2199" hidden="1" x14ac:dyDescent="0.2"/>
    <row r="2200" hidden="1" x14ac:dyDescent="0.2"/>
    <row r="2201" hidden="1" x14ac:dyDescent="0.2"/>
    <row r="2202" hidden="1" x14ac:dyDescent="0.2"/>
    <row r="2203" hidden="1" x14ac:dyDescent="0.2"/>
    <row r="2204" hidden="1" x14ac:dyDescent="0.2"/>
    <row r="2205" hidden="1" x14ac:dyDescent="0.2"/>
    <row r="2206" hidden="1" x14ac:dyDescent="0.2"/>
    <row r="2207" hidden="1" x14ac:dyDescent="0.2"/>
    <row r="2208" hidden="1" x14ac:dyDescent="0.2"/>
    <row r="2209" hidden="1" x14ac:dyDescent="0.2"/>
    <row r="2210" hidden="1" x14ac:dyDescent="0.2"/>
    <row r="2211" hidden="1" x14ac:dyDescent="0.2"/>
    <row r="2212" hidden="1" x14ac:dyDescent="0.2"/>
    <row r="2213" hidden="1" x14ac:dyDescent="0.2"/>
    <row r="2214" hidden="1" x14ac:dyDescent="0.2"/>
    <row r="2215" hidden="1" x14ac:dyDescent="0.2"/>
    <row r="2216" hidden="1" x14ac:dyDescent="0.2"/>
    <row r="2217" hidden="1" x14ac:dyDescent="0.2"/>
    <row r="2218" hidden="1" x14ac:dyDescent="0.2"/>
    <row r="2219" hidden="1" x14ac:dyDescent="0.2"/>
    <row r="2220" hidden="1" x14ac:dyDescent="0.2"/>
    <row r="2221" hidden="1" x14ac:dyDescent="0.2"/>
    <row r="2222" hidden="1" x14ac:dyDescent="0.2"/>
    <row r="2223" hidden="1" x14ac:dyDescent="0.2"/>
    <row r="2224" hidden="1" x14ac:dyDescent="0.2"/>
    <row r="2225" hidden="1" x14ac:dyDescent="0.2"/>
    <row r="2226" hidden="1" x14ac:dyDescent="0.2"/>
    <row r="2227" hidden="1" x14ac:dyDescent="0.2"/>
    <row r="2228" hidden="1" x14ac:dyDescent="0.2"/>
    <row r="2229" hidden="1" x14ac:dyDescent="0.2"/>
    <row r="2230" hidden="1" x14ac:dyDescent="0.2"/>
    <row r="2231" hidden="1" x14ac:dyDescent="0.2"/>
    <row r="2232" hidden="1" x14ac:dyDescent="0.2"/>
    <row r="2233" hidden="1" x14ac:dyDescent="0.2"/>
    <row r="2234" hidden="1" x14ac:dyDescent="0.2"/>
    <row r="2235" hidden="1" x14ac:dyDescent="0.2"/>
    <row r="2236" hidden="1" x14ac:dyDescent="0.2"/>
    <row r="2237" hidden="1" x14ac:dyDescent="0.2"/>
    <row r="2238" hidden="1" x14ac:dyDescent="0.2"/>
    <row r="2239" hidden="1" x14ac:dyDescent="0.2"/>
    <row r="2240" hidden="1" x14ac:dyDescent="0.2"/>
    <row r="2241" hidden="1" x14ac:dyDescent="0.2"/>
    <row r="2242" hidden="1" x14ac:dyDescent="0.2"/>
    <row r="2243" hidden="1" x14ac:dyDescent="0.2"/>
    <row r="2244" hidden="1" x14ac:dyDescent="0.2"/>
    <row r="2245" hidden="1" x14ac:dyDescent="0.2"/>
    <row r="2246" hidden="1" x14ac:dyDescent="0.2"/>
    <row r="2247" hidden="1" x14ac:dyDescent="0.2"/>
    <row r="2248" hidden="1" x14ac:dyDescent="0.2"/>
    <row r="2249" hidden="1" x14ac:dyDescent="0.2"/>
    <row r="2250" hidden="1" x14ac:dyDescent="0.2"/>
    <row r="2251" hidden="1" x14ac:dyDescent="0.2"/>
    <row r="2252" hidden="1" x14ac:dyDescent="0.2"/>
    <row r="2253" hidden="1" x14ac:dyDescent="0.2"/>
    <row r="2254" hidden="1" x14ac:dyDescent="0.2"/>
    <row r="2255" hidden="1" x14ac:dyDescent="0.2"/>
    <row r="2256" hidden="1" x14ac:dyDescent="0.2"/>
    <row r="2257" hidden="1" x14ac:dyDescent="0.2"/>
    <row r="2258" hidden="1" x14ac:dyDescent="0.2"/>
    <row r="2259" hidden="1" x14ac:dyDescent="0.2"/>
    <row r="2260" hidden="1" x14ac:dyDescent="0.2"/>
    <row r="2261" hidden="1" x14ac:dyDescent="0.2"/>
    <row r="2262" hidden="1" x14ac:dyDescent="0.2"/>
    <row r="2263" hidden="1" x14ac:dyDescent="0.2"/>
    <row r="2264" hidden="1" x14ac:dyDescent="0.2"/>
    <row r="2265" hidden="1" x14ac:dyDescent="0.2"/>
    <row r="2266" hidden="1" x14ac:dyDescent="0.2"/>
    <row r="2267" hidden="1" x14ac:dyDescent="0.2"/>
    <row r="2268" hidden="1" x14ac:dyDescent="0.2"/>
    <row r="2269" hidden="1" x14ac:dyDescent="0.2"/>
    <row r="2270" hidden="1" x14ac:dyDescent="0.2"/>
    <row r="2271" hidden="1" x14ac:dyDescent="0.2"/>
    <row r="2272" hidden="1" x14ac:dyDescent="0.2"/>
    <row r="2273" hidden="1" x14ac:dyDescent="0.2"/>
    <row r="2274" hidden="1" x14ac:dyDescent="0.2"/>
    <row r="2275" hidden="1" x14ac:dyDescent="0.2"/>
    <row r="2276" hidden="1" x14ac:dyDescent="0.2"/>
    <row r="2277" hidden="1" x14ac:dyDescent="0.2"/>
    <row r="2278" hidden="1" x14ac:dyDescent="0.2"/>
    <row r="2279" hidden="1" x14ac:dyDescent="0.2"/>
    <row r="2280" hidden="1" x14ac:dyDescent="0.2"/>
    <row r="2281" hidden="1" x14ac:dyDescent="0.2"/>
    <row r="2282" hidden="1" x14ac:dyDescent="0.2"/>
    <row r="2283" hidden="1" x14ac:dyDescent="0.2"/>
    <row r="2284" hidden="1" x14ac:dyDescent="0.2"/>
    <row r="2285" hidden="1" x14ac:dyDescent="0.2"/>
    <row r="2286" hidden="1" x14ac:dyDescent="0.2"/>
    <row r="2287" hidden="1" x14ac:dyDescent="0.2"/>
    <row r="2288" hidden="1" x14ac:dyDescent="0.2"/>
    <row r="2289" hidden="1" x14ac:dyDescent="0.2"/>
    <row r="2290" hidden="1" x14ac:dyDescent="0.2"/>
    <row r="2291" hidden="1" x14ac:dyDescent="0.2"/>
    <row r="2292" hidden="1" x14ac:dyDescent="0.2"/>
    <row r="2293" hidden="1" x14ac:dyDescent="0.2"/>
    <row r="2294" hidden="1" x14ac:dyDescent="0.2"/>
    <row r="2295" hidden="1" x14ac:dyDescent="0.2"/>
    <row r="2296" hidden="1" x14ac:dyDescent="0.2"/>
    <row r="2297" hidden="1" x14ac:dyDescent="0.2"/>
    <row r="2298" hidden="1" x14ac:dyDescent="0.2"/>
    <row r="2299" hidden="1" x14ac:dyDescent="0.2"/>
    <row r="2300" hidden="1" x14ac:dyDescent="0.2"/>
    <row r="2301" hidden="1" x14ac:dyDescent="0.2"/>
    <row r="2302" hidden="1" x14ac:dyDescent="0.2"/>
    <row r="2303" hidden="1" x14ac:dyDescent="0.2"/>
    <row r="2304" hidden="1" x14ac:dyDescent="0.2"/>
    <row r="2305" hidden="1" x14ac:dyDescent="0.2"/>
    <row r="2306" hidden="1" x14ac:dyDescent="0.2"/>
    <row r="2307" hidden="1" x14ac:dyDescent="0.2"/>
    <row r="2308" hidden="1" x14ac:dyDescent="0.2"/>
    <row r="2309" hidden="1" x14ac:dyDescent="0.2"/>
    <row r="2310" hidden="1" x14ac:dyDescent="0.2"/>
    <row r="2311" hidden="1" x14ac:dyDescent="0.2"/>
    <row r="2312" hidden="1" x14ac:dyDescent="0.2"/>
    <row r="2313" hidden="1" x14ac:dyDescent="0.2"/>
    <row r="2314" hidden="1" x14ac:dyDescent="0.2"/>
    <row r="2315" hidden="1" x14ac:dyDescent="0.2"/>
    <row r="2316" hidden="1" x14ac:dyDescent="0.2"/>
    <row r="2317" hidden="1" x14ac:dyDescent="0.2"/>
    <row r="2318" hidden="1" x14ac:dyDescent="0.2"/>
    <row r="2319" hidden="1" x14ac:dyDescent="0.2"/>
    <row r="2320" hidden="1" x14ac:dyDescent="0.2"/>
    <row r="2321" hidden="1" x14ac:dyDescent="0.2"/>
    <row r="2322" hidden="1" x14ac:dyDescent="0.2"/>
    <row r="2323" hidden="1" x14ac:dyDescent="0.2"/>
    <row r="2324" hidden="1" x14ac:dyDescent="0.2"/>
    <row r="2325" hidden="1" x14ac:dyDescent="0.2"/>
    <row r="2326" hidden="1" x14ac:dyDescent="0.2"/>
    <row r="2327" hidden="1" x14ac:dyDescent="0.2"/>
    <row r="2328" hidden="1" x14ac:dyDescent="0.2"/>
    <row r="2329" hidden="1" x14ac:dyDescent="0.2"/>
    <row r="2330" hidden="1" x14ac:dyDescent="0.2"/>
    <row r="2331" hidden="1" x14ac:dyDescent="0.2"/>
    <row r="2332" hidden="1" x14ac:dyDescent="0.2"/>
    <row r="2333" hidden="1" x14ac:dyDescent="0.2"/>
    <row r="2334" hidden="1" x14ac:dyDescent="0.2"/>
    <row r="2335" hidden="1" x14ac:dyDescent="0.2"/>
    <row r="2336" hidden="1" x14ac:dyDescent="0.2"/>
    <row r="2337" hidden="1" x14ac:dyDescent="0.2"/>
    <row r="2338" hidden="1" x14ac:dyDescent="0.2"/>
    <row r="2339" hidden="1" x14ac:dyDescent="0.2"/>
    <row r="2340" hidden="1" x14ac:dyDescent="0.2"/>
    <row r="2341" hidden="1" x14ac:dyDescent="0.2"/>
    <row r="2342" hidden="1" x14ac:dyDescent="0.2"/>
    <row r="2343" hidden="1" x14ac:dyDescent="0.2"/>
    <row r="2344" hidden="1" x14ac:dyDescent="0.2"/>
    <row r="2345" hidden="1" x14ac:dyDescent="0.2"/>
    <row r="2346" hidden="1" x14ac:dyDescent="0.2"/>
    <row r="2347" hidden="1" x14ac:dyDescent="0.2"/>
    <row r="2348" hidden="1" x14ac:dyDescent="0.2"/>
    <row r="2349" hidden="1" x14ac:dyDescent="0.2"/>
    <row r="2350" hidden="1" x14ac:dyDescent="0.2"/>
    <row r="2351" hidden="1" x14ac:dyDescent="0.2"/>
    <row r="2352" hidden="1" x14ac:dyDescent="0.2"/>
    <row r="2353" hidden="1" x14ac:dyDescent="0.2"/>
    <row r="2354" hidden="1" x14ac:dyDescent="0.2"/>
    <row r="2355" hidden="1" x14ac:dyDescent="0.2"/>
    <row r="2356" hidden="1" x14ac:dyDescent="0.2"/>
    <row r="2357" hidden="1" x14ac:dyDescent="0.2"/>
    <row r="2358" hidden="1" x14ac:dyDescent="0.2"/>
    <row r="2359" hidden="1" x14ac:dyDescent="0.2"/>
    <row r="2360" hidden="1" x14ac:dyDescent="0.2"/>
    <row r="2361" hidden="1" x14ac:dyDescent="0.2"/>
    <row r="2362" hidden="1" x14ac:dyDescent="0.2"/>
    <row r="2363" hidden="1" x14ac:dyDescent="0.2"/>
    <row r="2364" hidden="1" x14ac:dyDescent="0.2"/>
    <row r="2365" hidden="1" x14ac:dyDescent="0.2"/>
    <row r="2366" hidden="1" x14ac:dyDescent="0.2"/>
    <row r="2367" hidden="1" x14ac:dyDescent="0.2"/>
    <row r="2368" hidden="1" x14ac:dyDescent="0.2"/>
    <row r="2369" hidden="1" x14ac:dyDescent="0.2"/>
    <row r="2370" hidden="1" x14ac:dyDescent="0.2"/>
    <row r="2371" hidden="1" x14ac:dyDescent="0.2"/>
    <row r="2372" hidden="1" x14ac:dyDescent="0.2"/>
    <row r="2373" hidden="1" x14ac:dyDescent="0.2"/>
    <row r="2374" hidden="1" x14ac:dyDescent="0.2"/>
    <row r="2375" hidden="1" x14ac:dyDescent="0.2"/>
    <row r="2376" hidden="1" x14ac:dyDescent="0.2"/>
    <row r="2377" hidden="1" x14ac:dyDescent="0.2"/>
    <row r="2378" hidden="1" x14ac:dyDescent="0.2"/>
    <row r="2379" hidden="1" x14ac:dyDescent="0.2"/>
    <row r="2380" hidden="1" x14ac:dyDescent="0.2"/>
    <row r="2381" hidden="1" x14ac:dyDescent="0.2"/>
    <row r="2382" hidden="1" x14ac:dyDescent="0.2"/>
    <row r="2383" hidden="1" x14ac:dyDescent="0.2"/>
    <row r="2384" hidden="1" x14ac:dyDescent="0.2"/>
    <row r="2385" hidden="1" x14ac:dyDescent="0.2"/>
    <row r="2386" hidden="1" x14ac:dyDescent="0.2"/>
    <row r="2387" hidden="1" x14ac:dyDescent="0.2"/>
    <row r="2388" hidden="1" x14ac:dyDescent="0.2"/>
    <row r="2389" hidden="1" x14ac:dyDescent="0.2"/>
    <row r="2390" hidden="1" x14ac:dyDescent="0.2"/>
    <row r="2391" hidden="1" x14ac:dyDescent="0.2"/>
    <row r="2392" hidden="1" x14ac:dyDescent="0.2"/>
    <row r="2393" hidden="1" x14ac:dyDescent="0.2"/>
    <row r="2394" hidden="1" x14ac:dyDescent="0.2"/>
    <row r="2395" hidden="1" x14ac:dyDescent="0.2"/>
    <row r="2396" hidden="1" x14ac:dyDescent="0.2"/>
    <row r="2397" hidden="1" x14ac:dyDescent="0.2"/>
    <row r="2398" hidden="1" x14ac:dyDescent="0.2"/>
    <row r="2399" hidden="1" x14ac:dyDescent="0.2"/>
    <row r="2400" hidden="1" x14ac:dyDescent="0.2"/>
    <row r="2401" hidden="1" x14ac:dyDescent="0.2"/>
    <row r="2402" hidden="1" x14ac:dyDescent="0.2"/>
    <row r="2403" hidden="1" x14ac:dyDescent="0.2"/>
    <row r="2404" hidden="1" x14ac:dyDescent="0.2"/>
    <row r="2405" hidden="1" x14ac:dyDescent="0.2"/>
    <row r="2406" hidden="1" x14ac:dyDescent="0.2"/>
    <row r="2407" hidden="1" x14ac:dyDescent="0.2"/>
    <row r="2408" hidden="1" x14ac:dyDescent="0.2"/>
    <row r="2409" hidden="1" x14ac:dyDescent="0.2"/>
    <row r="2410" hidden="1" x14ac:dyDescent="0.2"/>
    <row r="2411" hidden="1" x14ac:dyDescent="0.2"/>
    <row r="2412" hidden="1" x14ac:dyDescent="0.2"/>
    <row r="2413" hidden="1" x14ac:dyDescent="0.2"/>
    <row r="2414" hidden="1" x14ac:dyDescent="0.2"/>
    <row r="2415" hidden="1" x14ac:dyDescent="0.2"/>
    <row r="2416" hidden="1" x14ac:dyDescent="0.2"/>
    <row r="2417" hidden="1" x14ac:dyDescent="0.2"/>
    <row r="2418" hidden="1" x14ac:dyDescent="0.2"/>
    <row r="2419" hidden="1" x14ac:dyDescent="0.2"/>
    <row r="2420" hidden="1" x14ac:dyDescent="0.2"/>
    <row r="2421" hidden="1" x14ac:dyDescent="0.2"/>
    <row r="2422" hidden="1" x14ac:dyDescent="0.2"/>
    <row r="2423" hidden="1" x14ac:dyDescent="0.2"/>
    <row r="2424" hidden="1" x14ac:dyDescent="0.2"/>
    <row r="2425" hidden="1" x14ac:dyDescent="0.2"/>
    <row r="2426" hidden="1" x14ac:dyDescent="0.2"/>
    <row r="2427" hidden="1" x14ac:dyDescent="0.2"/>
    <row r="2428" hidden="1" x14ac:dyDescent="0.2"/>
    <row r="2429" hidden="1" x14ac:dyDescent="0.2"/>
    <row r="2430" hidden="1" x14ac:dyDescent="0.2"/>
    <row r="2431" hidden="1" x14ac:dyDescent="0.2"/>
    <row r="2432" hidden="1" x14ac:dyDescent="0.2"/>
    <row r="2433" hidden="1" x14ac:dyDescent="0.2"/>
    <row r="2434" hidden="1" x14ac:dyDescent="0.2"/>
    <row r="2435" hidden="1" x14ac:dyDescent="0.2"/>
    <row r="2436" hidden="1" x14ac:dyDescent="0.2"/>
    <row r="2437" hidden="1" x14ac:dyDescent="0.2"/>
    <row r="2438" hidden="1" x14ac:dyDescent="0.2"/>
    <row r="2439" hidden="1" x14ac:dyDescent="0.2"/>
    <row r="2440" hidden="1" x14ac:dyDescent="0.2"/>
    <row r="2441" hidden="1" x14ac:dyDescent="0.2"/>
    <row r="2442" hidden="1" x14ac:dyDescent="0.2"/>
    <row r="2443" hidden="1" x14ac:dyDescent="0.2"/>
    <row r="2444" hidden="1" x14ac:dyDescent="0.2"/>
    <row r="2445" hidden="1" x14ac:dyDescent="0.2"/>
    <row r="2446" hidden="1" x14ac:dyDescent="0.2"/>
    <row r="2447" hidden="1" x14ac:dyDescent="0.2"/>
    <row r="2448" hidden="1" x14ac:dyDescent="0.2"/>
    <row r="2449" hidden="1" x14ac:dyDescent="0.2"/>
    <row r="2450" hidden="1" x14ac:dyDescent="0.2"/>
    <row r="2451" hidden="1" x14ac:dyDescent="0.2"/>
    <row r="2452" hidden="1" x14ac:dyDescent="0.2"/>
    <row r="2453" hidden="1" x14ac:dyDescent="0.2"/>
    <row r="2454" hidden="1" x14ac:dyDescent="0.2"/>
    <row r="2455" hidden="1" x14ac:dyDescent="0.2"/>
    <row r="2456" hidden="1" x14ac:dyDescent="0.2"/>
    <row r="2457" hidden="1" x14ac:dyDescent="0.2"/>
    <row r="2458" hidden="1" x14ac:dyDescent="0.2"/>
    <row r="2459" hidden="1" x14ac:dyDescent="0.2"/>
    <row r="2460" hidden="1" x14ac:dyDescent="0.2"/>
    <row r="2461" hidden="1" x14ac:dyDescent="0.2"/>
    <row r="2462" hidden="1" x14ac:dyDescent="0.2"/>
    <row r="2463" hidden="1" x14ac:dyDescent="0.2"/>
    <row r="2464" hidden="1" x14ac:dyDescent="0.2"/>
    <row r="2465" hidden="1" x14ac:dyDescent="0.2"/>
    <row r="2466" hidden="1" x14ac:dyDescent="0.2"/>
    <row r="2467" hidden="1" x14ac:dyDescent="0.2"/>
    <row r="2468" hidden="1" x14ac:dyDescent="0.2"/>
    <row r="2469" hidden="1" x14ac:dyDescent="0.2"/>
    <row r="2470" hidden="1" x14ac:dyDescent="0.2"/>
    <row r="2471" hidden="1" x14ac:dyDescent="0.2"/>
    <row r="2472" hidden="1" x14ac:dyDescent="0.2"/>
    <row r="2473" hidden="1" x14ac:dyDescent="0.2"/>
    <row r="2474" hidden="1" x14ac:dyDescent="0.2"/>
    <row r="2475" hidden="1" x14ac:dyDescent="0.2"/>
    <row r="2476" hidden="1" x14ac:dyDescent="0.2"/>
    <row r="2477" hidden="1" x14ac:dyDescent="0.2"/>
    <row r="2478" hidden="1" x14ac:dyDescent="0.2"/>
    <row r="2479" hidden="1" x14ac:dyDescent="0.2"/>
    <row r="2480" hidden="1" x14ac:dyDescent="0.2"/>
    <row r="2481" hidden="1" x14ac:dyDescent="0.2"/>
    <row r="2482" hidden="1" x14ac:dyDescent="0.2"/>
    <row r="2483" hidden="1" x14ac:dyDescent="0.2"/>
    <row r="2484" hidden="1" x14ac:dyDescent="0.2"/>
    <row r="2485" hidden="1" x14ac:dyDescent="0.2"/>
    <row r="2486" hidden="1" x14ac:dyDescent="0.2"/>
    <row r="2487" hidden="1" x14ac:dyDescent="0.2"/>
    <row r="2488" hidden="1" x14ac:dyDescent="0.2"/>
    <row r="2489" hidden="1" x14ac:dyDescent="0.2"/>
    <row r="2490" hidden="1" x14ac:dyDescent="0.2"/>
    <row r="2491" hidden="1" x14ac:dyDescent="0.2"/>
    <row r="2492" hidden="1" x14ac:dyDescent="0.2"/>
    <row r="2493" hidden="1" x14ac:dyDescent="0.2"/>
    <row r="2494" hidden="1" x14ac:dyDescent="0.2"/>
    <row r="2495" hidden="1" x14ac:dyDescent="0.2"/>
    <row r="2496" hidden="1" x14ac:dyDescent="0.2"/>
    <row r="2497" hidden="1" x14ac:dyDescent="0.2"/>
    <row r="2498" hidden="1" x14ac:dyDescent="0.2"/>
    <row r="2499" hidden="1" x14ac:dyDescent="0.2"/>
    <row r="2500" hidden="1" x14ac:dyDescent="0.2"/>
    <row r="2501" hidden="1" x14ac:dyDescent="0.2"/>
    <row r="2502" hidden="1" x14ac:dyDescent="0.2"/>
    <row r="2503" hidden="1" x14ac:dyDescent="0.2"/>
    <row r="2504" hidden="1" x14ac:dyDescent="0.2"/>
    <row r="2505" hidden="1" x14ac:dyDescent="0.2"/>
    <row r="2506" hidden="1" x14ac:dyDescent="0.2"/>
    <row r="2507" hidden="1" x14ac:dyDescent="0.2"/>
    <row r="2508" hidden="1" x14ac:dyDescent="0.2"/>
    <row r="2509" hidden="1" x14ac:dyDescent="0.2"/>
    <row r="2510" hidden="1" x14ac:dyDescent="0.2"/>
    <row r="2511" hidden="1" x14ac:dyDescent="0.2"/>
    <row r="2512" hidden="1" x14ac:dyDescent="0.2"/>
    <row r="2513" hidden="1" x14ac:dyDescent="0.2"/>
    <row r="2514" hidden="1" x14ac:dyDescent="0.2"/>
    <row r="2515" hidden="1" x14ac:dyDescent="0.2"/>
    <row r="2516" hidden="1" x14ac:dyDescent="0.2"/>
    <row r="2517" hidden="1" x14ac:dyDescent="0.2"/>
    <row r="2518" hidden="1" x14ac:dyDescent="0.2"/>
    <row r="2519" hidden="1" x14ac:dyDescent="0.2"/>
    <row r="2520" hidden="1" x14ac:dyDescent="0.2"/>
    <row r="2521" hidden="1" x14ac:dyDescent="0.2"/>
    <row r="2522" hidden="1" x14ac:dyDescent="0.2"/>
    <row r="2523" hidden="1" x14ac:dyDescent="0.2"/>
    <row r="2524" hidden="1" x14ac:dyDescent="0.2"/>
    <row r="2525" hidden="1" x14ac:dyDescent="0.2"/>
    <row r="2526" hidden="1" x14ac:dyDescent="0.2"/>
    <row r="2527" hidden="1" x14ac:dyDescent="0.2"/>
    <row r="2528" hidden="1" x14ac:dyDescent="0.2"/>
    <row r="2529" hidden="1" x14ac:dyDescent="0.2"/>
    <row r="2530" hidden="1" x14ac:dyDescent="0.2"/>
    <row r="2531" hidden="1" x14ac:dyDescent="0.2"/>
    <row r="2532" hidden="1" x14ac:dyDescent="0.2"/>
    <row r="2533" hidden="1" x14ac:dyDescent="0.2"/>
    <row r="2534" hidden="1" x14ac:dyDescent="0.2"/>
    <row r="2535" hidden="1" x14ac:dyDescent="0.2"/>
    <row r="2536" hidden="1" x14ac:dyDescent="0.2"/>
    <row r="2537" hidden="1" x14ac:dyDescent="0.2"/>
    <row r="2538" hidden="1" x14ac:dyDescent="0.2"/>
    <row r="2539" hidden="1" x14ac:dyDescent="0.2"/>
    <row r="2540" hidden="1" x14ac:dyDescent="0.2"/>
    <row r="2541" hidden="1" x14ac:dyDescent="0.2"/>
    <row r="2542" hidden="1" x14ac:dyDescent="0.2"/>
    <row r="2543" hidden="1" x14ac:dyDescent="0.2"/>
    <row r="2544" hidden="1" x14ac:dyDescent="0.2"/>
    <row r="2545" hidden="1" x14ac:dyDescent="0.2"/>
    <row r="2546" hidden="1" x14ac:dyDescent="0.2"/>
    <row r="2547" hidden="1" x14ac:dyDescent="0.2"/>
    <row r="2548" hidden="1" x14ac:dyDescent="0.2"/>
    <row r="2549" hidden="1" x14ac:dyDescent="0.2"/>
    <row r="2550" hidden="1" x14ac:dyDescent="0.2"/>
    <row r="2551" hidden="1" x14ac:dyDescent="0.2"/>
    <row r="2552" hidden="1" x14ac:dyDescent="0.2"/>
    <row r="2553" hidden="1" x14ac:dyDescent="0.2"/>
    <row r="2554" hidden="1" x14ac:dyDescent="0.2"/>
    <row r="2555" hidden="1" x14ac:dyDescent="0.2"/>
    <row r="2556" hidden="1" x14ac:dyDescent="0.2"/>
    <row r="2557" hidden="1" x14ac:dyDescent="0.2"/>
    <row r="2558" hidden="1" x14ac:dyDescent="0.2"/>
    <row r="2559" hidden="1" x14ac:dyDescent="0.2"/>
    <row r="2560" hidden="1" x14ac:dyDescent="0.2"/>
    <row r="2561" hidden="1" x14ac:dyDescent="0.2"/>
    <row r="2562" hidden="1" x14ac:dyDescent="0.2"/>
    <row r="2563" hidden="1" x14ac:dyDescent="0.2"/>
    <row r="2564" hidden="1" x14ac:dyDescent="0.2"/>
    <row r="2565" hidden="1" x14ac:dyDescent="0.2"/>
    <row r="2566" hidden="1" x14ac:dyDescent="0.2"/>
    <row r="2567" hidden="1" x14ac:dyDescent="0.2"/>
    <row r="2568" hidden="1" x14ac:dyDescent="0.2"/>
    <row r="2569" hidden="1" x14ac:dyDescent="0.2"/>
    <row r="2570" hidden="1" x14ac:dyDescent="0.2"/>
    <row r="2571" hidden="1" x14ac:dyDescent="0.2"/>
    <row r="2572" hidden="1" x14ac:dyDescent="0.2"/>
    <row r="2573" hidden="1" x14ac:dyDescent="0.2"/>
    <row r="2574" hidden="1" x14ac:dyDescent="0.2"/>
    <row r="2575" hidden="1" x14ac:dyDescent="0.2"/>
    <row r="2576" hidden="1" x14ac:dyDescent="0.2"/>
    <row r="2577" hidden="1" x14ac:dyDescent="0.2"/>
    <row r="2578" hidden="1" x14ac:dyDescent="0.2"/>
    <row r="2579" hidden="1" x14ac:dyDescent="0.2"/>
    <row r="2580" hidden="1" x14ac:dyDescent="0.2"/>
    <row r="2581" hidden="1" x14ac:dyDescent="0.2"/>
    <row r="2582" hidden="1" x14ac:dyDescent="0.2"/>
    <row r="2583" hidden="1" x14ac:dyDescent="0.2"/>
    <row r="2584" hidden="1" x14ac:dyDescent="0.2"/>
    <row r="2585" hidden="1" x14ac:dyDescent="0.2"/>
    <row r="2586" hidden="1" x14ac:dyDescent="0.2"/>
    <row r="2587" hidden="1" x14ac:dyDescent="0.2"/>
    <row r="2588" hidden="1" x14ac:dyDescent="0.2"/>
    <row r="2589" hidden="1" x14ac:dyDescent="0.2"/>
    <row r="2590" hidden="1" x14ac:dyDescent="0.2"/>
    <row r="2591" hidden="1" x14ac:dyDescent="0.2"/>
    <row r="2592" hidden="1" x14ac:dyDescent="0.2"/>
    <row r="2593" hidden="1" x14ac:dyDescent="0.2"/>
    <row r="2594" hidden="1" x14ac:dyDescent="0.2"/>
    <row r="2595" hidden="1" x14ac:dyDescent="0.2"/>
    <row r="2596" hidden="1" x14ac:dyDescent="0.2"/>
    <row r="2597" hidden="1" x14ac:dyDescent="0.2"/>
    <row r="2598" hidden="1" x14ac:dyDescent="0.2"/>
    <row r="2599" hidden="1" x14ac:dyDescent="0.2"/>
    <row r="2600" hidden="1" x14ac:dyDescent="0.2"/>
    <row r="2601" hidden="1" x14ac:dyDescent="0.2"/>
    <row r="2602" hidden="1" x14ac:dyDescent="0.2"/>
    <row r="2603" hidden="1" x14ac:dyDescent="0.2"/>
    <row r="2604" hidden="1" x14ac:dyDescent="0.2"/>
    <row r="2605" hidden="1" x14ac:dyDescent="0.2"/>
    <row r="2606" hidden="1" x14ac:dyDescent="0.2"/>
    <row r="2607" hidden="1" x14ac:dyDescent="0.2"/>
    <row r="2608" hidden="1" x14ac:dyDescent="0.2"/>
    <row r="2609" hidden="1" x14ac:dyDescent="0.2"/>
    <row r="2610" hidden="1" x14ac:dyDescent="0.2"/>
    <row r="2611" hidden="1" x14ac:dyDescent="0.2"/>
    <row r="2612" hidden="1" x14ac:dyDescent="0.2"/>
    <row r="2613" hidden="1" x14ac:dyDescent="0.2"/>
    <row r="2614" hidden="1" x14ac:dyDescent="0.2"/>
    <row r="2615" hidden="1" x14ac:dyDescent="0.2"/>
    <row r="2616" hidden="1" x14ac:dyDescent="0.2"/>
    <row r="2617" hidden="1" x14ac:dyDescent="0.2"/>
    <row r="2618" hidden="1" x14ac:dyDescent="0.2"/>
    <row r="2619" hidden="1" x14ac:dyDescent="0.2"/>
    <row r="2620" hidden="1" x14ac:dyDescent="0.2"/>
    <row r="2621" hidden="1" x14ac:dyDescent="0.2"/>
    <row r="2622" hidden="1" x14ac:dyDescent="0.2"/>
    <row r="2623" hidden="1" x14ac:dyDescent="0.2"/>
    <row r="2624" hidden="1" x14ac:dyDescent="0.2"/>
    <row r="2625" hidden="1" x14ac:dyDescent="0.2"/>
    <row r="2626" hidden="1" x14ac:dyDescent="0.2"/>
    <row r="2627" hidden="1" x14ac:dyDescent="0.2"/>
    <row r="2628" hidden="1" x14ac:dyDescent="0.2"/>
    <row r="2629" hidden="1" x14ac:dyDescent="0.2"/>
    <row r="2630" hidden="1" x14ac:dyDescent="0.2"/>
    <row r="2631" hidden="1" x14ac:dyDescent="0.2"/>
    <row r="2632" hidden="1" x14ac:dyDescent="0.2"/>
    <row r="2633" hidden="1" x14ac:dyDescent="0.2"/>
    <row r="2634" hidden="1" x14ac:dyDescent="0.2"/>
    <row r="2635" hidden="1" x14ac:dyDescent="0.2"/>
    <row r="2636" hidden="1" x14ac:dyDescent="0.2"/>
    <row r="2637" hidden="1" x14ac:dyDescent="0.2"/>
    <row r="2638" hidden="1" x14ac:dyDescent="0.2"/>
    <row r="2639" hidden="1" x14ac:dyDescent="0.2"/>
    <row r="2640" hidden="1" x14ac:dyDescent="0.2"/>
    <row r="2641" hidden="1" x14ac:dyDescent="0.2"/>
    <row r="2642" hidden="1" x14ac:dyDescent="0.2"/>
    <row r="2643" hidden="1" x14ac:dyDescent="0.2"/>
    <row r="2644" hidden="1" x14ac:dyDescent="0.2"/>
    <row r="2645" hidden="1" x14ac:dyDescent="0.2"/>
    <row r="2646" hidden="1" x14ac:dyDescent="0.2"/>
    <row r="2647" hidden="1" x14ac:dyDescent="0.2"/>
    <row r="2648" hidden="1" x14ac:dyDescent="0.2"/>
    <row r="2649" hidden="1" x14ac:dyDescent="0.2"/>
    <row r="2650" hidden="1" x14ac:dyDescent="0.2"/>
    <row r="2651" hidden="1" x14ac:dyDescent="0.2"/>
    <row r="2652" hidden="1" x14ac:dyDescent="0.2"/>
    <row r="2653" hidden="1" x14ac:dyDescent="0.2"/>
    <row r="2654" hidden="1" x14ac:dyDescent="0.2"/>
    <row r="2655" hidden="1" x14ac:dyDescent="0.2"/>
    <row r="2656" hidden="1" x14ac:dyDescent="0.2"/>
    <row r="2657" hidden="1" x14ac:dyDescent="0.2"/>
    <row r="2658" hidden="1" x14ac:dyDescent="0.2"/>
    <row r="2659" hidden="1" x14ac:dyDescent="0.2"/>
    <row r="2660" hidden="1" x14ac:dyDescent="0.2"/>
    <row r="2661" hidden="1" x14ac:dyDescent="0.2"/>
    <row r="2662" hidden="1" x14ac:dyDescent="0.2"/>
    <row r="2663" hidden="1" x14ac:dyDescent="0.2"/>
    <row r="2664" hidden="1" x14ac:dyDescent="0.2"/>
    <row r="2665" hidden="1" x14ac:dyDescent="0.2"/>
    <row r="2666" hidden="1" x14ac:dyDescent="0.2"/>
    <row r="2667" hidden="1" x14ac:dyDescent="0.2"/>
    <row r="2668" hidden="1" x14ac:dyDescent="0.2"/>
    <row r="2669" hidden="1" x14ac:dyDescent="0.2"/>
    <row r="2670" hidden="1" x14ac:dyDescent="0.2"/>
    <row r="2671" hidden="1" x14ac:dyDescent="0.2"/>
    <row r="2672" hidden="1" x14ac:dyDescent="0.2"/>
    <row r="2673" hidden="1" x14ac:dyDescent="0.2"/>
    <row r="2674" hidden="1" x14ac:dyDescent="0.2"/>
    <row r="2675" hidden="1" x14ac:dyDescent="0.2"/>
    <row r="2676" hidden="1" x14ac:dyDescent="0.2"/>
    <row r="2677" hidden="1" x14ac:dyDescent="0.2"/>
    <row r="2678" hidden="1" x14ac:dyDescent="0.2"/>
    <row r="2679" hidden="1" x14ac:dyDescent="0.2"/>
    <row r="2680" hidden="1" x14ac:dyDescent="0.2"/>
    <row r="2681" hidden="1" x14ac:dyDescent="0.2"/>
    <row r="2682" hidden="1" x14ac:dyDescent="0.2"/>
    <row r="2683" hidden="1" x14ac:dyDescent="0.2"/>
    <row r="2684" hidden="1" x14ac:dyDescent="0.2"/>
    <row r="2685" hidden="1" x14ac:dyDescent="0.2"/>
    <row r="2686" hidden="1" x14ac:dyDescent="0.2"/>
    <row r="2687" hidden="1" x14ac:dyDescent="0.2"/>
    <row r="2688" hidden="1" x14ac:dyDescent="0.2"/>
    <row r="2689" hidden="1" x14ac:dyDescent="0.2"/>
    <row r="2690" hidden="1" x14ac:dyDescent="0.2"/>
    <row r="2691" hidden="1" x14ac:dyDescent="0.2"/>
    <row r="2692" hidden="1" x14ac:dyDescent="0.2"/>
    <row r="2693" hidden="1" x14ac:dyDescent="0.2"/>
    <row r="2694" hidden="1" x14ac:dyDescent="0.2"/>
    <row r="2695" hidden="1" x14ac:dyDescent="0.2"/>
    <row r="2696" hidden="1" x14ac:dyDescent="0.2"/>
    <row r="2697" hidden="1" x14ac:dyDescent="0.2"/>
    <row r="2698" hidden="1" x14ac:dyDescent="0.2"/>
    <row r="2699" hidden="1" x14ac:dyDescent="0.2"/>
    <row r="2700" hidden="1" x14ac:dyDescent="0.2"/>
    <row r="2701" hidden="1" x14ac:dyDescent="0.2"/>
    <row r="2702" hidden="1" x14ac:dyDescent="0.2"/>
    <row r="2703" hidden="1" x14ac:dyDescent="0.2"/>
    <row r="2704" hidden="1" x14ac:dyDescent="0.2"/>
    <row r="2705" hidden="1" x14ac:dyDescent="0.2"/>
    <row r="2706" hidden="1" x14ac:dyDescent="0.2"/>
    <row r="2707" hidden="1" x14ac:dyDescent="0.2"/>
    <row r="2708" hidden="1" x14ac:dyDescent="0.2"/>
    <row r="2709" hidden="1" x14ac:dyDescent="0.2"/>
    <row r="2710" hidden="1" x14ac:dyDescent="0.2"/>
    <row r="2711" hidden="1" x14ac:dyDescent="0.2"/>
    <row r="2712" hidden="1" x14ac:dyDescent="0.2"/>
    <row r="2713" hidden="1" x14ac:dyDescent="0.2"/>
    <row r="2714" hidden="1" x14ac:dyDescent="0.2"/>
    <row r="2715" hidden="1" x14ac:dyDescent="0.2"/>
    <row r="2716" hidden="1" x14ac:dyDescent="0.2"/>
    <row r="2717" hidden="1" x14ac:dyDescent="0.2"/>
    <row r="2718" hidden="1" x14ac:dyDescent="0.2"/>
    <row r="2719" hidden="1" x14ac:dyDescent="0.2"/>
    <row r="2720" hidden="1" x14ac:dyDescent="0.2"/>
    <row r="2721" hidden="1" x14ac:dyDescent="0.2"/>
    <row r="2722" hidden="1" x14ac:dyDescent="0.2"/>
    <row r="2723" hidden="1" x14ac:dyDescent="0.2"/>
    <row r="2724" hidden="1" x14ac:dyDescent="0.2"/>
    <row r="2725" hidden="1" x14ac:dyDescent="0.2"/>
    <row r="2726" hidden="1" x14ac:dyDescent="0.2"/>
    <row r="2727" hidden="1" x14ac:dyDescent="0.2"/>
    <row r="2728" hidden="1" x14ac:dyDescent="0.2"/>
    <row r="2729" hidden="1" x14ac:dyDescent="0.2"/>
    <row r="2730" hidden="1" x14ac:dyDescent="0.2"/>
    <row r="2731" hidden="1" x14ac:dyDescent="0.2"/>
    <row r="2732" hidden="1" x14ac:dyDescent="0.2"/>
    <row r="2733" hidden="1" x14ac:dyDescent="0.2"/>
    <row r="2734" hidden="1" x14ac:dyDescent="0.2"/>
    <row r="2735" hidden="1" x14ac:dyDescent="0.2"/>
    <row r="2736" hidden="1" x14ac:dyDescent="0.2"/>
    <row r="2737" hidden="1" x14ac:dyDescent="0.2"/>
    <row r="2738" hidden="1" x14ac:dyDescent="0.2"/>
    <row r="2739" hidden="1" x14ac:dyDescent="0.2"/>
    <row r="2740" hidden="1" x14ac:dyDescent="0.2"/>
    <row r="2741" hidden="1" x14ac:dyDescent="0.2"/>
    <row r="2742" hidden="1" x14ac:dyDescent="0.2"/>
    <row r="2743" hidden="1" x14ac:dyDescent="0.2"/>
    <row r="2744" hidden="1" x14ac:dyDescent="0.2"/>
    <row r="2745" hidden="1" x14ac:dyDescent="0.2"/>
    <row r="2746" hidden="1" x14ac:dyDescent="0.2"/>
    <row r="2747" hidden="1" x14ac:dyDescent="0.2"/>
    <row r="2748" hidden="1" x14ac:dyDescent="0.2"/>
    <row r="2749" hidden="1" x14ac:dyDescent="0.2"/>
    <row r="2750" hidden="1" x14ac:dyDescent="0.2"/>
    <row r="2751" hidden="1" x14ac:dyDescent="0.2"/>
    <row r="2752" hidden="1" x14ac:dyDescent="0.2"/>
    <row r="2753" hidden="1" x14ac:dyDescent="0.2"/>
    <row r="2754" hidden="1" x14ac:dyDescent="0.2"/>
    <row r="2755" hidden="1" x14ac:dyDescent="0.2"/>
    <row r="2756" hidden="1" x14ac:dyDescent="0.2"/>
    <row r="2757" hidden="1" x14ac:dyDescent="0.2"/>
    <row r="2758" hidden="1" x14ac:dyDescent="0.2"/>
    <row r="2759" hidden="1" x14ac:dyDescent="0.2"/>
    <row r="2760" hidden="1" x14ac:dyDescent="0.2"/>
    <row r="2761" hidden="1" x14ac:dyDescent="0.2"/>
    <row r="2762" hidden="1" x14ac:dyDescent="0.2"/>
    <row r="2763" hidden="1" x14ac:dyDescent="0.2"/>
    <row r="2764" hidden="1" x14ac:dyDescent="0.2"/>
    <row r="2765" hidden="1" x14ac:dyDescent="0.2"/>
    <row r="2766" hidden="1" x14ac:dyDescent="0.2"/>
    <row r="2767" hidden="1" x14ac:dyDescent="0.2"/>
    <row r="2768" hidden="1" x14ac:dyDescent="0.2"/>
    <row r="2769" hidden="1" x14ac:dyDescent="0.2"/>
    <row r="2770" hidden="1" x14ac:dyDescent="0.2"/>
    <row r="2771" hidden="1" x14ac:dyDescent="0.2"/>
    <row r="2772" hidden="1" x14ac:dyDescent="0.2"/>
    <row r="2773" hidden="1" x14ac:dyDescent="0.2"/>
    <row r="2774" hidden="1" x14ac:dyDescent="0.2"/>
    <row r="2775" hidden="1" x14ac:dyDescent="0.2"/>
    <row r="2776" hidden="1" x14ac:dyDescent="0.2"/>
    <row r="2777" hidden="1" x14ac:dyDescent="0.2"/>
    <row r="2778" hidden="1" x14ac:dyDescent="0.2"/>
    <row r="2779" hidden="1" x14ac:dyDescent="0.2"/>
    <row r="2780" hidden="1" x14ac:dyDescent="0.2"/>
    <row r="2781" hidden="1" x14ac:dyDescent="0.2"/>
    <row r="2782" hidden="1" x14ac:dyDescent="0.2"/>
    <row r="2783" hidden="1" x14ac:dyDescent="0.2"/>
    <row r="2784" hidden="1" x14ac:dyDescent="0.2"/>
    <row r="2785" hidden="1" x14ac:dyDescent="0.2"/>
    <row r="2786" hidden="1" x14ac:dyDescent="0.2"/>
    <row r="2787" hidden="1" x14ac:dyDescent="0.2"/>
    <row r="2788" hidden="1" x14ac:dyDescent="0.2"/>
    <row r="2789" hidden="1" x14ac:dyDescent="0.2"/>
    <row r="2790" hidden="1" x14ac:dyDescent="0.2"/>
    <row r="2791" hidden="1" x14ac:dyDescent="0.2"/>
    <row r="2792" hidden="1" x14ac:dyDescent="0.2"/>
    <row r="2793" hidden="1" x14ac:dyDescent="0.2"/>
    <row r="2794" hidden="1" x14ac:dyDescent="0.2"/>
    <row r="2795" hidden="1" x14ac:dyDescent="0.2"/>
    <row r="2796" hidden="1" x14ac:dyDescent="0.2"/>
    <row r="2797" hidden="1" x14ac:dyDescent="0.2"/>
    <row r="2798" hidden="1" x14ac:dyDescent="0.2"/>
    <row r="2799" hidden="1" x14ac:dyDescent="0.2"/>
    <row r="2800" hidden="1" x14ac:dyDescent="0.2"/>
    <row r="2801" hidden="1" x14ac:dyDescent="0.2"/>
    <row r="2802" hidden="1" x14ac:dyDescent="0.2"/>
    <row r="2803" hidden="1" x14ac:dyDescent="0.2"/>
    <row r="2804" hidden="1" x14ac:dyDescent="0.2"/>
    <row r="2805" hidden="1" x14ac:dyDescent="0.2"/>
    <row r="2806" hidden="1" x14ac:dyDescent="0.2"/>
    <row r="2807" hidden="1" x14ac:dyDescent="0.2"/>
    <row r="2808" hidden="1" x14ac:dyDescent="0.2"/>
    <row r="2809" hidden="1" x14ac:dyDescent="0.2"/>
    <row r="2810" hidden="1" x14ac:dyDescent="0.2"/>
    <row r="2811" hidden="1" x14ac:dyDescent="0.2"/>
    <row r="2812" hidden="1" x14ac:dyDescent="0.2"/>
    <row r="2813" hidden="1" x14ac:dyDescent="0.2"/>
    <row r="2814" hidden="1" x14ac:dyDescent="0.2"/>
    <row r="2815" hidden="1" x14ac:dyDescent="0.2"/>
    <row r="2816" hidden="1" x14ac:dyDescent="0.2"/>
    <row r="2817" hidden="1" x14ac:dyDescent="0.2"/>
    <row r="2818" hidden="1" x14ac:dyDescent="0.2"/>
    <row r="2819" hidden="1" x14ac:dyDescent="0.2"/>
    <row r="2820" hidden="1" x14ac:dyDescent="0.2"/>
    <row r="2821" hidden="1" x14ac:dyDescent="0.2"/>
    <row r="2822" hidden="1" x14ac:dyDescent="0.2"/>
    <row r="2823" hidden="1" x14ac:dyDescent="0.2"/>
    <row r="2824" hidden="1" x14ac:dyDescent="0.2"/>
    <row r="2825" hidden="1" x14ac:dyDescent="0.2"/>
    <row r="2826" hidden="1" x14ac:dyDescent="0.2"/>
    <row r="2827" hidden="1" x14ac:dyDescent="0.2"/>
    <row r="2828" hidden="1" x14ac:dyDescent="0.2"/>
    <row r="2829" hidden="1" x14ac:dyDescent="0.2"/>
    <row r="2830" hidden="1" x14ac:dyDescent="0.2"/>
    <row r="2831" hidden="1" x14ac:dyDescent="0.2"/>
    <row r="2832" hidden="1" x14ac:dyDescent="0.2"/>
    <row r="2833" hidden="1" x14ac:dyDescent="0.2"/>
    <row r="2834" hidden="1" x14ac:dyDescent="0.2"/>
    <row r="2835" hidden="1" x14ac:dyDescent="0.2"/>
    <row r="2836" hidden="1" x14ac:dyDescent="0.2"/>
    <row r="2837" hidden="1" x14ac:dyDescent="0.2"/>
    <row r="2838" hidden="1" x14ac:dyDescent="0.2"/>
    <row r="2839" hidden="1" x14ac:dyDescent="0.2"/>
    <row r="2840" hidden="1" x14ac:dyDescent="0.2"/>
    <row r="2841" hidden="1" x14ac:dyDescent="0.2"/>
    <row r="2842" hidden="1" x14ac:dyDescent="0.2"/>
    <row r="2843" hidden="1" x14ac:dyDescent="0.2"/>
    <row r="2844" hidden="1" x14ac:dyDescent="0.2"/>
    <row r="2845" hidden="1" x14ac:dyDescent="0.2"/>
    <row r="2846" hidden="1" x14ac:dyDescent="0.2"/>
    <row r="2847" hidden="1" x14ac:dyDescent="0.2"/>
    <row r="2848" hidden="1" x14ac:dyDescent="0.2"/>
    <row r="2849" hidden="1" x14ac:dyDescent="0.2"/>
    <row r="2850" hidden="1" x14ac:dyDescent="0.2"/>
    <row r="2851" hidden="1" x14ac:dyDescent="0.2"/>
    <row r="2852" hidden="1" x14ac:dyDescent="0.2"/>
    <row r="2853" hidden="1" x14ac:dyDescent="0.2"/>
    <row r="2854" hidden="1" x14ac:dyDescent="0.2"/>
    <row r="2855" hidden="1" x14ac:dyDescent="0.2"/>
    <row r="2856" hidden="1" x14ac:dyDescent="0.2"/>
    <row r="2857" hidden="1" x14ac:dyDescent="0.2"/>
    <row r="2858" hidden="1" x14ac:dyDescent="0.2"/>
    <row r="2859" hidden="1" x14ac:dyDescent="0.2"/>
    <row r="2860" hidden="1" x14ac:dyDescent="0.2"/>
    <row r="2861" hidden="1" x14ac:dyDescent="0.2"/>
    <row r="2862" hidden="1" x14ac:dyDescent="0.2"/>
    <row r="2863" hidden="1" x14ac:dyDescent="0.2"/>
    <row r="2864" hidden="1" x14ac:dyDescent="0.2"/>
    <row r="2865" hidden="1" x14ac:dyDescent="0.2"/>
    <row r="2866" hidden="1" x14ac:dyDescent="0.2"/>
    <row r="2867" hidden="1" x14ac:dyDescent="0.2"/>
    <row r="2868" hidden="1" x14ac:dyDescent="0.2"/>
    <row r="2869" hidden="1" x14ac:dyDescent="0.2"/>
    <row r="2870" hidden="1" x14ac:dyDescent="0.2"/>
    <row r="2871" hidden="1" x14ac:dyDescent="0.2"/>
    <row r="2872" hidden="1" x14ac:dyDescent="0.2"/>
    <row r="2873" hidden="1" x14ac:dyDescent="0.2"/>
    <row r="2874" hidden="1" x14ac:dyDescent="0.2"/>
    <row r="2875" hidden="1" x14ac:dyDescent="0.2"/>
    <row r="2876" hidden="1" x14ac:dyDescent="0.2"/>
    <row r="2877" hidden="1" x14ac:dyDescent="0.2"/>
    <row r="2878" hidden="1" x14ac:dyDescent="0.2"/>
    <row r="2879" hidden="1" x14ac:dyDescent="0.2"/>
    <row r="2880" hidden="1" x14ac:dyDescent="0.2"/>
    <row r="2881" hidden="1" x14ac:dyDescent="0.2"/>
    <row r="2882" hidden="1" x14ac:dyDescent="0.2"/>
    <row r="2883" hidden="1" x14ac:dyDescent="0.2"/>
    <row r="2884" hidden="1" x14ac:dyDescent="0.2"/>
    <row r="2885" hidden="1" x14ac:dyDescent="0.2"/>
    <row r="2886" hidden="1" x14ac:dyDescent="0.2"/>
    <row r="2887" hidden="1" x14ac:dyDescent="0.2"/>
    <row r="2888" hidden="1" x14ac:dyDescent="0.2"/>
    <row r="2889" hidden="1" x14ac:dyDescent="0.2"/>
    <row r="2890" hidden="1" x14ac:dyDescent="0.2"/>
    <row r="2891" hidden="1" x14ac:dyDescent="0.2"/>
    <row r="2892" hidden="1" x14ac:dyDescent="0.2"/>
    <row r="2893" hidden="1" x14ac:dyDescent="0.2"/>
    <row r="2894" hidden="1" x14ac:dyDescent="0.2"/>
    <row r="2895" hidden="1" x14ac:dyDescent="0.2"/>
    <row r="2896" hidden="1" x14ac:dyDescent="0.2"/>
    <row r="2897" hidden="1" x14ac:dyDescent="0.2"/>
    <row r="2898" hidden="1" x14ac:dyDescent="0.2"/>
    <row r="2899" hidden="1" x14ac:dyDescent="0.2"/>
    <row r="2900" hidden="1" x14ac:dyDescent="0.2"/>
    <row r="2901" hidden="1" x14ac:dyDescent="0.2"/>
    <row r="2902" hidden="1" x14ac:dyDescent="0.2"/>
    <row r="2903" hidden="1" x14ac:dyDescent="0.2"/>
    <row r="2904" hidden="1" x14ac:dyDescent="0.2"/>
    <row r="2905" hidden="1" x14ac:dyDescent="0.2"/>
    <row r="2906" hidden="1" x14ac:dyDescent="0.2"/>
    <row r="2907" hidden="1" x14ac:dyDescent="0.2"/>
    <row r="2908" hidden="1" x14ac:dyDescent="0.2"/>
    <row r="2909" hidden="1" x14ac:dyDescent="0.2"/>
    <row r="2910" hidden="1" x14ac:dyDescent="0.2"/>
    <row r="2911" hidden="1" x14ac:dyDescent="0.2"/>
    <row r="2912" hidden="1" x14ac:dyDescent="0.2"/>
    <row r="2913" hidden="1" x14ac:dyDescent="0.2"/>
    <row r="2914" hidden="1" x14ac:dyDescent="0.2"/>
    <row r="2915" hidden="1" x14ac:dyDescent="0.2"/>
    <row r="2916" hidden="1" x14ac:dyDescent="0.2"/>
    <row r="2917" hidden="1" x14ac:dyDescent="0.2"/>
    <row r="2918" hidden="1" x14ac:dyDescent="0.2"/>
    <row r="2919" hidden="1" x14ac:dyDescent="0.2"/>
    <row r="2920" hidden="1" x14ac:dyDescent="0.2"/>
    <row r="2921" hidden="1" x14ac:dyDescent="0.2"/>
    <row r="2922" hidden="1" x14ac:dyDescent="0.2"/>
    <row r="2923" hidden="1" x14ac:dyDescent="0.2"/>
    <row r="2924" hidden="1" x14ac:dyDescent="0.2"/>
    <row r="2925" hidden="1" x14ac:dyDescent="0.2"/>
    <row r="2926" hidden="1" x14ac:dyDescent="0.2"/>
    <row r="2927" hidden="1" x14ac:dyDescent="0.2"/>
    <row r="2928" hidden="1" x14ac:dyDescent="0.2"/>
    <row r="2929" hidden="1" x14ac:dyDescent="0.2"/>
    <row r="2930" hidden="1" x14ac:dyDescent="0.2"/>
    <row r="2931" hidden="1" x14ac:dyDescent="0.2"/>
    <row r="2932" hidden="1" x14ac:dyDescent="0.2"/>
    <row r="2933" hidden="1" x14ac:dyDescent="0.2"/>
    <row r="2934" hidden="1" x14ac:dyDescent="0.2"/>
    <row r="2935" hidden="1" x14ac:dyDescent="0.2"/>
    <row r="2936" hidden="1" x14ac:dyDescent="0.2"/>
    <row r="2937" hidden="1" x14ac:dyDescent="0.2"/>
    <row r="2938" hidden="1" x14ac:dyDescent="0.2"/>
    <row r="2939" hidden="1" x14ac:dyDescent="0.2"/>
    <row r="2940" hidden="1" x14ac:dyDescent="0.2"/>
    <row r="2941" hidden="1" x14ac:dyDescent="0.2"/>
    <row r="2942" hidden="1" x14ac:dyDescent="0.2"/>
    <row r="2943" hidden="1" x14ac:dyDescent="0.2"/>
    <row r="2944" hidden="1" x14ac:dyDescent="0.2"/>
    <row r="2945" hidden="1" x14ac:dyDescent="0.2"/>
    <row r="2946" hidden="1" x14ac:dyDescent="0.2"/>
    <row r="2947" hidden="1" x14ac:dyDescent="0.2"/>
    <row r="2948" hidden="1" x14ac:dyDescent="0.2"/>
    <row r="2949" hidden="1" x14ac:dyDescent="0.2"/>
    <row r="2950" hidden="1" x14ac:dyDescent="0.2"/>
    <row r="2951" hidden="1" x14ac:dyDescent="0.2"/>
    <row r="2952" hidden="1" x14ac:dyDescent="0.2"/>
    <row r="2953" hidden="1" x14ac:dyDescent="0.2"/>
    <row r="2954" hidden="1" x14ac:dyDescent="0.2"/>
    <row r="2955" hidden="1" x14ac:dyDescent="0.2"/>
    <row r="2956" hidden="1" x14ac:dyDescent="0.2"/>
    <row r="2957" hidden="1" x14ac:dyDescent="0.2"/>
    <row r="2958" hidden="1" x14ac:dyDescent="0.2"/>
    <row r="2959" hidden="1" x14ac:dyDescent="0.2"/>
    <row r="2960" hidden="1" x14ac:dyDescent="0.2"/>
    <row r="2961" hidden="1" x14ac:dyDescent="0.2"/>
    <row r="2962" hidden="1" x14ac:dyDescent="0.2"/>
    <row r="2963" hidden="1" x14ac:dyDescent="0.2"/>
    <row r="2964" hidden="1" x14ac:dyDescent="0.2"/>
    <row r="2965" hidden="1" x14ac:dyDescent="0.2"/>
    <row r="2966" hidden="1" x14ac:dyDescent="0.2"/>
    <row r="2967" hidden="1" x14ac:dyDescent="0.2"/>
    <row r="2968" hidden="1" x14ac:dyDescent="0.2"/>
    <row r="2969" hidden="1" x14ac:dyDescent="0.2"/>
    <row r="2970" hidden="1" x14ac:dyDescent="0.2"/>
    <row r="2971" hidden="1" x14ac:dyDescent="0.2"/>
    <row r="2972" hidden="1" x14ac:dyDescent="0.2"/>
    <row r="2973" hidden="1" x14ac:dyDescent="0.2"/>
    <row r="2974" hidden="1" x14ac:dyDescent="0.2"/>
    <row r="2975" hidden="1" x14ac:dyDescent="0.2"/>
    <row r="2976" hidden="1" x14ac:dyDescent="0.2"/>
    <row r="2977" hidden="1" x14ac:dyDescent="0.2"/>
    <row r="2978" hidden="1" x14ac:dyDescent="0.2"/>
    <row r="2979" hidden="1" x14ac:dyDescent="0.2"/>
    <row r="2980" hidden="1" x14ac:dyDescent="0.2"/>
    <row r="2981" hidden="1" x14ac:dyDescent="0.2"/>
    <row r="2982" hidden="1" x14ac:dyDescent="0.2"/>
    <row r="2983" hidden="1" x14ac:dyDescent="0.2"/>
    <row r="2984" hidden="1" x14ac:dyDescent="0.2"/>
    <row r="2985" hidden="1" x14ac:dyDescent="0.2"/>
    <row r="2986" hidden="1" x14ac:dyDescent="0.2"/>
    <row r="2987" hidden="1" x14ac:dyDescent="0.2"/>
    <row r="2988" hidden="1" x14ac:dyDescent="0.2"/>
    <row r="2989" hidden="1" x14ac:dyDescent="0.2"/>
    <row r="2990" hidden="1" x14ac:dyDescent="0.2"/>
    <row r="2991" hidden="1" x14ac:dyDescent="0.2"/>
    <row r="2992" hidden="1" x14ac:dyDescent="0.2"/>
    <row r="2993" hidden="1" x14ac:dyDescent="0.2"/>
    <row r="2994" hidden="1" x14ac:dyDescent="0.2"/>
    <row r="2995" hidden="1" x14ac:dyDescent="0.2"/>
    <row r="2996" hidden="1" x14ac:dyDescent="0.2"/>
    <row r="2997" hidden="1" x14ac:dyDescent="0.2"/>
    <row r="2998" hidden="1" x14ac:dyDescent="0.2"/>
    <row r="2999" hidden="1" x14ac:dyDescent="0.2"/>
    <row r="3000" hidden="1" x14ac:dyDescent="0.2"/>
    <row r="3001" hidden="1" x14ac:dyDescent="0.2"/>
    <row r="3002" hidden="1" x14ac:dyDescent="0.2"/>
    <row r="3003" hidden="1" x14ac:dyDescent="0.2"/>
    <row r="3004" hidden="1" x14ac:dyDescent="0.2"/>
    <row r="3005" hidden="1" x14ac:dyDescent="0.2"/>
    <row r="3006" hidden="1" x14ac:dyDescent="0.2"/>
    <row r="3007" hidden="1" x14ac:dyDescent="0.2"/>
    <row r="3008" hidden="1" x14ac:dyDescent="0.2"/>
    <row r="3009" hidden="1" x14ac:dyDescent="0.2"/>
    <row r="3010" hidden="1" x14ac:dyDescent="0.2"/>
    <row r="3011" hidden="1" x14ac:dyDescent="0.2"/>
    <row r="3012" hidden="1" x14ac:dyDescent="0.2"/>
    <row r="3013" hidden="1" x14ac:dyDescent="0.2"/>
    <row r="3014" hidden="1" x14ac:dyDescent="0.2"/>
    <row r="3015" hidden="1" x14ac:dyDescent="0.2"/>
    <row r="3016" hidden="1" x14ac:dyDescent="0.2"/>
    <row r="3017" hidden="1" x14ac:dyDescent="0.2"/>
    <row r="3018" hidden="1" x14ac:dyDescent="0.2"/>
    <row r="3019" hidden="1" x14ac:dyDescent="0.2"/>
    <row r="3020" hidden="1" x14ac:dyDescent="0.2"/>
    <row r="3021" hidden="1" x14ac:dyDescent="0.2"/>
    <row r="3022" hidden="1" x14ac:dyDescent="0.2"/>
    <row r="3023" hidden="1" x14ac:dyDescent="0.2"/>
    <row r="3024" hidden="1" x14ac:dyDescent="0.2"/>
    <row r="3025" hidden="1" x14ac:dyDescent="0.2"/>
    <row r="3026" hidden="1" x14ac:dyDescent="0.2"/>
    <row r="3027" hidden="1" x14ac:dyDescent="0.2"/>
    <row r="3028" hidden="1" x14ac:dyDescent="0.2"/>
    <row r="3029" hidden="1" x14ac:dyDescent="0.2"/>
    <row r="3030" hidden="1" x14ac:dyDescent="0.2"/>
    <row r="3031" hidden="1" x14ac:dyDescent="0.2"/>
    <row r="3032" hidden="1" x14ac:dyDescent="0.2"/>
    <row r="3033" hidden="1" x14ac:dyDescent="0.2"/>
    <row r="3034" hidden="1" x14ac:dyDescent="0.2"/>
    <row r="3035" hidden="1" x14ac:dyDescent="0.2"/>
    <row r="3036" hidden="1" x14ac:dyDescent="0.2"/>
    <row r="3037" hidden="1" x14ac:dyDescent="0.2"/>
    <row r="3038" hidden="1" x14ac:dyDescent="0.2"/>
    <row r="3039" hidden="1" x14ac:dyDescent="0.2"/>
    <row r="3040" hidden="1" x14ac:dyDescent="0.2"/>
    <row r="3041" hidden="1" x14ac:dyDescent="0.2"/>
    <row r="3042" hidden="1" x14ac:dyDescent="0.2"/>
    <row r="3043" hidden="1" x14ac:dyDescent="0.2"/>
    <row r="3044" hidden="1" x14ac:dyDescent="0.2"/>
    <row r="3045" hidden="1" x14ac:dyDescent="0.2"/>
    <row r="3046" hidden="1" x14ac:dyDescent="0.2"/>
    <row r="3047" hidden="1" x14ac:dyDescent="0.2"/>
    <row r="3048" hidden="1" x14ac:dyDescent="0.2"/>
    <row r="3049" hidden="1" x14ac:dyDescent="0.2"/>
    <row r="3050" hidden="1" x14ac:dyDescent="0.2"/>
    <row r="3051" hidden="1" x14ac:dyDescent="0.2"/>
    <row r="3052" hidden="1" x14ac:dyDescent="0.2"/>
    <row r="3053" hidden="1" x14ac:dyDescent="0.2"/>
    <row r="3054" hidden="1" x14ac:dyDescent="0.2"/>
    <row r="3055" hidden="1" x14ac:dyDescent="0.2"/>
    <row r="3056" hidden="1" x14ac:dyDescent="0.2"/>
    <row r="3057" hidden="1" x14ac:dyDescent="0.2"/>
    <row r="3058" hidden="1" x14ac:dyDescent="0.2"/>
    <row r="3059" hidden="1" x14ac:dyDescent="0.2"/>
    <row r="3060" hidden="1" x14ac:dyDescent="0.2"/>
    <row r="3061" hidden="1" x14ac:dyDescent="0.2"/>
    <row r="3062" hidden="1" x14ac:dyDescent="0.2"/>
    <row r="3063" hidden="1" x14ac:dyDescent="0.2"/>
    <row r="3064" hidden="1" x14ac:dyDescent="0.2"/>
    <row r="3065" hidden="1" x14ac:dyDescent="0.2"/>
    <row r="3066" hidden="1" x14ac:dyDescent="0.2"/>
    <row r="3067" hidden="1" x14ac:dyDescent="0.2"/>
    <row r="3068" hidden="1" x14ac:dyDescent="0.2"/>
    <row r="3069" hidden="1" x14ac:dyDescent="0.2"/>
    <row r="3070" hidden="1" x14ac:dyDescent="0.2"/>
    <row r="3071" hidden="1" x14ac:dyDescent="0.2"/>
    <row r="3072" hidden="1" x14ac:dyDescent="0.2"/>
    <row r="3073" hidden="1" x14ac:dyDescent="0.2"/>
    <row r="3074" hidden="1" x14ac:dyDescent="0.2"/>
    <row r="3075" hidden="1" x14ac:dyDescent="0.2"/>
    <row r="3076" hidden="1" x14ac:dyDescent="0.2"/>
    <row r="3077" hidden="1" x14ac:dyDescent="0.2"/>
    <row r="3078" hidden="1" x14ac:dyDescent="0.2"/>
    <row r="3079" hidden="1" x14ac:dyDescent="0.2"/>
    <row r="3080" hidden="1" x14ac:dyDescent="0.2"/>
    <row r="3081" hidden="1" x14ac:dyDescent="0.2"/>
    <row r="3082" hidden="1" x14ac:dyDescent="0.2"/>
    <row r="3083" hidden="1" x14ac:dyDescent="0.2"/>
    <row r="3084" hidden="1" x14ac:dyDescent="0.2"/>
    <row r="3085" hidden="1" x14ac:dyDescent="0.2"/>
    <row r="3086" hidden="1" x14ac:dyDescent="0.2"/>
    <row r="3087" hidden="1" x14ac:dyDescent="0.2"/>
    <row r="3088" hidden="1" x14ac:dyDescent="0.2"/>
    <row r="3089" hidden="1" x14ac:dyDescent="0.2"/>
    <row r="3090" hidden="1" x14ac:dyDescent="0.2"/>
    <row r="3091" hidden="1" x14ac:dyDescent="0.2"/>
    <row r="3092" hidden="1" x14ac:dyDescent="0.2"/>
    <row r="3093" hidden="1" x14ac:dyDescent="0.2"/>
    <row r="3094" hidden="1" x14ac:dyDescent="0.2"/>
    <row r="3095" hidden="1" x14ac:dyDescent="0.2"/>
    <row r="3096" hidden="1" x14ac:dyDescent="0.2"/>
    <row r="3097" hidden="1" x14ac:dyDescent="0.2"/>
    <row r="3098" hidden="1" x14ac:dyDescent="0.2"/>
    <row r="3099" hidden="1" x14ac:dyDescent="0.2"/>
    <row r="3100" hidden="1" x14ac:dyDescent="0.2"/>
    <row r="3101" hidden="1" x14ac:dyDescent="0.2"/>
    <row r="3102" hidden="1" x14ac:dyDescent="0.2"/>
    <row r="3103" hidden="1" x14ac:dyDescent="0.2"/>
    <row r="3104" hidden="1" x14ac:dyDescent="0.2"/>
    <row r="3105" hidden="1" x14ac:dyDescent="0.2"/>
    <row r="3106" hidden="1" x14ac:dyDescent="0.2"/>
    <row r="3107" hidden="1" x14ac:dyDescent="0.2"/>
    <row r="3108" hidden="1" x14ac:dyDescent="0.2"/>
    <row r="3109" hidden="1" x14ac:dyDescent="0.2"/>
    <row r="3110" hidden="1" x14ac:dyDescent="0.2"/>
    <row r="3111" hidden="1" x14ac:dyDescent="0.2"/>
    <row r="3112" hidden="1" x14ac:dyDescent="0.2"/>
    <row r="3113" hidden="1" x14ac:dyDescent="0.2"/>
    <row r="3114" hidden="1" x14ac:dyDescent="0.2"/>
    <row r="3115" hidden="1" x14ac:dyDescent="0.2"/>
    <row r="3116" hidden="1" x14ac:dyDescent="0.2"/>
    <row r="3117" hidden="1" x14ac:dyDescent="0.2"/>
    <row r="3118" hidden="1" x14ac:dyDescent="0.2"/>
    <row r="3119" hidden="1" x14ac:dyDescent="0.2"/>
    <row r="3120" hidden="1" x14ac:dyDescent="0.2"/>
    <row r="3121" hidden="1" x14ac:dyDescent="0.2"/>
    <row r="3122" hidden="1" x14ac:dyDescent="0.2"/>
    <row r="3123" hidden="1" x14ac:dyDescent="0.2"/>
    <row r="3124" hidden="1" x14ac:dyDescent="0.2"/>
    <row r="3125" hidden="1" x14ac:dyDescent="0.2"/>
    <row r="3126" hidden="1" x14ac:dyDescent="0.2"/>
    <row r="3127" hidden="1" x14ac:dyDescent="0.2"/>
    <row r="3128" hidden="1" x14ac:dyDescent="0.2"/>
    <row r="3129" hidden="1" x14ac:dyDescent="0.2"/>
    <row r="3130" hidden="1" x14ac:dyDescent="0.2"/>
    <row r="3131" hidden="1" x14ac:dyDescent="0.2"/>
    <row r="3132" hidden="1" x14ac:dyDescent="0.2"/>
    <row r="3133" hidden="1" x14ac:dyDescent="0.2"/>
    <row r="3134" hidden="1" x14ac:dyDescent="0.2"/>
    <row r="3135" hidden="1" x14ac:dyDescent="0.2"/>
    <row r="3136" hidden="1" x14ac:dyDescent="0.2"/>
    <row r="3137" hidden="1" x14ac:dyDescent="0.2"/>
    <row r="3138" hidden="1" x14ac:dyDescent="0.2"/>
    <row r="3139" hidden="1" x14ac:dyDescent="0.2"/>
    <row r="3140" hidden="1" x14ac:dyDescent="0.2"/>
    <row r="3141" hidden="1" x14ac:dyDescent="0.2"/>
    <row r="3142" hidden="1" x14ac:dyDescent="0.2"/>
    <row r="3143" hidden="1" x14ac:dyDescent="0.2"/>
    <row r="3144" hidden="1" x14ac:dyDescent="0.2"/>
    <row r="3145" hidden="1" x14ac:dyDescent="0.2"/>
    <row r="3146" hidden="1" x14ac:dyDescent="0.2"/>
    <row r="3147" hidden="1" x14ac:dyDescent="0.2"/>
    <row r="3148" hidden="1" x14ac:dyDescent="0.2"/>
    <row r="3149" hidden="1" x14ac:dyDescent="0.2"/>
    <row r="3150" hidden="1" x14ac:dyDescent="0.2"/>
    <row r="3151" hidden="1" x14ac:dyDescent="0.2"/>
    <row r="3152" hidden="1" x14ac:dyDescent="0.2"/>
    <row r="3153" hidden="1" x14ac:dyDescent="0.2"/>
    <row r="3154" hidden="1" x14ac:dyDescent="0.2"/>
    <row r="3155" hidden="1" x14ac:dyDescent="0.2"/>
    <row r="3156" hidden="1" x14ac:dyDescent="0.2"/>
    <row r="3157" hidden="1" x14ac:dyDescent="0.2"/>
    <row r="3158" hidden="1" x14ac:dyDescent="0.2"/>
    <row r="3159" hidden="1" x14ac:dyDescent="0.2"/>
    <row r="3160" hidden="1" x14ac:dyDescent="0.2"/>
    <row r="3161" hidden="1" x14ac:dyDescent="0.2"/>
    <row r="3162" hidden="1" x14ac:dyDescent="0.2"/>
    <row r="3163" hidden="1" x14ac:dyDescent="0.2"/>
    <row r="3164" hidden="1" x14ac:dyDescent="0.2"/>
    <row r="3165" hidden="1" x14ac:dyDescent="0.2"/>
    <row r="3166" hidden="1" x14ac:dyDescent="0.2"/>
    <row r="3167" hidden="1" x14ac:dyDescent="0.2"/>
    <row r="3168" hidden="1" x14ac:dyDescent="0.2"/>
    <row r="3169" hidden="1" x14ac:dyDescent="0.2"/>
    <row r="3170" hidden="1" x14ac:dyDescent="0.2"/>
    <row r="3171" hidden="1" x14ac:dyDescent="0.2"/>
    <row r="3172" hidden="1" x14ac:dyDescent="0.2"/>
    <row r="3173" hidden="1" x14ac:dyDescent="0.2"/>
    <row r="3174" hidden="1" x14ac:dyDescent="0.2"/>
    <row r="3175" hidden="1" x14ac:dyDescent="0.2"/>
    <row r="3176" hidden="1" x14ac:dyDescent="0.2"/>
    <row r="3177" hidden="1" x14ac:dyDescent="0.2"/>
    <row r="3178" hidden="1" x14ac:dyDescent="0.2"/>
    <row r="3179" hidden="1" x14ac:dyDescent="0.2"/>
    <row r="3180" hidden="1" x14ac:dyDescent="0.2"/>
    <row r="3181" hidden="1" x14ac:dyDescent="0.2"/>
    <row r="3182" hidden="1" x14ac:dyDescent="0.2"/>
    <row r="3183" hidden="1" x14ac:dyDescent="0.2"/>
    <row r="3184" hidden="1" x14ac:dyDescent="0.2"/>
    <row r="3185" hidden="1" x14ac:dyDescent="0.2"/>
    <row r="3186" hidden="1" x14ac:dyDescent="0.2"/>
    <row r="3187" hidden="1" x14ac:dyDescent="0.2"/>
    <row r="3188" hidden="1" x14ac:dyDescent="0.2"/>
    <row r="3189" hidden="1" x14ac:dyDescent="0.2"/>
    <row r="3190" hidden="1" x14ac:dyDescent="0.2"/>
    <row r="3191" hidden="1" x14ac:dyDescent="0.2"/>
    <row r="3192" hidden="1" x14ac:dyDescent="0.2"/>
    <row r="3193" hidden="1" x14ac:dyDescent="0.2"/>
    <row r="3194" hidden="1" x14ac:dyDescent="0.2"/>
    <row r="3195" hidden="1" x14ac:dyDescent="0.2"/>
    <row r="3196" hidden="1" x14ac:dyDescent="0.2"/>
    <row r="3197" hidden="1" x14ac:dyDescent="0.2"/>
    <row r="3198" hidden="1" x14ac:dyDescent="0.2"/>
    <row r="3199" hidden="1" x14ac:dyDescent="0.2"/>
    <row r="3200" hidden="1" x14ac:dyDescent="0.2"/>
    <row r="3201" hidden="1" x14ac:dyDescent="0.2"/>
    <row r="3202" hidden="1" x14ac:dyDescent="0.2"/>
    <row r="3203" hidden="1" x14ac:dyDescent="0.2"/>
    <row r="3204" hidden="1" x14ac:dyDescent="0.2"/>
    <row r="3205" hidden="1" x14ac:dyDescent="0.2"/>
    <row r="3206" hidden="1" x14ac:dyDescent="0.2"/>
    <row r="3207" hidden="1" x14ac:dyDescent="0.2"/>
    <row r="3208" hidden="1" x14ac:dyDescent="0.2"/>
    <row r="3209" hidden="1" x14ac:dyDescent="0.2"/>
    <row r="3210" hidden="1" x14ac:dyDescent="0.2"/>
    <row r="3211" hidden="1" x14ac:dyDescent="0.2"/>
    <row r="3212" hidden="1" x14ac:dyDescent="0.2"/>
    <row r="3213" hidden="1" x14ac:dyDescent="0.2"/>
    <row r="3214" hidden="1" x14ac:dyDescent="0.2"/>
    <row r="3215" hidden="1" x14ac:dyDescent="0.2"/>
    <row r="3216" hidden="1" x14ac:dyDescent="0.2"/>
    <row r="3217" hidden="1" x14ac:dyDescent="0.2"/>
    <row r="3218" hidden="1" x14ac:dyDescent="0.2"/>
    <row r="3219" hidden="1" x14ac:dyDescent="0.2"/>
    <row r="3220" hidden="1" x14ac:dyDescent="0.2"/>
    <row r="3221" hidden="1" x14ac:dyDescent="0.2"/>
    <row r="3222" hidden="1" x14ac:dyDescent="0.2"/>
    <row r="3223" hidden="1" x14ac:dyDescent="0.2"/>
    <row r="3224" hidden="1" x14ac:dyDescent="0.2"/>
    <row r="3225" hidden="1" x14ac:dyDescent="0.2"/>
    <row r="3226" hidden="1" x14ac:dyDescent="0.2"/>
    <row r="3227" hidden="1" x14ac:dyDescent="0.2"/>
    <row r="3228" hidden="1" x14ac:dyDescent="0.2"/>
    <row r="3229" hidden="1" x14ac:dyDescent="0.2"/>
    <row r="3230" hidden="1" x14ac:dyDescent="0.2"/>
    <row r="3231" hidden="1" x14ac:dyDescent="0.2"/>
    <row r="3232" hidden="1" x14ac:dyDescent="0.2"/>
    <row r="3233" hidden="1" x14ac:dyDescent="0.2"/>
    <row r="3234" hidden="1" x14ac:dyDescent="0.2"/>
    <row r="3235" hidden="1" x14ac:dyDescent="0.2"/>
    <row r="3236" hidden="1" x14ac:dyDescent="0.2"/>
    <row r="3237" hidden="1" x14ac:dyDescent="0.2"/>
    <row r="3238" hidden="1" x14ac:dyDescent="0.2"/>
    <row r="3239" hidden="1" x14ac:dyDescent="0.2"/>
    <row r="3240" hidden="1" x14ac:dyDescent="0.2"/>
    <row r="3241" hidden="1" x14ac:dyDescent="0.2"/>
    <row r="3242" hidden="1" x14ac:dyDescent="0.2"/>
    <row r="3243" hidden="1" x14ac:dyDescent="0.2"/>
    <row r="3244" hidden="1" x14ac:dyDescent="0.2"/>
    <row r="3245" hidden="1" x14ac:dyDescent="0.2"/>
    <row r="3246" hidden="1" x14ac:dyDescent="0.2"/>
    <row r="3247" hidden="1" x14ac:dyDescent="0.2"/>
    <row r="3248" hidden="1" x14ac:dyDescent="0.2"/>
    <row r="3249" hidden="1" x14ac:dyDescent="0.2"/>
    <row r="3250" hidden="1" x14ac:dyDescent="0.2"/>
    <row r="3251" hidden="1" x14ac:dyDescent="0.2"/>
    <row r="3252" hidden="1" x14ac:dyDescent="0.2"/>
    <row r="3253" hidden="1" x14ac:dyDescent="0.2"/>
    <row r="3254" hidden="1" x14ac:dyDescent="0.2"/>
    <row r="3255" hidden="1" x14ac:dyDescent="0.2"/>
    <row r="3256" hidden="1" x14ac:dyDescent="0.2"/>
    <row r="3257" hidden="1" x14ac:dyDescent="0.2"/>
    <row r="3258" hidden="1" x14ac:dyDescent="0.2"/>
    <row r="3259" hidden="1" x14ac:dyDescent="0.2"/>
    <row r="3260" hidden="1" x14ac:dyDescent="0.2"/>
    <row r="3261" hidden="1" x14ac:dyDescent="0.2"/>
    <row r="3262" hidden="1" x14ac:dyDescent="0.2"/>
    <row r="3263" hidden="1" x14ac:dyDescent="0.2"/>
    <row r="3264" hidden="1" x14ac:dyDescent="0.2"/>
    <row r="3265" hidden="1" x14ac:dyDescent="0.2"/>
    <row r="3266" hidden="1" x14ac:dyDescent="0.2"/>
    <row r="3267" hidden="1" x14ac:dyDescent="0.2"/>
    <row r="3268" hidden="1" x14ac:dyDescent="0.2"/>
    <row r="3269" hidden="1" x14ac:dyDescent="0.2"/>
    <row r="3270" hidden="1" x14ac:dyDescent="0.2"/>
    <row r="3271" hidden="1" x14ac:dyDescent="0.2"/>
    <row r="3272" hidden="1" x14ac:dyDescent="0.2"/>
    <row r="3273" hidden="1" x14ac:dyDescent="0.2"/>
    <row r="3274" hidden="1" x14ac:dyDescent="0.2"/>
    <row r="3275" hidden="1" x14ac:dyDescent="0.2"/>
    <row r="3276" hidden="1" x14ac:dyDescent="0.2"/>
    <row r="3277" hidden="1" x14ac:dyDescent="0.2"/>
    <row r="3278" hidden="1" x14ac:dyDescent="0.2"/>
    <row r="3279" hidden="1" x14ac:dyDescent="0.2"/>
    <row r="3280" hidden="1" x14ac:dyDescent="0.2"/>
    <row r="3281" hidden="1" x14ac:dyDescent="0.2"/>
    <row r="3282" hidden="1" x14ac:dyDescent="0.2"/>
    <row r="3283" hidden="1" x14ac:dyDescent="0.2"/>
    <row r="3284" hidden="1" x14ac:dyDescent="0.2"/>
    <row r="3285" hidden="1" x14ac:dyDescent="0.2"/>
    <row r="3286" hidden="1" x14ac:dyDescent="0.2"/>
    <row r="3287" hidden="1" x14ac:dyDescent="0.2"/>
    <row r="3288" hidden="1" x14ac:dyDescent="0.2"/>
    <row r="3289" hidden="1" x14ac:dyDescent="0.2"/>
    <row r="3290" hidden="1" x14ac:dyDescent="0.2"/>
    <row r="3291" hidden="1" x14ac:dyDescent="0.2"/>
    <row r="3292" hidden="1" x14ac:dyDescent="0.2"/>
    <row r="3293" hidden="1" x14ac:dyDescent="0.2"/>
    <row r="3294" hidden="1" x14ac:dyDescent="0.2"/>
    <row r="3295" hidden="1" x14ac:dyDescent="0.2"/>
    <row r="3296" hidden="1" x14ac:dyDescent="0.2"/>
    <row r="3297" hidden="1" x14ac:dyDescent="0.2"/>
    <row r="3298" hidden="1" x14ac:dyDescent="0.2"/>
    <row r="3299" hidden="1" x14ac:dyDescent="0.2"/>
    <row r="3300" hidden="1" x14ac:dyDescent="0.2"/>
    <row r="3301" hidden="1" x14ac:dyDescent="0.2"/>
    <row r="3302" hidden="1" x14ac:dyDescent="0.2"/>
    <row r="3303" hidden="1" x14ac:dyDescent="0.2"/>
    <row r="3304" hidden="1" x14ac:dyDescent="0.2"/>
    <row r="3305" hidden="1" x14ac:dyDescent="0.2"/>
    <row r="3306" hidden="1" x14ac:dyDescent="0.2"/>
    <row r="3307" hidden="1" x14ac:dyDescent="0.2"/>
    <row r="3308" hidden="1" x14ac:dyDescent="0.2"/>
    <row r="3309" hidden="1" x14ac:dyDescent="0.2"/>
    <row r="3310" hidden="1" x14ac:dyDescent="0.2"/>
    <row r="3311" hidden="1" x14ac:dyDescent="0.2"/>
    <row r="3312" hidden="1" x14ac:dyDescent="0.2"/>
    <row r="3313" hidden="1" x14ac:dyDescent="0.2"/>
    <row r="3314" hidden="1" x14ac:dyDescent="0.2"/>
    <row r="3315" hidden="1" x14ac:dyDescent="0.2"/>
    <row r="3316" hidden="1" x14ac:dyDescent="0.2"/>
    <row r="3317" hidden="1" x14ac:dyDescent="0.2"/>
    <row r="3318" hidden="1" x14ac:dyDescent="0.2"/>
    <row r="3319" hidden="1" x14ac:dyDescent="0.2"/>
    <row r="3320" hidden="1" x14ac:dyDescent="0.2"/>
    <row r="3321" hidden="1" x14ac:dyDescent="0.2"/>
    <row r="3322" hidden="1" x14ac:dyDescent="0.2"/>
    <row r="3323" hidden="1" x14ac:dyDescent="0.2"/>
    <row r="3324" hidden="1" x14ac:dyDescent="0.2"/>
    <row r="3325" hidden="1" x14ac:dyDescent="0.2"/>
    <row r="3326" hidden="1" x14ac:dyDescent="0.2"/>
    <row r="3327" hidden="1" x14ac:dyDescent="0.2"/>
    <row r="3328" hidden="1" x14ac:dyDescent="0.2"/>
    <row r="3329" hidden="1" x14ac:dyDescent="0.2"/>
    <row r="3330" hidden="1" x14ac:dyDescent="0.2"/>
    <row r="3331" hidden="1" x14ac:dyDescent="0.2"/>
    <row r="3332" hidden="1" x14ac:dyDescent="0.2"/>
    <row r="3333" hidden="1" x14ac:dyDescent="0.2"/>
    <row r="3334" hidden="1" x14ac:dyDescent="0.2"/>
    <row r="3335" hidden="1" x14ac:dyDescent="0.2"/>
    <row r="3336" hidden="1" x14ac:dyDescent="0.2"/>
    <row r="3337" hidden="1" x14ac:dyDescent="0.2"/>
    <row r="3338" hidden="1" x14ac:dyDescent="0.2"/>
    <row r="3339" hidden="1" x14ac:dyDescent="0.2"/>
    <row r="3340" hidden="1" x14ac:dyDescent="0.2"/>
    <row r="3341" hidden="1" x14ac:dyDescent="0.2"/>
    <row r="3342" hidden="1" x14ac:dyDescent="0.2"/>
    <row r="3343" hidden="1" x14ac:dyDescent="0.2"/>
    <row r="3344" hidden="1" x14ac:dyDescent="0.2"/>
    <row r="3345" hidden="1" x14ac:dyDescent="0.2"/>
    <row r="3346" hidden="1" x14ac:dyDescent="0.2"/>
    <row r="3347" hidden="1" x14ac:dyDescent="0.2"/>
    <row r="3348" hidden="1" x14ac:dyDescent="0.2"/>
    <row r="3349" hidden="1" x14ac:dyDescent="0.2"/>
    <row r="3350" hidden="1" x14ac:dyDescent="0.2"/>
    <row r="3351" hidden="1" x14ac:dyDescent="0.2"/>
    <row r="3352" hidden="1" x14ac:dyDescent="0.2"/>
    <row r="3353" hidden="1" x14ac:dyDescent="0.2"/>
    <row r="3354" hidden="1" x14ac:dyDescent="0.2"/>
    <row r="3355" hidden="1" x14ac:dyDescent="0.2"/>
    <row r="3356" hidden="1" x14ac:dyDescent="0.2"/>
    <row r="3357" hidden="1" x14ac:dyDescent="0.2"/>
    <row r="3358" hidden="1" x14ac:dyDescent="0.2"/>
    <row r="3359" hidden="1" x14ac:dyDescent="0.2"/>
    <row r="3360" hidden="1" x14ac:dyDescent="0.2"/>
    <row r="3361" hidden="1" x14ac:dyDescent="0.2"/>
    <row r="3362" hidden="1" x14ac:dyDescent="0.2"/>
    <row r="3363" hidden="1" x14ac:dyDescent="0.2"/>
    <row r="3364" hidden="1" x14ac:dyDescent="0.2"/>
    <row r="3365" hidden="1" x14ac:dyDescent="0.2"/>
    <row r="3366" hidden="1" x14ac:dyDescent="0.2"/>
    <row r="3367" hidden="1" x14ac:dyDescent="0.2"/>
    <row r="3368" hidden="1" x14ac:dyDescent="0.2"/>
    <row r="3369" hidden="1" x14ac:dyDescent="0.2"/>
    <row r="3370" hidden="1" x14ac:dyDescent="0.2"/>
    <row r="3371" hidden="1" x14ac:dyDescent="0.2"/>
    <row r="3372" hidden="1" x14ac:dyDescent="0.2"/>
    <row r="3373" hidden="1" x14ac:dyDescent="0.2"/>
    <row r="3374" hidden="1" x14ac:dyDescent="0.2"/>
    <row r="3375" hidden="1" x14ac:dyDescent="0.2"/>
    <row r="3376" hidden="1" x14ac:dyDescent="0.2"/>
    <row r="3377" hidden="1" x14ac:dyDescent="0.2"/>
    <row r="3378" hidden="1" x14ac:dyDescent="0.2"/>
    <row r="3379" hidden="1" x14ac:dyDescent="0.2"/>
    <row r="3380" hidden="1" x14ac:dyDescent="0.2"/>
    <row r="3381" hidden="1" x14ac:dyDescent="0.2"/>
    <row r="3382" hidden="1" x14ac:dyDescent="0.2"/>
    <row r="3383" hidden="1" x14ac:dyDescent="0.2"/>
    <row r="3384" hidden="1" x14ac:dyDescent="0.2"/>
    <row r="3385" hidden="1" x14ac:dyDescent="0.2"/>
    <row r="3386" hidden="1" x14ac:dyDescent="0.2"/>
    <row r="3387" hidden="1" x14ac:dyDescent="0.2"/>
    <row r="3388" hidden="1" x14ac:dyDescent="0.2"/>
    <row r="3389" hidden="1" x14ac:dyDescent="0.2"/>
    <row r="3390" hidden="1" x14ac:dyDescent="0.2"/>
    <row r="3391" hidden="1" x14ac:dyDescent="0.2"/>
    <row r="3392" hidden="1" x14ac:dyDescent="0.2"/>
    <row r="3393" hidden="1" x14ac:dyDescent="0.2"/>
    <row r="3394" hidden="1" x14ac:dyDescent="0.2"/>
    <row r="3395" hidden="1" x14ac:dyDescent="0.2"/>
    <row r="3396" hidden="1" x14ac:dyDescent="0.2"/>
    <row r="3397" hidden="1" x14ac:dyDescent="0.2"/>
    <row r="3398" hidden="1" x14ac:dyDescent="0.2"/>
    <row r="3399" hidden="1" x14ac:dyDescent="0.2"/>
    <row r="3400" hidden="1" x14ac:dyDescent="0.2"/>
    <row r="3401" hidden="1" x14ac:dyDescent="0.2"/>
    <row r="3402" hidden="1" x14ac:dyDescent="0.2"/>
    <row r="3403" hidden="1" x14ac:dyDescent="0.2"/>
    <row r="3404" hidden="1" x14ac:dyDescent="0.2"/>
    <row r="3405" hidden="1" x14ac:dyDescent="0.2"/>
    <row r="3406" hidden="1" x14ac:dyDescent="0.2"/>
    <row r="3407" hidden="1" x14ac:dyDescent="0.2"/>
    <row r="3408" hidden="1" x14ac:dyDescent="0.2"/>
    <row r="3409" hidden="1" x14ac:dyDescent="0.2"/>
    <row r="3410" hidden="1" x14ac:dyDescent="0.2"/>
    <row r="3411" hidden="1" x14ac:dyDescent="0.2"/>
    <row r="3412" hidden="1" x14ac:dyDescent="0.2"/>
    <row r="3413" hidden="1" x14ac:dyDescent="0.2"/>
    <row r="3414" hidden="1" x14ac:dyDescent="0.2"/>
    <row r="3415" hidden="1" x14ac:dyDescent="0.2"/>
    <row r="3416" hidden="1" x14ac:dyDescent="0.2"/>
    <row r="3417" hidden="1" x14ac:dyDescent="0.2"/>
    <row r="3418" hidden="1" x14ac:dyDescent="0.2"/>
    <row r="3419" hidden="1" x14ac:dyDescent="0.2"/>
    <row r="3420" hidden="1" x14ac:dyDescent="0.2"/>
    <row r="3421" hidden="1" x14ac:dyDescent="0.2"/>
    <row r="3422" hidden="1" x14ac:dyDescent="0.2"/>
    <row r="3423" hidden="1" x14ac:dyDescent="0.2"/>
    <row r="3424" hidden="1" x14ac:dyDescent="0.2"/>
    <row r="3425" hidden="1" x14ac:dyDescent="0.2"/>
    <row r="3426" hidden="1" x14ac:dyDescent="0.2"/>
    <row r="3427" hidden="1" x14ac:dyDescent="0.2"/>
    <row r="3428" hidden="1" x14ac:dyDescent="0.2"/>
    <row r="3429" hidden="1" x14ac:dyDescent="0.2"/>
    <row r="3430" hidden="1" x14ac:dyDescent="0.2"/>
    <row r="3431" hidden="1" x14ac:dyDescent="0.2"/>
    <row r="3432" hidden="1" x14ac:dyDescent="0.2"/>
    <row r="3433" hidden="1" x14ac:dyDescent="0.2"/>
    <row r="3434" hidden="1" x14ac:dyDescent="0.2"/>
    <row r="3435" hidden="1" x14ac:dyDescent="0.2"/>
    <row r="3436" hidden="1" x14ac:dyDescent="0.2"/>
    <row r="3437" hidden="1" x14ac:dyDescent="0.2"/>
    <row r="3438" hidden="1" x14ac:dyDescent="0.2"/>
    <row r="3439" hidden="1" x14ac:dyDescent="0.2"/>
    <row r="3440" hidden="1" x14ac:dyDescent="0.2"/>
    <row r="3441" hidden="1" x14ac:dyDescent="0.2"/>
    <row r="3442" hidden="1" x14ac:dyDescent="0.2"/>
    <row r="3443" hidden="1" x14ac:dyDescent="0.2"/>
    <row r="3444" hidden="1" x14ac:dyDescent="0.2"/>
    <row r="3445" hidden="1" x14ac:dyDescent="0.2"/>
    <row r="3446" hidden="1" x14ac:dyDescent="0.2"/>
    <row r="3447" hidden="1" x14ac:dyDescent="0.2"/>
    <row r="3448" hidden="1" x14ac:dyDescent="0.2"/>
    <row r="3449" hidden="1" x14ac:dyDescent="0.2"/>
    <row r="3450" hidden="1" x14ac:dyDescent="0.2"/>
    <row r="3451" hidden="1" x14ac:dyDescent="0.2"/>
    <row r="3452" hidden="1" x14ac:dyDescent="0.2"/>
    <row r="3453" hidden="1" x14ac:dyDescent="0.2"/>
    <row r="3454" hidden="1" x14ac:dyDescent="0.2"/>
    <row r="3455" hidden="1" x14ac:dyDescent="0.2"/>
    <row r="3456" hidden="1" x14ac:dyDescent="0.2"/>
    <row r="3457" hidden="1" x14ac:dyDescent="0.2"/>
    <row r="3458" hidden="1" x14ac:dyDescent="0.2"/>
    <row r="3459" hidden="1" x14ac:dyDescent="0.2"/>
    <row r="3460" hidden="1" x14ac:dyDescent="0.2"/>
    <row r="3461" hidden="1" x14ac:dyDescent="0.2"/>
    <row r="3462" hidden="1" x14ac:dyDescent="0.2"/>
    <row r="3463" hidden="1" x14ac:dyDescent="0.2"/>
    <row r="3464" hidden="1" x14ac:dyDescent="0.2"/>
    <row r="3465" hidden="1" x14ac:dyDescent="0.2"/>
    <row r="3466" hidden="1" x14ac:dyDescent="0.2"/>
    <row r="3467" hidden="1" x14ac:dyDescent="0.2"/>
    <row r="3468" hidden="1" x14ac:dyDescent="0.2"/>
    <row r="3469" hidden="1" x14ac:dyDescent="0.2"/>
    <row r="3470" hidden="1" x14ac:dyDescent="0.2"/>
    <row r="3471" hidden="1" x14ac:dyDescent="0.2"/>
    <row r="3472" hidden="1" x14ac:dyDescent="0.2"/>
    <row r="3473" hidden="1" x14ac:dyDescent="0.2"/>
    <row r="3474" hidden="1" x14ac:dyDescent="0.2"/>
    <row r="3475" hidden="1" x14ac:dyDescent="0.2"/>
    <row r="3476" hidden="1" x14ac:dyDescent="0.2"/>
    <row r="3477" hidden="1" x14ac:dyDescent="0.2"/>
    <row r="3478" hidden="1" x14ac:dyDescent="0.2"/>
    <row r="3479" hidden="1" x14ac:dyDescent="0.2"/>
    <row r="3480" hidden="1" x14ac:dyDescent="0.2"/>
    <row r="3481" hidden="1" x14ac:dyDescent="0.2"/>
    <row r="3482" hidden="1" x14ac:dyDescent="0.2"/>
    <row r="3483" hidden="1" x14ac:dyDescent="0.2"/>
    <row r="3484" hidden="1" x14ac:dyDescent="0.2"/>
    <row r="3485" hidden="1" x14ac:dyDescent="0.2"/>
    <row r="3486" hidden="1" x14ac:dyDescent="0.2"/>
    <row r="3487" hidden="1" x14ac:dyDescent="0.2"/>
    <row r="3488" hidden="1" x14ac:dyDescent="0.2"/>
    <row r="3489" hidden="1" x14ac:dyDescent="0.2"/>
    <row r="3490" hidden="1" x14ac:dyDescent="0.2"/>
    <row r="3491" hidden="1" x14ac:dyDescent="0.2"/>
    <row r="3492" hidden="1" x14ac:dyDescent="0.2"/>
    <row r="3493" hidden="1" x14ac:dyDescent="0.2"/>
    <row r="3494" hidden="1" x14ac:dyDescent="0.2"/>
    <row r="3495" hidden="1" x14ac:dyDescent="0.2"/>
    <row r="3496" hidden="1" x14ac:dyDescent="0.2"/>
    <row r="3497" hidden="1" x14ac:dyDescent="0.2"/>
    <row r="3498" hidden="1" x14ac:dyDescent="0.2"/>
    <row r="3499" hidden="1" x14ac:dyDescent="0.2"/>
    <row r="3500" hidden="1" x14ac:dyDescent="0.2"/>
    <row r="3501" hidden="1" x14ac:dyDescent="0.2"/>
    <row r="3502" hidden="1" x14ac:dyDescent="0.2"/>
    <row r="3503" hidden="1" x14ac:dyDescent="0.2"/>
    <row r="3504" hidden="1" x14ac:dyDescent="0.2"/>
    <row r="3505" hidden="1" x14ac:dyDescent="0.2"/>
    <row r="3506" hidden="1" x14ac:dyDescent="0.2"/>
    <row r="3507" hidden="1" x14ac:dyDescent="0.2"/>
    <row r="3508" hidden="1" x14ac:dyDescent="0.2"/>
    <row r="3509" hidden="1" x14ac:dyDescent="0.2"/>
    <row r="3510" hidden="1" x14ac:dyDescent="0.2"/>
    <row r="3511" hidden="1" x14ac:dyDescent="0.2"/>
    <row r="3512" hidden="1" x14ac:dyDescent="0.2"/>
    <row r="3513" hidden="1" x14ac:dyDescent="0.2"/>
    <row r="3514" hidden="1" x14ac:dyDescent="0.2"/>
    <row r="3515" hidden="1" x14ac:dyDescent="0.2"/>
    <row r="3516" hidden="1" x14ac:dyDescent="0.2"/>
    <row r="3517" hidden="1" x14ac:dyDescent="0.2"/>
    <row r="3518" hidden="1" x14ac:dyDescent="0.2"/>
    <row r="3519" hidden="1" x14ac:dyDescent="0.2"/>
    <row r="3520" hidden="1" x14ac:dyDescent="0.2"/>
    <row r="3521" hidden="1" x14ac:dyDescent="0.2"/>
    <row r="3522" hidden="1" x14ac:dyDescent="0.2"/>
    <row r="3523" hidden="1" x14ac:dyDescent="0.2"/>
    <row r="3524" hidden="1" x14ac:dyDescent="0.2"/>
    <row r="3525" hidden="1" x14ac:dyDescent="0.2"/>
    <row r="3526" hidden="1" x14ac:dyDescent="0.2"/>
    <row r="3527" hidden="1" x14ac:dyDescent="0.2"/>
    <row r="3528" hidden="1" x14ac:dyDescent="0.2"/>
    <row r="3529" hidden="1" x14ac:dyDescent="0.2"/>
    <row r="3530" hidden="1" x14ac:dyDescent="0.2"/>
    <row r="3531" hidden="1" x14ac:dyDescent="0.2"/>
    <row r="3532" hidden="1" x14ac:dyDescent="0.2"/>
    <row r="3533" hidden="1" x14ac:dyDescent="0.2"/>
    <row r="3534" hidden="1" x14ac:dyDescent="0.2"/>
    <row r="3535" hidden="1" x14ac:dyDescent="0.2"/>
    <row r="3536" hidden="1" x14ac:dyDescent="0.2"/>
    <row r="3537" hidden="1" x14ac:dyDescent="0.2"/>
    <row r="3538" hidden="1" x14ac:dyDescent="0.2"/>
    <row r="3539" hidden="1" x14ac:dyDescent="0.2"/>
    <row r="3540" hidden="1" x14ac:dyDescent="0.2"/>
    <row r="3541" hidden="1" x14ac:dyDescent="0.2"/>
    <row r="3542" hidden="1" x14ac:dyDescent="0.2"/>
    <row r="3543" hidden="1" x14ac:dyDescent="0.2"/>
    <row r="3544" hidden="1" x14ac:dyDescent="0.2"/>
    <row r="3545" hidden="1" x14ac:dyDescent="0.2"/>
    <row r="3546" hidden="1" x14ac:dyDescent="0.2"/>
    <row r="3547" hidden="1" x14ac:dyDescent="0.2"/>
    <row r="3548" hidden="1" x14ac:dyDescent="0.2"/>
    <row r="3549" hidden="1" x14ac:dyDescent="0.2"/>
    <row r="3550" hidden="1" x14ac:dyDescent="0.2"/>
    <row r="3551" hidden="1" x14ac:dyDescent="0.2"/>
    <row r="3552" hidden="1" x14ac:dyDescent="0.2"/>
    <row r="3553" hidden="1" x14ac:dyDescent="0.2"/>
    <row r="3554" hidden="1" x14ac:dyDescent="0.2"/>
    <row r="3555" hidden="1" x14ac:dyDescent="0.2"/>
    <row r="3556" hidden="1" x14ac:dyDescent="0.2"/>
    <row r="3557" hidden="1" x14ac:dyDescent="0.2"/>
    <row r="3558" hidden="1" x14ac:dyDescent="0.2"/>
    <row r="3559" hidden="1" x14ac:dyDescent="0.2"/>
    <row r="3560" hidden="1" x14ac:dyDescent="0.2"/>
    <row r="3561" hidden="1" x14ac:dyDescent="0.2"/>
    <row r="3562" hidden="1" x14ac:dyDescent="0.2"/>
    <row r="3563" hidden="1" x14ac:dyDescent="0.2"/>
    <row r="3564" hidden="1" x14ac:dyDescent="0.2"/>
    <row r="3565" hidden="1" x14ac:dyDescent="0.2"/>
    <row r="3566" hidden="1" x14ac:dyDescent="0.2"/>
    <row r="3567" hidden="1" x14ac:dyDescent="0.2"/>
    <row r="3568" hidden="1" x14ac:dyDescent="0.2"/>
    <row r="3569" hidden="1" x14ac:dyDescent="0.2"/>
    <row r="3570" hidden="1" x14ac:dyDescent="0.2"/>
    <row r="3571" hidden="1" x14ac:dyDescent="0.2"/>
    <row r="3572" hidden="1" x14ac:dyDescent="0.2"/>
    <row r="3573" hidden="1" x14ac:dyDescent="0.2"/>
    <row r="3574" hidden="1" x14ac:dyDescent="0.2"/>
    <row r="3575" hidden="1" x14ac:dyDescent="0.2"/>
    <row r="3576" hidden="1" x14ac:dyDescent="0.2"/>
    <row r="3577" hidden="1" x14ac:dyDescent="0.2"/>
    <row r="3578" hidden="1" x14ac:dyDescent="0.2"/>
    <row r="3579" hidden="1" x14ac:dyDescent="0.2"/>
    <row r="3580" hidden="1" x14ac:dyDescent="0.2"/>
    <row r="3581" hidden="1" x14ac:dyDescent="0.2"/>
    <row r="3582" hidden="1" x14ac:dyDescent="0.2"/>
    <row r="3583" hidden="1" x14ac:dyDescent="0.2"/>
    <row r="3584" hidden="1" x14ac:dyDescent="0.2"/>
    <row r="3585" hidden="1" x14ac:dyDescent="0.2"/>
    <row r="3586" hidden="1" x14ac:dyDescent="0.2"/>
    <row r="3587" hidden="1" x14ac:dyDescent="0.2"/>
    <row r="3588" hidden="1" x14ac:dyDescent="0.2"/>
    <row r="3589" hidden="1" x14ac:dyDescent="0.2"/>
    <row r="3590" hidden="1" x14ac:dyDescent="0.2"/>
    <row r="3591" hidden="1" x14ac:dyDescent="0.2"/>
    <row r="3592" hidden="1" x14ac:dyDescent="0.2"/>
    <row r="3593" hidden="1" x14ac:dyDescent="0.2"/>
    <row r="3594" hidden="1" x14ac:dyDescent="0.2"/>
    <row r="3595" hidden="1" x14ac:dyDescent="0.2"/>
    <row r="3596" hidden="1" x14ac:dyDescent="0.2"/>
    <row r="3597" hidden="1" x14ac:dyDescent="0.2"/>
    <row r="3598" hidden="1" x14ac:dyDescent="0.2"/>
    <row r="3599" hidden="1" x14ac:dyDescent="0.2"/>
    <row r="3600" hidden="1" x14ac:dyDescent="0.2"/>
    <row r="3601" hidden="1" x14ac:dyDescent="0.2"/>
    <row r="3602" hidden="1" x14ac:dyDescent="0.2"/>
    <row r="3603" hidden="1" x14ac:dyDescent="0.2"/>
    <row r="3604" hidden="1" x14ac:dyDescent="0.2"/>
    <row r="3605" hidden="1" x14ac:dyDescent="0.2"/>
    <row r="3606" hidden="1" x14ac:dyDescent="0.2"/>
    <row r="3607" hidden="1" x14ac:dyDescent="0.2"/>
    <row r="3608" hidden="1" x14ac:dyDescent="0.2"/>
    <row r="3609" hidden="1" x14ac:dyDescent="0.2"/>
    <row r="3610" hidden="1" x14ac:dyDescent="0.2"/>
    <row r="3611" hidden="1" x14ac:dyDescent="0.2"/>
    <row r="3612" hidden="1" x14ac:dyDescent="0.2"/>
    <row r="3613" hidden="1" x14ac:dyDescent="0.2"/>
    <row r="3614" hidden="1" x14ac:dyDescent="0.2"/>
    <row r="3615" hidden="1" x14ac:dyDescent="0.2"/>
    <row r="3616" hidden="1" x14ac:dyDescent="0.2"/>
    <row r="3617" hidden="1" x14ac:dyDescent="0.2"/>
    <row r="3618" hidden="1" x14ac:dyDescent="0.2"/>
    <row r="3619" hidden="1" x14ac:dyDescent="0.2"/>
    <row r="3620" hidden="1" x14ac:dyDescent="0.2"/>
    <row r="3621" hidden="1" x14ac:dyDescent="0.2"/>
    <row r="3622" hidden="1" x14ac:dyDescent="0.2"/>
    <row r="3623" hidden="1" x14ac:dyDescent="0.2"/>
    <row r="3624" hidden="1" x14ac:dyDescent="0.2"/>
    <row r="3625" hidden="1" x14ac:dyDescent="0.2"/>
    <row r="3626" hidden="1" x14ac:dyDescent="0.2"/>
    <row r="3627" hidden="1" x14ac:dyDescent="0.2"/>
    <row r="3628" hidden="1" x14ac:dyDescent="0.2"/>
    <row r="3629" hidden="1" x14ac:dyDescent="0.2"/>
    <row r="3630" hidden="1" x14ac:dyDescent="0.2"/>
    <row r="3631" hidden="1" x14ac:dyDescent="0.2"/>
    <row r="3632" hidden="1" x14ac:dyDescent="0.2"/>
    <row r="3633" hidden="1" x14ac:dyDescent="0.2"/>
    <row r="3634" hidden="1" x14ac:dyDescent="0.2"/>
    <row r="3635" hidden="1" x14ac:dyDescent="0.2"/>
    <row r="3636" hidden="1" x14ac:dyDescent="0.2"/>
    <row r="3637" hidden="1" x14ac:dyDescent="0.2"/>
    <row r="3638" hidden="1" x14ac:dyDescent="0.2"/>
    <row r="3639" hidden="1" x14ac:dyDescent="0.2"/>
    <row r="3640" hidden="1" x14ac:dyDescent="0.2"/>
    <row r="3641" hidden="1" x14ac:dyDescent="0.2"/>
    <row r="3642" hidden="1" x14ac:dyDescent="0.2"/>
    <row r="3643" hidden="1" x14ac:dyDescent="0.2"/>
    <row r="3644" hidden="1" x14ac:dyDescent="0.2"/>
    <row r="3645" hidden="1" x14ac:dyDescent="0.2"/>
    <row r="3646" hidden="1" x14ac:dyDescent="0.2"/>
    <row r="3647" hidden="1" x14ac:dyDescent="0.2"/>
    <row r="3648" hidden="1" x14ac:dyDescent="0.2"/>
    <row r="3649" hidden="1" x14ac:dyDescent="0.2"/>
    <row r="3650" hidden="1" x14ac:dyDescent="0.2"/>
    <row r="3651" hidden="1" x14ac:dyDescent="0.2"/>
    <row r="3652" hidden="1" x14ac:dyDescent="0.2"/>
    <row r="3653" hidden="1" x14ac:dyDescent="0.2"/>
    <row r="3654" hidden="1" x14ac:dyDescent="0.2"/>
    <row r="3655" hidden="1" x14ac:dyDescent="0.2"/>
    <row r="3656" hidden="1" x14ac:dyDescent="0.2"/>
    <row r="3657" hidden="1" x14ac:dyDescent="0.2"/>
    <row r="3658" hidden="1" x14ac:dyDescent="0.2"/>
    <row r="3659" hidden="1" x14ac:dyDescent="0.2"/>
    <row r="3660" hidden="1" x14ac:dyDescent="0.2"/>
    <row r="3661" hidden="1" x14ac:dyDescent="0.2"/>
    <row r="3662" hidden="1" x14ac:dyDescent="0.2"/>
    <row r="3663" hidden="1" x14ac:dyDescent="0.2"/>
    <row r="3664" hidden="1" x14ac:dyDescent="0.2"/>
    <row r="3665" hidden="1" x14ac:dyDescent="0.2"/>
    <row r="3666" hidden="1" x14ac:dyDescent="0.2"/>
    <row r="3667" hidden="1" x14ac:dyDescent="0.2"/>
    <row r="3668" hidden="1" x14ac:dyDescent="0.2"/>
    <row r="3669" hidden="1" x14ac:dyDescent="0.2"/>
    <row r="3670" hidden="1" x14ac:dyDescent="0.2"/>
    <row r="3671" hidden="1" x14ac:dyDescent="0.2"/>
    <row r="3672" hidden="1" x14ac:dyDescent="0.2"/>
    <row r="3673" hidden="1" x14ac:dyDescent="0.2"/>
    <row r="3674" hidden="1" x14ac:dyDescent="0.2"/>
    <row r="3675" hidden="1" x14ac:dyDescent="0.2"/>
    <row r="3676" hidden="1" x14ac:dyDescent="0.2"/>
    <row r="3677" hidden="1" x14ac:dyDescent="0.2"/>
    <row r="3678" hidden="1" x14ac:dyDescent="0.2"/>
    <row r="3679" hidden="1" x14ac:dyDescent="0.2"/>
    <row r="3680" hidden="1" x14ac:dyDescent="0.2"/>
    <row r="3681" hidden="1" x14ac:dyDescent="0.2"/>
    <row r="3682" hidden="1" x14ac:dyDescent="0.2"/>
    <row r="3683" hidden="1" x14ac:dyDescent="0.2"/>
    <row r="3684" hidden="1" x14ac:dyDescent="0.2"/>
    <row r="3685" hidden="1" x14ac:dyDescent="0.2"/>
    <row r="3686" hidden="1" x14ac:dyDescent="0.2"/>
    <row r="3687" hidden="1" x14ac:dyDescent="0.2"/>
    <row r="3688" hidden="1" x14ac:dyDescent="0.2"/>
    <row r="3689" hidden="1" x14ac:dyDescent="0.2"/>
    <row r="3690" hidden="1" x14ac:dyDescent="0.2"/>
    <row r="3691" hidden="1" x14ac:dyDescent="0.2"/>
    <row r="3692" hidden="1" x14ac:dyDescent="0.2"/>
    <row r="3693" hidden="1" x14ac:dyDescent="0.2"/>
    <row r="3694" hidden="1" x14ac:dyDescent="0.2"/>
    <row r="3695" hidden="1" x14ac:dyDescent="0.2"/>
    <row r="3696" hidden="1" x14ac:dyDescent="0.2"/>
    <row r="3697" hidden="1" x14ac:dyDescent="0.2"/>
    <row r="3698" hidden="1" x14ac:dyDescent="0.2"/>
    <row r="3699" hidden="1" x14ac:dyDescent="0.2"/>
    <row r="3700" hidden="1" x14ac:dyDescent="0.2"/>
    <row r="3701" hidden="1" x14ac:dyDescent="0.2"/>
    <row r="3702" hidden="1" x14ac:dyDescent="0.2"/>
    <row r="3703" hidden="1" x14ac:dyDescent="0.2"/>
    <row r="3704" hidden="1" x14ac:dyDescent="0.2"/>
    <row r="3705" hidden="1" x14ac:dyDescent="0.2"/>
    <row r="3706" hidden="1" x14ac:dyDescent="0.2"/>
    <row r="3707" hidden="1" x14ac:dyDescent="0.2"/>
    <row r="3708" hidden="1" x14ac:dyDescent="0.2"/>
    <row r="3709" hidden="1" x14ac:dyDescent="0.2"/>
    <row r="3710" hidden="1" x14ac:dyDescent="0.2"/>
    <row r="3711" hidden="1" x14ac:dyDescent="0.2"/>
    <row r="3712" hidden="1" x14ac:dyDescent="0.2"/>
    <row r="3713" hidden="1" x14ac:dyDescent="0.2"/>
    <row r="3714" hidden="1" x14ac:dyDescent="0.2"/>
    <row r="3715" hidden="1" x14ac:dyDescent="0.2"/>
    <row r="3716" hidden="1" x14ac:dyDescent="0.2"/>
    <row r="3717" hidden="1" x14ac:dyDescent="0.2"/>
    <row r="3718" hidden="1" x14ac:dyDescent="0.2"/>
    <row r="3719" hidden="1" x14ac:dyDescent="0.2"/>
    <row r="3720" hidden="1" x14ac:dyDescent="0.2"/>
    <row r="3721" hidden="1" x14ac:dyDescent="0.2"/>
    <row r="3722" hidden="1" x14ac:dyDescent="0.2"/>
    <row r="3723" hidden="1" x14ac:dyDescent="0.2"/>
    <row r="3724" hidden="1" x14ac:dyDescent="0.2"/>
    <row r="3725" hidden="1" x14ac:dyDescent="0.2"/>
    <row r="3726" hidden="1" x14ac:dyDescent="0.2"/>
    <row r="3727" hidden="1" x14ac:dyDescent="0.2"/>
    <row r="3728" hidden="1" x14ac:dyDescent="0.2"/>
    <row r="3729" hidden="1" x14ac:dyDescent="0.2"/>
    <row r="3730" hidden="1" x14ac:dyDescent="0.2"/>
    <row r="3731" hidden="1" x14ac:dyDescent="0.2"/>
    <row r="3732" hidden="1" x14ac:dyDescent="0.2"/>
    <row r="3733" hidden="1" x14ac:dyDescent="0.2"/>
    <row r="3734" hidden="1" x14ac:dyDescent="0.2"/>
    <row r="3735" hidden="1" x14ac:dyDescent="0.2"/>
    <row r="3736" hidden="1" x14ac:dyDescent="0.2"/>
    <row r="3737" hidden="1" x14ac:dyDescent="0.2"/>
    <row r="3738" hidden="1" x14ac:dyDescent="0.2"/>
    <row r="3739" hidden="1" x14ac:dyDescent="0.2"/>
    <row r="3740" hidden="1" x14ac:dyDescent="0.2"/>
    <row r="3741" hidden="1" x14ac:dyDescent="0.2"/>
    <row r="3742" hidden="1" x14ac:dyDescent="0.2"/>
    <row r="3743" hidden="1" x14ac:dyDescent="0.2"/>
    <row r="3744" hidden="1" x14ac:dyDescent="0.2"/>
    <row r="3745" hidden="1" x14ac:dyDescent="0.2"/>
    <row r="3746" hidden="1" x14ac:dyDescent="0.2"/>
    <row r="3747" hidden="1" x14ac:dyDescent="0.2"/>
    <row r="3748" hidden="1" x14ac:dyDescent="0.2"/>
    <row r="3749" hidden="1" x14ac:dyDescent="0.2"/>
    <row r="3750" hidden="1" x14ac:dyDescent="0.2"/>
    <row r="3751" hidden="1" x14ac:dyDescent="0.2"/>
    <row r="3752" hidden="1" x14ac:dyDescent="0.2"/>
    <row r="3753" hidden="1" x14ac:dyDescent="0.2"/>
    <row r="3754" hidden="1" x14ac:dyDescent="0.2"/>
    <row r="3755" hidden="1" x14ac:dyDescent="0.2"/>
    <row r="3756" hidden="1" x14ac:dyDescent="0.2"/>
    <row r="3757" hidden="1" x14ac:dyDescent="0.2"/>
    <row r="3758" hidden="1" x14ac:dyDescent="0.2"/>
    <row r="3759" hidden="1" x14ac:dyDescent="0.2"/>
    <row r="3760" hidden="1" x14ac:dyDescent="0.2"/>
    <row r="3761" hidden="1" x14ac:dyDescent="0.2"/>
    <row r="3762" hidden="1" x14ac:dyDescent="0.2"/>
    <row r="3763" hidden="1" x14ac:dyDescent="0.2"/>
    <row r="3764" hidden="1" x14ac:dyDescent="0.2"/>
    <row r="3765" hidden="1" x14ac:dyDescent="0.2"/>
    <row r="3766" hidden="1" x14ac:dyDescent="0.2"/>
    <row r="3767" hidden="1" x14ac:dyDescent="0.2"/>
    <row r="3768" hidden="1" x14ac:dyDescent="0.2"/>
    <row r="3769" hidden="1" x14ac:dyDescent="0.2"/>
    <row r="3770" hidden="1" x14ac:dyDescent="0.2"/>
    <row r="3771" hidden="1" x14ac:dyDescent="0.2"/>
    <row r="3772" hidden="1" x14ac:dyDescent="0.2"/>
    <row r="3773" hidden="1" x14ac:dyDescent="0.2"/>
    <row r="3774" hidden="1" x14ac:dyDescent="0.2"/>
    <row r="3775" hidden="1" x14ac:dyDescent="0.2"/>
    <row r="3776" hidden="1" x14ac:dyDescent="0.2"/>
    <row r="3777" hidden="1" x14ac:dyDescent="0.2"/>
    <row r="3778" hidden="1" x14ac:dyDescent="0.2"/>
    <row r="3779" hidden="1" x14ac:dyDescent="0.2"/>
    <row r="3780" hidden="1" x14ac:dyDescent="0.2"/>
    <row r="3781" hidden="1" x14ac:dyDescent="0.2"/>
    <row r="3782" hidden="1" x14ac:dyDescent="0.2"/>
    <row r="3783" hidden="1" x14ac:dyDescent="0.2"/>
    <row r="3784" hidden="1" x14ac:dyDescent="0.2"/>
    <row r="3785" hidden="1" x14ac:dyDescent="0.2"/>
    <row r="3786" hidden="1" x14ac:dyDescent="0.2"/>
    <row r="3787" hidden="1" x14ac:dyDescent="0.2"/>
    <row r="3788" hidden="1" x14ac:dyDescent="0.2"/>
    <row r="3789" hidden="1" x14ac:dyDescent="0.2"/>
    <row r="3790" hidden="1" x14ac:dyDescent="0.2"/>
    <row r="3791" hidden="1" x14ac:dyDescent="0.2"/>
    <row r="3792" hidden="1" x14ac:dyDescent="0.2"/>
    <row r="3793" hidden="1" x14ac:dyDescent="0.2"/>
    <row r="3794" hidden="1" x14ac:dyDescent="0.2"/>
    <row r="3795" hidden="1" x14ac:dyDescent="0.2"/>
    <row r="3796" hidden="1" x14ac:dyDescent="0.2"/>
    <row r="3797" hidden="1" x14ac:dyDescent="0.2"/>
    <row r="3798" hidden="1" x14ac:dyDescent="0.2"/>
    <row r="3799" hidden="1" x14ac:dyDescent="0.2"/>
    <row r="3800" hidden="1" x14ac:dyDescent="0.2"/>
    <row r="3801" hidden="1" x14ac:dyDescent="0.2"/>
    <row r="3802" hidden="1" x14ac:dyDescent="0.2"/>
    <row r="3803" hidden="1" x14ac:dyDescent="0.2"/>
    <row r="3804" hidden="1" x14ac:dyDescent="0.2"/>
    <row r="3805" hidden="1" x14ac:dyDescent="0.2"/>
    <row r="3806" hidden="1" x14ac:dyDescent="0.2"/>
    <row r="3807" hidden="1" x14ac:dyDescent="0.2"/>
    <row r="3808" hidden="1" x14ac:dyDescent="0.2"/>
    <row r="3809" hidden="1" x14ac:dyDescent="0.2"/>
    <row r="3810" hidden="1" x14ac:dyDescent="0.2"/>
    <row r="3811" hidden="1" x14ac:dyDescent="0.2"/>
    <row r="3812" hidden="1" x14ac:dyDescent="0.2"/>
    <row r="3813" hidden="1" x14ac:dyDescent="0.2"/>
    <row r="3814" hidden="1" x14ac:dyDescent="0.2"/>
    <row r="3815" hidden="1" x14ac:dyDescent="0.2"/>
    <row r="3816" hidden="1" x14ac:dyDescent="0.2"/>
    <row r="3817" hidden="1" x14ac:dyDescent="0.2"/>
    <row r="3818" hidden="1" x14ac:dyDescent="0.2"/>
    <row r="3819" hidden="1" x14ac:dyDescent="0.2"/>
    <row r="3820" hidden="1" x14ac:dyDescent="0.2"/>
    <row r="3821" hidden="1" x14ac:dyDescent="0.2"/>
    <row r="3822" hidden="1" x14ac:dyDescent="0.2"/>
    <row r="3823" hidden="1" x14ac:dyDescent="0.2"/>
    <row r="3824" hidden="1" x14ac:dyDescent="0.2"/>
    <row r="3825" hidden="1" x14ac:dyDescent="0.2"/>
    <row r="3826" hidden="1" x14ac:dyDescent="0.2"/>
    <row r="3827" hidden="1" x14ac:dyDescent="0.2"/>
    <row r="3828" hidden="1" x14ac:dyDescent="0.2"/>
    <row r="3829" hidden="1" x14ac:dyDescent="0.2"/>
    <row r="3830" hidden="1" x14ac:dyDescent="0.2"/>
    <row r="3831" hidden="1" x14ac:dyDescent="0.2"/>
    <row r="3832" hidden="1" x14ac:dyDescent="0.2"/>
    <row r="3833" hidden="1" x14ac:dyDescent="0.2"/>
    <row r="3834" hidden="1" x14ac:dyDescent="0.2"/>
    <row r="3835" hidden="1" x14ac:dyDescent="0.2"/>
    <row r="3836" hidden="1" x14ac:dyDescent="0.2"/>
    <row r="3837" hidden="1" x14ac:dyDescent="0.2"/>
    <row r="3838" hidden="1" x14ac:dyDescent="0.2"/>
    <row r="3839" hidden="1" x14ac:dyDescent="0.2"/>
    <row r="3840" hidden="1" x14ac:dyDescent="0.2"/>
    <row r="3841" hidden="1" x14ac:dyDescent="0.2"/>
    <row r="3842" hidden="1" x14ac:dyDescent="0.2"/>
    <row r="3843" hidden="1" x14ac:dyDescent="0.2"/>
    <row r="3844" hidden="1" x14ac:dyDescent="0.2"/>
    <row r="3845" hidden="1" x14ac:dyDescent="0.2"/>
    <row r="3846" hidden="1" x14ac:dyDescent="0.2"/>
    <row r="3847" hidden="1" x14ac:dyDescent="0.2"/>
    <row r="3848" hidden="1" x14ac:dyDescent="0.2"/>
    <row r="3849" hidden="1" x14ac:dyDescent="0.2"/>
    <row r="3850" hidden="1" x14ac:dyDescent="0.2"/>
    <row r="3851" hidden="1" x14ac:dyDescent="0.2"/>
    <row r="3852" hidden="1" x14ac:dyDescent="0.2"/>
    <row r="3853" hidden="1" x14ac:dyDescent="0.2"/>
    <row r="3854" hidden="1" x14ac:dyDescent="0.2"/>
    <row r="3855" hidden="1" x14ac:dyDescent="0.2"/>
    <row r="3856" hidden="1" x14ac:dyDescent="0.2"/>
    <row r="3857" hidden="1" x14ac:dyDescent="0.2"/>
    <row r="3858" hidden="1" x14ac:dyDescent="0.2"/>
    <row r="3859" hidden="1" x14ac:dyDescent="0.2"/>
    <row r="3860" hidden="1" x14ac:dyDescent="0.2"/>
    <row r="3861" hidden="1" x14ac:dyDescent="0.2"/>
    <row r="3862" hidden="1" x14ac:dyDescent="0.2"/>
    <row r="3863" hidden="1" x14ac:dyDescent="0.2"/>
    <row r="3864" hidden="1" x14ac:dyDescent="0.2"/>
    <row r="3865" hidden="1" x14ac:dyDescent="0.2"/>
    <row r="3866" hidden="1" x14ac:dyDescent="0.2"/>
    <row r="3867" hidden="1" x14ac:dyDescent="0.2"/>
    <row r="3868" hidden="1" x14ac:dyDescent="0.2"/>
    <row r="3869" hidden="1" x14ac:dyDescent="0.2"/>
    <row r="3870" hidden="1" x14ac:dyDescent="0.2"/>
    <row r="3871" hidden="1" x14ac:dyDescent="0.2"/>
    <row r="3872" hidden="1" x14ac:dyDescent="0.2"/>
    <row r="3873" hidden="1" x14ac:dyDescent="0.2"/>
    <row r="3874" hidden="1" x14ac:dyDescent="0.2"/>
    <row r="3875" hidden="1" x14ac:dyDescent="0.2"/>
    <row r="3876" hidden="1" x14ac:dyDescent="0.2"/>
    <row r="3877" hidden="1" x14ac:dyDescent="0.2"/>
    <row r="3878" hidden="1" x14ac:dyDescent="0.2"/>
    <row r="3879" hidden="1" x14ac:dyDescent="0.2"/>
    <row r="3880" hidden="1" x14ac:dyDescent="0.2"/>
    <row r="3881" hidden="1" x14ac:dyDescent="0.2"/>
    <row r="3882" hidden="1" x14ac:dyDescent="0.2"/>
    <row r="3883" hidden="1" x14ac:dyDescent="0.2"/>
    <row r="3884" hidden="1" x14ac:dyDescent="0.2"/>
    <row r="3885" hidden="1" x14ac:dyDescent="0.2"/>
    <row r="3886" hidden="1" x14ac:dyDescent="0.2"/>
    <row r="3887" hidden="1" x14ac:dyDescent="0.2"/>
    <row r="3888" hidden="1" x14ac:dyDescent="0.2"/>
    <row r="3889" hidden="1" x14ac:dyDescent="0.2"/>
    <row r="3890" hidden="1" x14ac:dyDescent="0.2"/>
    <row r="3891" hidden="1" x14ac:dyDescent="0.2"/>
    <row r="3892" hidden="1" x14ac:dyDescent="0.2"/>
    <row r="3893" hidden="1" x14ac:dyDescent="0.2"/>
    <row r="3894" hidden="1" x14ac:dyDescent="0.2"/>
    <row r="3895" hidden="1" x14ac:dyDescent="0.2"/>
    <row r="3896" hidden="1" x14ac:dyDescent="0.2"/>
    <row r="3897" hidden="1" x14ac:dyDescent="0.2"/>
    <row r="3898" hidden="1" x14ac:dyDescent="0.2"/>
    <row r="3899" hidden="1" x14ac:dyDescent="0.2"/>
    <row r="3900" hidden="1" x14ac:dyDescent="0.2"/>
    <row r="3901" hidden="1" x14ac:dyDescent="0.2"/>
    <row r="3902" hidden="1" x14ac:dyDescent="0.2"/>
    <row r="3903" hidden="1" x14ac:dyDescent="0.2"/>
    <row r="3904" hidden="1" x14ac:dyDescent="0.2"/>
    <row r="3905" hidden="1" x14ac:dyDescent="0.2"/>
    <row r="3906" hidden="1" x14ac:dyDescent="0.2"/>
    <row r="3907" hidden="1" x14ac:dyDescent="0.2"/>
    <row r="3908" hidden="1" x14ac:dyDescent="0.2"/>
    <row r="3909" hidden="1" x14ac:dyDescent="0.2"/>
    <row r="3910" hidden="1" x14ac:dyDescent="0.2"/>
    <row r="3911" hidden="1" x14ac:dyDescent="0.2"/>
    <row r="3912" hidden="1" x14ac:dyDescent="0.2"/>
    <row r="3913" hidden="1" x14ac:dyDescent="0.2"/>
    <row r="3914" hidden="1" x14ac:dyDescent="0.2"/>
    <row r="3915" hidden="1" x14ac:dyDescent="0.2"/>
    <row r="3916" hidden="1" x14ac:dyDescent="0.2"/>
    <row r="3917" hidden="1" x14ac:dyDescent="0.2"/>
    <row r="3918" hidden="1" x14ac:dyDescent="0.2"/>
    <row r="3919" hidden="1" x14ac:dyDescent="0.2"/>
    <row r="3920" hidden="1" x14ac:dyDescent="0.2"/>
    <row r="3921" hidden="1" x14ac:dyDescent="0.2"/>
    <row r="3922" hidden="1" x14ac:dyDescent="0.2"/>
    <row r="3923" hidden="1" x14ac:dyDescent="0.2"/>
    <row r="3924" hidden="1" x14ac:dyDescent="0.2"/>
    <row r="3925" hidden="1" x14ac:dyDescent="0.2"/>
    <row r="3926" hidden="1" x14ac:dyDescent="0.2"/>
    <row r="3927" hidden="1" x14ac:dyDescent="0.2"/>
    <row r="3928" hidden="1" x14ac:dyDescent="0.2"/>
    <row r="3929" hidden="1" x14ac:dyDescent="0.2"/>
    <row r="3930" hidden="1" x14ac:dyDescent="0.2"/>
    <row r="3931" hidden="1" x14ac:dyDescent="0.2"/>
    <row r="3932" hidden="1" x14ac:dyDescent="0.2"/>
    <row r="3933" hidden="1" x14ac:dyDescent="0.2"/>
    <row r="3934" hidden="1" x14ac:dyDescent="0.2"/>
    <row r="3935" hidden="1" x14ac:dyDescent="0.2"/>
    <row r="3936" hidden="1" x14ac:dyDescent="0.2"/>
    <row r="3937" hidden="1" x14ac:dyDescent="0.2"/>
    <row r="3938" hidden="1" x14ac:dyDescent="0.2"/>
    <row r="3939" hidden="1" x14ac:dyDescent="0.2"/>
    <row r="3940" hidden="1" x14ac:dyDescent="0.2"/>
    <row r="3941" hidden="1" x14ac:dyDescent="0.2"/>
    <row r="3942" hidden="1" x14ac:dyDescent="0.2"/>
    <row r="3943" hidden="1" x14ac:dyDescent="0.2"/>
    <row r="3944" hidden="1" x14ac:dyDescent="0.2"/>
    <row r="3945" hidden="1" x14ac:dyDescent="0.2"/>
    <row r="3946" hidden="1" x14ac:dyDescent="0.2"/>
    <row r="3947" hidden="1" x14ac:dyDescent="0.2"/>
    <row r="3948" hidden="1" x14ac:dyDescent="0.2"/>
    <row r="3949" hidden="1" x14ac:dyDescent="0.2"/>
    <row r="3950" hidden="1" x14ac:dyDescent="0.2"/>
    <row r="3951" hidden="1" x14ac:dyDescent="0.2"/>
    <row r="3952" hidden="1" x14ac:dyDescent="0.2"/>
    <row r="3953" hidden="1" x14ac:dyDescent="0.2"/>
    <row r="3954" hidden="1" x14ac:dyDescent="0.2"/>
    <row r="3955" hidden="1" x14ac:dyDescent="0.2"/>
    <row r="3956" hidden="1" x14ac:dyDescent="0.2"/>
    <row r="3957" hidden="1" x14ac:dyDescent="0.2"/>
    <row r="3958" hidden="1" x14ac:dyDescent="0.2"/>
    <row r="3959" hidden="1" x14ac:dyDescent="0.2"/>
    <row r="3960" hidden="1" x14ac:dyDescent="0.2"/>
    <row r="3961" hidden="1" x14ac:dyDescent="0.2"/>
    <row r="3962" hidden="1" x14ac:dyDescent="0.2"/>
    <row r="3963" hidden="1" x14ac:dyDescent="0.2"/>
    <row r="3964" hidden="1" x14ac:dyDescent="0.2"/>
    <row r="3965" hidden="1" x14ac:dyDescent="0.2"/>
    <row r="3966" hidden="1" x14ac:dyDescent="0.2"/>
    <row r="3967" hidden="1" x14ac:dyDescent="0.2"/>
    <row r="3968" hidden="1" x14ac:dyDescent="0.2"/>
    <row r="3969" hidden="1" x14ac:dyDescent="0.2"/>
    <row r="3970" hidden="1" x14ac:dyDescent="0.2"/>
    <row r="3971" hidden="1" x14ac:dyDescent="0.2"/>
    <row r="3972" hidden="1" x14ac:dyDescent="0.2"/>
    <row r="3973" hidden="1" x14ac:dyDescent="0.2"/>
    <row r="3974" hidden="1" x14ac:dyDescent="0.2"/>
    <row r="3975" hidden="1" x14ac:dyDescent="0.2"/>
    <row r="3976" hidden="1" x14ac:dyDescent="0.2"/>
    <row r="3977" hidden="1" x14ac:dyDescent="0.2"/>
    <row r="3978" hidden="1" x14ac:dyDescent="0.2"/>
    <row r="3979" hidden="1" x14ac:dyDescent="0.2"/>
    <row r="3980" hidden="1" x14ac:dyDescent="0.2"/>
    <row r="3981" hidden="1" x14ac:dyDescent="0.2"/>
    <row r="3982" hidden="1" x14ac:dyDescent="0.2"/>
    <row r="3983" hidden="1" x14ac:dyDescent="0.2"/>
    <row r="3984" hidden="1" x14ac:dyDescent="0.2"/>
    <row r="3985" hidden="1" x14ac:dyDescent="0.2"/>
    <row r="3986" hidden="1" x14ac:dyDescent="0.2"/>
    <row r="3987" hidden="1" x14ac:dyDescent="0.2"/>
    <row r="3988" hidden="1" x14ac:dyDescent="0.2"/>
    <row r="3989" hidden="1" x14ac:dyDescent="0.2"/>
    <row r="3990" hidden="1" x14ac:dyDescent="0.2"/>
    <row r="3991" hidden="1" x14ac:dyDescent="0.2"/>
    <row r="3992" hidden="1" x14ac:dyDescent="0.2"/>
    <row r="3993" hidden="1" x14ac:dyDescent="0.2"/>
    <row r="3994" hidden="1" x14ac:dyDescent="0.2"/>
    <row r="3995" hidden="1" x14ac:dyDescent="0.2"/>
    <row r="3996" hidden="1" x14ac:dyDescent="0.2"/>
    <row r="3997" hidden="1" x14ac:dyDescent="0.2"/>
    <row r="3998" hidden="1" x14ac:dyDescent="0.2"/>
    <row r="3999" hidden="1" x14ac:dyDescent="0.2"/>
    <row r="4000" hidden="1" x14ac:dyDescent="0.2"/>
    <row r="4001" hidden="1" x14ac:dyDescent="0.2"/>
    <row r="4002" hidden="1" x14ac:dyDescent="0.2"/>
    <row r="4003" hidden="1" x14ac:dyDescent="0.2"/>
    <row r="4004" hidden="1" x14ac:dyDescent="0.2"/>
    <row r="4005" hidden="1" x14ac:dyDescent="0.2"/>
    <row r="4006" hidden="1" x14ac:dyDescent="0.2"/>
    <row r="4007" hidden="1" x14ac:dyDescent="0.2"/>
    <row r="4008" hidden="1" x14ac:dyDescent="0.2"/>
    <row r="4009" hidden="1" x14ac:dyDescent="0.2"/>
    <row r="4010" hidden="1" x14ac:dyDescent="0.2"/>
    <row r="4011" hidden="1" x14ac:dyDescent="0.2"/>
    <row r="4012" hidden="1" x14ac:dyDescent="0.2"/>
    <row r="4013" hidden="1" x14ac:dyDescent="0.2"/>
    <row r="4014" hidden="1" x14ac:dyDescent="0.2"/>
    <row r="4015" hidden="1" x14ac:dyDescent="0.2"/>
    <row r="4016" hidden="1" x14ac:dyDescent="0.2"/>
    <row r="4017" hidden="1" x14ac:dyDescent="0.2"/>
    <row r="4018" hidden="1" x14ac:dyDescent="0.2"/>
    <row r="4019" hidden="1" x14ac:dyDescent="0.2"/>
    <row r="4020" hidden="1" x14ac:dyDescent="0.2"/>
    <row r="4021" hidden="1" x14ac:dyDescent="0.2"/>
    <row r="4022" hidden="1" x14ac:dyDescent="0.2"/>
    <row r="4023" hidden="1" x14ac:dyDescent="0.2"/>
    <row r="4024" hidden="1" x14ac:dyDescent="0.2"/>
    <row r="4025" hidden="1" x14ac:dyDescent="0.2"/>
    <row r="4026" hidden="1" x14ac:dyDescent="0.2"/>
    <row r="4027" hidden="1" x14ac:dyDescent="0.2"/>
    <row r="4028" hidden="1" x14ac:dyDescent="0.2"/>
    <row r="4029" hidden="1" x14ac:dyDescent="0.2"/>
    <row r="4030" hidden="1" x14ac:dyDescent="0.2"/>
    <row r="4031" hidden="1" x14ac:dyDescent="0.2"/>
    <row r="4032" hidden="1" x14ac:dyDescent="0.2"/>
    <row r="4033" hidden="1" x14ac:dyDescent="0.2"/>
    <row r="4034" hidden="1" x14ac:dyDescent="0.2"/>
    <row r="4035" hidden="1" x14ac:dyDescent="0.2"/>
    <row r="4036" hidden="1" x14ac:dyDescent="0.2"/>
    <row r="4037" hidden="1" x14ac:dyDescent="0.2"/>
    <row r="4038" hidden="1" x14ac:dyDescent="0.2"/>
    <row r="4039" hidden="1" x14ac:dyDescent="0.2"/>
    <row r="4040" hidden="1" x14ac:dyDescent="0.2"/>
    <row r="4041" hidden="1" x14ac:dyDescent="0.2"/>
    <row r="4042" hidden="1" x14ac:dyDescent="0.2"/>
    <row r="4043" hidden="1" x14ac:dyDescent="0.2"/>
    <row r="4044" hidden="1" x14ac:dyDescent="0.2"/>
    <row r="4045" hidden="1" x14ac:dyDescent="0.2"/>
    <row r="4046" hidden="1" x14ac:dyDescent="0.2"/>
    <row r="4047" hidden="1" x14ac:dyDescent="0.2"/>
    <row r="4048" hidden="1" x14ac:dyDescent="0.2"/>
    <row r="4049" hidden="1" x14ac:dyDescent="0.2"/>
    <row r="4050" hidden="1" x14ac:dyDescent="0.2"/>
    <row r="4051" hidden="1" x14ac:dyDescent="0.2"/>
    <row r="4052" hidden="1" x14ac:dyDescent="0.2"/>
    <row r="4053" hidden="1" x14ac:dyDescent="0.2"/>
    <row r="4054" hidden="1" x14ac:dyDescent="0.2"/>
    <row r="4055" hidden="1" x14ac:dyDescent="0.2"/>
    <row r="4056" hidden="1" x14ac:dyDescent="0.2"/>
    <row r="4057" hidden="1" x14ac:dyDescent="0.2"/>
    <row r="4058" hidden="1" x14ac:dyDescent="0.2"/>
    <row r="4059" hidden="1" x14ac:dyDescent="0.2"/>
    <row r="4060" hidden="1" x14ac:dyDescent="0.2"/>
    <row r="4061" hidden="1" x14ac:dyDescent="0.2"/>
    <row r="4062" hidden="1" x14ac:dyDescent="0.2"/>
    <row r="4063" hidden="1" x14ac:dyDescent="0.2"/>
    <row r="4064" hidden="1" x14ac:dyDescent="0.2"/>
    <row r="4065" hidden="1" x14ac:dyDescent="0.2"/>
    <row r="4066" hidden="1" x14ac:dyDescent="0.2"/>
    <row r="4067" hidden="1" x14ac:dyDescent="0.2"/>
    <row r="4068" hidden="1" x14ac:dyDescent="0.2"/>
    <row r="4069" hidden="1" x14ac:dyDescent="0.2"/>
    <row r="4070" hidden="1" x14ac:dyDescent="0.2"/>
    <row r="4071" hidden="1" x14ac:dyDescent="0.2"/>
    <row r="4072" hidden="1" x14ac:dyDescent="0.2"/>
    <row r="4073" hidden="1" x14ac:dyDescent="0.2"/>
    <row r="4074" hidden="1" x14ac:dyDescent="0.2"/>
    <row r="4075" hidden="1" x14ac:dyDescent="0.2"/>
    <row r="4076" hidden="1" x14ac:dyDescent="0.2"/>
    <row r="4077" hidden="1" x14ac:dyDescent="0.2"/>
    <row r="4078" hidden="1" x14ac:dyDescent="0.2"/>
    <row r="4079" hidden="1" x14ac:dyDescent="0.2"/>
    <row r="4080" hidden="1" x14ac:dyDescent="0.2"/>
    <row r="4081" hidden="1" x14ac:dyDescent="0.2"/>
    <row r="4082" hidden="1" x14ac:dyDescent="0.2"/>
    <row r="4083" hidden="1" x14ac:dyDescent="0.2"/>
    <row r="4084" hidden="1" x14ac:dyDescent="0.2"/>
    <row r="4085" hidden="1" x14ac:dyDescent="0.2"/>
    <row r="4086" hidden="1" x14ac:dyDescent="0.2"/>
    <row r="4087" hidden="1" x14ac:dyDescent="0.2"/>
    <row r="4088" hidden="1" x14ac:dyDescent="0.2"/>
    <row r="4089" hidden="1" x14ac:dyDescent="0.2"/>
    <row r="4090" hidden="1" x14ac:dyDescent="0.2"/>
    <row r="4091" hidden="1" x14ac:dyDescent="0.2"/>
    <row r="4092" hidden="1" x14ac:dyDescent="0.2"/>
    <row r="4093" hidden="1" x14ac:dyDescent="0.2"/>
    <row r="4094" hidden="1" x14ac:dyDescent="0.2"/>
    <row r="4095" hidden="1" x14ac:dyDescent="0.2"/>
    <row r="4096" hidden="1" x14ac:dyDescent="0.2"/>
    <row r="4097" hidden="1" x14ac:dyDescent="0.2"/>
    <row r="4098" hidden="1" x14ac:dyDescent="0.2"/>
    <row r="4099" hidden="1" x14ac:dyDescent="0.2"/>
    <row r="4100" hidden="1" x14ac:dyDescent="0.2"/>
    <row r="4101" hidden="1" x14ac:dyDescent="0.2"/>
    <row r="4102" hidden="1" x14ac:dyDescent="0.2"/>
    <row r="4103" hidden="1" x14ac:dyDescent="0.2"/>
    <row r="4104" hidden="1" x14ac:dyDescent="0.2"/>
    <row r="4105" hidden="1" x14ac:dyDescent="0.2"/>
    <row r="4106" hidden="1" x14ac:dyDescent="0.2"/>
    <row r="4107" hidden="1" x14ac:dyDescent="0.2"/>
    <row r="4108" hidden="1" x14ac:dyDescent="0.2"/>
    <row r="4109" hidden="1" x14ac:dyDescent="0.2"/>
    <row r="4110" hidden="1" x14ac:dyDescent="0.2"/>
    <row r="4111" hidden="1" x14ac:dyDescent="0.2"/>
    <row r="4112" hidden="1" x14ac:dyDescent="0.2"/>
    <row r="4113" hidden="1" x14ac:dyDescent="0.2"/>
    <row r="4114" hidden="1" x14ac:dyDescent="0.2"/>
    <row r="4115" hidden="1" x14ac:dyDescent="0.2"/>
    <row r="4116" hidden="1" x14ac:dyDescent="0.2"/>
    <row r="4117" hidden="1" x14ac:dyDescent="0.2"/>
    <row r="4118" hidden="1" x14ac:dyDescent="0.2"/>
    <row r="4119" hidden="1" x14ac:dyDescent="0.2"/>
    <row r="4120" hidden="1" x14ac:dyDescent="0.2"/>
    <row r="4121" hidden="1" x14ac:dyDescent="0.2"/>
    <row r="4122" hidden="1" x14ac:dyDescent="0.2"/>
    <row r="4123" hidden="1" x14ac:dyDescent="0.2"/>
    <row r="4124" hidden="1" x14ac:dyDescent="0.2"/>
    <row r="4125" hidden="1" x14ac:dyDescent="0.2"/>
    <row r="4126" hidden="1" x14ac:dyDescent="0.2"/>
    <row r="4127" hidden="1" x14ac:dyDescent="0.2"/>
    <row r="4128" hidden="1" x14ac:dyDescent="0.2"/>
    <row r="4129" hidden="1" x14ac:dyDescent="0.2"/>
    <row r="4130" hidden="1" x14ac:dyDescent="0.2"/>
    <row r="4131" hidden="1" x14ac:dyDescent="0.2"/>
    <row r="4132" hidden="1" x14ac:dyDescent="0.2"/>
    <row r="4133" hidden="1" x14ac:dyDescent="0.2"/>
    <row r="4134" hidden="1" x14ac:dyDescent="0.2"/>
    <row r="4135" hidden="1" x14ac:dyDescent="0.2"/>
    <row r="4136" hidden="1" x14ac:dyDescent="0.2"/>
    <row r="4137" hidden="1" x14ac:dyDescent="0.2"/>
    <row r="4138" hidden="1" x14ac:dyDescent="0.2"/>
    <row r="4139" hidden="1" x14ac:dyDescent="0.2"/>
    <row r="4140" hidden="1" x14ac:dyDescent="0.2"/>
    <row r="4141" hidden="1" x14ac:dyDescent="0.2"/>
    <row r="4142" hidden="1" x14ac:dyDescent="0.2"/>
    <row r="4143" hidden="1" x14ac:dyDescent="0.2"/>
    <row r="4144" hidden="1" x14ac:dyDescent="0.2"/>
    <row r="4145" hidden="1" x14ac:dyDescent="0.2"/>
    <row r="4146" hidden="1" x14ac:dyDescent="0.2"/>
    <row r="4147" hidden="1" x14ac:dyDescent="0.2"/>
    <row r="4148" hidden="1" x14ac:dyDescent="0.2"/>
    <row r="4149" hidden="1" x14ac:dyDescent="0.2"/>
    <row r="4150" hidden="1" x14ac:dyDescent="0.2"/>
    <row r="4151" hidden="1" x14ac:dyDescent="0.2"/>
    <row r="4152" hidden="1" x14ac:dyDescent="0.2"/>
    <row r="4153" hidden="1" x14ac:dyDescent="0.2"/>
    <row r="4154" hidden="1" x14ac:dyDescent="0.2"/>
    <row r="4155" hidden="1" x14ac:dyDescent="0.2"/>
    <row r="4156" hidden="1" x14ac:dyDescent="0.2"/>
    <row r="4157" hidden="1" x14ac:dyDescent="0.2"/>
    <row r="4158" hidden="1" x14ac:dyDescent="0.2"/>
    <row r="4159" hidden="1" x14ac:dyDescent="0.2"/>
    <row r="4160" hidden="1" x14ac:dyDescent="0.2"/>
    <row r="4161" hidden="1" x14ac:dyDescent="0.2"/>
    <row r="4162" hidden="1" x14ac:dyDescent="0.2"/>
    <row r="4163" hidden="1" x14ac:dyDescent="0.2"/>
    <row r="4164" hidden="1" x14ac:dyDescent="0.2"/>
    <row r="4165" hidden="1" x14ac:dyDescent="0.2"/>
    <row r="4166" hidden="1" x14ac:dyDescent="0.2"/>
    <row r="4167" hidden="1" x14ac:dyDescent="0.2"/>
    <row r="4168" hidden="1" x14ac:dyDescent="0.2"/>
    <row r="4169" hidden="1" x14ac:dyDescent="0.2"/>
    <row r="4170" hidden="1" x14ac:dyDescent="0.2"/>
    <row r="4171" hidden="1" x14ac:dyDescent="0.2"/>
    <row r="4172" hidden="1" x14ac:dyDescent="0.2"/>
    <row r="4173" hidden="1" x14ac:dyDescent="0.2"/>
    <row r="4174" hidden="1" x14ac:dyDescent="0.2"/>
    <row r="4175" hidden="1" x14ac:dyDescent="0.2"/>
    <row r="4176" hidden="1" x14ac:dyDescent="0.2"/>
    <row r="4177" hidden="1" x14ac:dyDescent="0.2"/>
    <row r="4178" hidden="1" x14ac:dyDescent="0.2"/>
    <row r="4179" hidden="1" x14ac:dyDescent="0.2"/>
    <row r="4180" hidden="1" x14ac:dyDescent="0.2"/>
    <row r="4181" hidden="1" x14ac:dyDescent="0.2"/>
    <row r="4182" hidden="1" x14ac:dyDescent="0.2"/>
    <row r="4183" hidden="1" x14ac:dyDescent="0.2"/>
    <row r="4184" hidden="1" x14ac:dyDescent="0.2"/>
    <row r="4185" hidden="1" x14ac:dyDescent="0.2"/>
    <row r="4186" hidden="1" x14ac:dyDescent="0.2"/>
    <row r="4187" hidden="1" x14ac:dyDescent="0.2"/>
    <row r="4188" hidden="1" x14ac:dyDescent="0.2"/>
    <row r="4189" hidden="1" x14ac:dyDescent="0.2"/>
    <row r="4190" hidden="1" x14ac:dyDescent="0.2"/>
    <row r="4191" hidden="1" x14ac:dyDescent="0.2"/>
    <row r="4192" hidden="1" x14ac:dyDescent="0.2"/>
    <row r="4193" hidden="1" x14ac:dyDescent="0.2"/>
    <row r="4194" hidden="1" x14ac:dyDescent="0.2"/>
    <row r="4195" hidden="1" x14ac:dyDescent="0.2"/>
    <row r="4196" hidden="1" x14ac:dyDescent="0.2"/>
    <row r="4197" hidden="1" x14ac:dyDescent="0.2"/>
    <row r="4198" hidden="1" x14ac:dyDescent="0.2"/>
    <row r="4199" hidden="1" x14ac:dyDescent="0.2"/>
    <row r="4200" hidden="1" x14ac:dyDescent="0.2"/>
    <row r="4201" hidden="1" x14ac:dyDescent="0.2"/>
    <row r="4202" hidden="1" x14ac:dyDescent="0.2"/>
    <row r="4203" hidden="1" x14ac:dyDescent="0.2"/>
    <row r="4204" hidden="1" x14ac:dyDescent="0.2"/>
    <row r="4205" hidden="1" x14ac:dyDescent="0.2"/>
    <row r="4206" hidden="1" x14ac:dyDescent="0.2"/>
    <row r="4207" hidden="1" x14ac:dyDescent="0.2"/>
    <row r="4208" hidden="1" x14ac:dyDescent="0.2"/>
    <row r="4209" hidden="1" x14ac:dyDescent="0.2"/>
    <row r="4210" hidden="1" x14ac:dyDescent="0.2"/>
    <row r="4211" hidden="1" x14ac:dyDescent="0.2"/>
    <row r="4212" hidden="1" x14ac:dyDescent="0.2"/>
    <row r="4213" hidden="1" x14ac:dyDescent="0.2"/>
    <row r="4214" hidden="1" x14ac:dyDescent="0.2"/>
    <row r="4215" hidden="1" x14ac:dyDescent="0.2"/>
    <row r="4216" hidden="1" x14ac:dyDescent="0.2"/>
    <row r="4217" hidden="1" x14ac:dyDescent="0.2"/>
    <row r="4218" hidden="1" x14ac:dyDescent="0.2"/>
    <row r="4219" hidden="1" x14ac:dyDescent="0.2"/>
    <row r="4220" hidden="1" x14ac:dyDescent="0.2"/>
    <row r="4221" hidden="1" x14ac:dyDescent="0.2"/>
    <row r="4222" hidden="1" x14ac:dyDescent="0.2"/>
    <row r="4223" hidden="1" x14ac:dyDescent="0.2"/>
    <row r="4224" hidden="1" x14ac:dyDescent="0.2"/>
    <row r="4225" hidden="1" x14ac:dyDescent="0.2"/>
    <row r="4226" hidden="1" x14ac:dyDescent="0.2"/>
    <row r="4227" hidden="1" x14ac:dyDescent="0.2"/>
    <row r="4228" hidden="1" x14ac:dyDescent="0.2"/>
    <row r="4229" hidden="1" x14ac:dyDescent="0.2"/>
    <row r="4230" hidden="1" x14ac:dyDescent="0.2"/>
    <row r="4231" hidden="1" x14ac:dyDescent="0.2"/>
    <row r="4232" hidden="1" x14ac:dyDescent="0.2"/>
    <row r="4233" hidden="1" x14ac:dyDescent="0.2"/>
    <row r="4234" hidden="1" x14ac:dyDescent="0.2"/>
    <row r="4235" hidden="1" x14ac:dyDescent="0.2"/>
    <row r="4236" hidden="1" x14ac:dyDescent="0.2"/>
    <row r="4237" hidden="1" x14ac:dyDescent="0.2"/>
    <row r="4238" hidden="1" x14ac:dyDescent="0.2"/>
    <row r="4239" hidden="1" x14ac:dyDescent="0.2"/>
    <row r="4240" hidden="1" x14ac:dyDescent="0.2"/>
    <row r="4241" hidden="1" x14ac:dyDescent="0.2"/>
    <row r="4242" hidden="1" x14ac:dyDescent="0.2"/>
    <row r="4243" hidden="1" x14ac:dyDescent="0.2"/>
    <row r="4244" hidden="1" x14ac:dyDescent="0.2"/>
    <row r="4245" hidden="1" x14ac:dyDescent="0.2"/>
    <row r="4246" hidden="1" x14ac:dyDescent="0.2"/>
    <row r="4247" hidden="1" x14ac:dyDescent="0.2"/>
    <row r="4248" hidden="1" x14ac:dyDescent="0.2"/>
    <row r="4249" hidden="1" x14ac:dyDescent="0.2"/>
    <row r="4250" hidden="1" x14ac:dyDescent="0.2"/>
    <row r="4251" hidden="1" x14ac:dyDescent="0.2"/>
    <row r="4252" hidden="1" x14ac:dyDescent="0.2"/>
    <row r="4253" hidden="1" x14ac:dyDescent="0.2"/>
    <row r="4254" hidden="1" x14ac:dyDescent="0.2"/>
    <row r="4255" hidden="1" x14ac:dyDescent="0.2"/>
    <row r="4256" hidden="1" x14ac:dyDescent="0.2"/>
    <row r="4257" hidden="1" x14ac:dyDescent="0.2"/>
    <row r="4258" hidden="1" x14ac:dyDescent="0.2"/>
    <row r="4259" hidden="1" x14ac:dyDescent="0.2"/>
    <row r="4260" hidden="1" x14ac:dyDescent="0.2"/>
    <row r="4261" hidden="1" x14ac:dyDescent="0.2"/>
    <row r="4262" hidden="1" x14ac:dyDescent="0.2"/>
    <row r="4263" hidden="1" x14ac:dyDescent="0.2"/>
    <row r="4264" hidden="1" x14ac:dyDescent="0.2"/>
    <row r="4265" hidden="1" x14ac:dyDescent="0.2"/>
    <row r="4266" hidden="1" x14ac:dyDescent="0.2"/>
    <row r="4267" hidden="1" x14ac:dyDescent="0.2"/>
    <row r="4268" hidden="1" x14ac:dyDescent="0.2"/>
    <row r="4269" hidden="1" x14ac:dyDescent="0.2"/>
    <row r="4270" hidden="1" x14ac:dyDescent="0.2"/>
    <row r="4271" hidden="1" x14ac:dyDescent="0.2"/>
    <row r="4272" hidden="1" x14ac:dyDescent="0.2"/>
    <row r="4273" hidden="1" x14ac:dyDescent="0.2"/>
    <row r="4274" hidden="1" x14ac:dyDescent="0.2"/>
    <row r="4275" hidden="1" x14ac:dyDescent="0.2"/>
    <row r="4276" hidden="1" x14ac:dyDescent="0.2"/>
    <row r="4277" hidden="1" x14ac:dyDescent="0.2"/>
    <row r="4278" hidden="1" x14ac:dyDescent="0.2"/>
    <row r="4279" hidden="1" x14ac:dyDescent="0.2"/>
    <row r="4280" hidden="1" x14ac:dyDescent="0.2"/>
    <row r="4281" hidden="1" x14ac:dyDescent="0.2"/>
    <row r="4282" hidden="1" x14ac:dyDescent="0.2"/>
    <row r="4283" hidden="1" x14ac:dyDescent="0.2"/>
    <row r="4284" hidden="1" x14ac:dyDescent="0.2"/>
    <row r="4285" hidden="1" x14ac:dyDescent="0.2"/>
    <row r="4286" hidden="1" x14ac:dyDescent="0.2"/>
    <row r="4287" hidden="1" x14ac:dyDescent="0.2"/>
    <row r="4288" hidden="1" x14ac:dyDescent="0.2"/>
    <row r="4289" hidden="1" x14ac:dyDescent="0.2"/>
    <row r="4290" hidden="1" x14ac:dyDescent="0.2"/>
    <row r="4291" hidden="1" x14ac:dyDescent="0.2"/>
    <row r="4292" hidden="1" x14ac:dyDescent="0.2"/>
    <row r="4293" hidden="1" x14ac:dyDescent="0.2"/>
    <row r="4294" hidden="1" x14ac:dyDescent="0.2"/>
    <row r="4295" hidden="1" x14ac:dyDescent="0.2"/>
    <row r="4296" hidden="1" x14ac:dyDescent="0.2"/>
    <row r="4297" hidden="1" x14ac:dyDescent="0.2"/>
    <row r="4298" hidden="1" x14ac:dyDescent="0.2"/>
    <row r="4299" hidden="1" x14ac:dyDescent="0.2"/>
    <row r="4300" hidden="1" x14ac:dyDescent="0.2"/>
    <row r="4301" hidden="1" x14ac:dyDescent="0.2"/>
    <row r="4302" hidden="1" x14ac:dyDescent="0.2"/>
    <row r="4303" hidden="1" x14ac:dyDescent="0.2"/>
    <row r="4304" hidden="1" x14ac:dyDescent="0.2"/>
    <row r="4305" hidden="1" x14ac:dyDescent="0.2"/>
    <row r="4306" hidden="1" x14ac:dyDescent="0.2"/>
    <row r="4307" hidden="1" x14ac:dyDescent="0.2"/>
    <row r="4308" hidden="1" x14ac:dyDescent="0.2"/>
    <row r="4309" hidden="1" x14ac:dyDescent="0.2"/>
    <row r="4310" hidden="1" x14ac:dyDescent="0.2"/>
    <row r="4311" hidden="1" x14ac:dyDescent="0.2"/>
    <row r="4312" hidden="1" x14ac:dyDescent="0.2"/>
    <row r="4313" hidden="1" x14ac:dyDescent="0.2"/>
    <row r="4314" hidden="1" x14ac:dyDescent="0.2"/>
    <row r="4315" hidden="1" x14ac:dyDescent="0.2"/>
    <row r="4316" hidden="1" x14ac:dyDescent="0.2"/>
    <row r="4317" hidden="1" x14ac:dyDescent="0.2"/>
    <row r="4318" hidden="1" x14ac:dyDescent="0.2"/>
    <row r="4319" hidden="1" x14ac:dyDescent="0.2"/>
    <row r="4320" hidden="1" x14ac:dyDescent="0.2"/>
    <row r="4321" hidden="1" x14ac:dyDescent="0.2"/>
    <row r="4322" hidden="1" x14ac:dyDescent="0.2"/>
    <row r="4323" hidden="1" x14ac:dyDescent="0.2"/>
    <row r="4324" hidden="1" x14ac:dyDescent="0.2"/>
    <row r="4325" hidden="1" x14ac:dyDescent="0.2"/>
    <row r="4326" hidden="1" x14ac:dyDescent="0.2"/>
    <row r="4327" hidden="1" x14ac:dyDescent="0.2"/>
    <row r="4328" hidden="1" x14ac:dyDescent="0.2"/>
    <row r="4329" hidden="1" x14ac:dyDescent="0.2"/>
    <row r="4330" hidden="1" x14ac:dyDescent="0.2"/>
    <row r="4331" hidden="1" x14ac:dyDescent="0.2"/>
    <row r="4332" hidden="1" x14ac:dyDescent="0.2"/>
    <row r="4333" hidden="1" x14ac:dyDescent="0.2"/>
    <row r="4334" hidden="1" x14ac:dyDescent="0.2"/>
    <row r="4335" hidden="1" x14ac:dyDescent="0.2"/>
    <row r="4336" hidden="1" x14ac:dyDescent="0.2"/>
    <row r="4337" hidden="1" x14ac:dyDescent="0.2"/>
    <row r="4338" hidden="1" x14ac:dyDescent="0.2"/>
    <row r="4339" hidden="1" x14ac:dyDescent="0.2"/>
    <row r="4340" hidden="1" x14ac:dyDescent="0.2"/>
    <row r="4341" hidden="1" x14ac:dyDescent="0.2"/>
    <row r="4342" hidden="1" x14ac:dyDescent="0.2"/>
    <row r="4343" hidden="1" x14ac:dyDescent="0.2"/>
    <row r="4344" hidden="1" x14ac:dyDescent="0.2"/>
    <row r="4345" hidden="1" x14ac:dyDescent="0.2"/>
    <row r="4346" hidden="1" x14ac:dyDescent="0.2"/>
    <row r="4347" hidden="1" x14ac:dyDescent="0.2"/>
    <row r="4348" hidden="1" x14ac:dyDescent="0.2"/>
    <row r="4349" hidden="1" x14ac:dyDescent="0.2"/>
    <row r="4350" hidden="1" x14ac:dyDescent="0.2"/>
    <row r="4351" hidden="1" x14ac:dyDescent="0.2"/>
    <row r="4352" hidden="1" x14ac:dyDescent="0.2"/>
    <row r="4353" hidden="1" x14ac:dyDescent="0.2"/>
    <row r="4354" hidden="1" x14ac:dyDescent="0.2"/>
    <row r="4355" hidden="1" x14ac:dyDescent="0.2"/>
    <row r="4356" hidden="1" x14ac:dyDescent="0.2"/>
    <row r="4357" hidden="1" x14ac:dyDescent="0.2"/>
    <row r="4358" hidden="1" x14ac:dyDescent="0.2"/>
    <row r="4359" hidden="1" x14ac:dyDescent="0.2"/>
    <row r="4360" hidden="1" x14ac:dyDescent="0.2"/>
    <row r="4361" hidden="1" x14ac:dyDescent="0.2"/>
    <row r="4362" hidden="1" x14ac:dyDescent="0.2"/>
    <row r="4363" hidden="1" x14ac:dyDescent="0.2"/>
    <row r="4364" hidden="1" x14ac:dyDescent="0.2"/>
    <row r="4365" hidden="1" x14ac:dyDescent="0.2"/>
    <row r="4366" hidden="1" x14ac:dyDescent="0.2"/>
    <row r="4367" hidden="1" x14ac:dyDescent="0.2"/>
    <row r="4368" hidden="1" x14ac:dyDescent="0.2"/>
    <row r="4369" hidden="1" x14ac:dyDescent="0.2"/>
    <row r="4370" hidden="1" x14ac:dyDescent="0.2"/>
    <row r="4371" hidden="1" x14ac:dyDescent="0.2"/>
    <row r="4372" hidden="1" x14ac:dyDescent="0.2"/>
    <row r="4373" hidden="1" x14ac:dyDescent="0.2"/>
    <row r="4374" hidden="1" x14ac:dyDescent="0.2"/>
    <row r="4375" hidden="1" x14ac:dyDescent="0.2"/>
    <row r="4376" hidden="1" x14ac:dyDescent="0.2"/>
    <row r="4377" hidden="1" x14ac:dyDescent="0.2"/>
    <row r="4378" hidden="1" x14ac:dyDescent="0.2"/>
    <row r="4379" hidden="1" x14ac:dyDescent="0.2"/>
    <row r="4380" hidden="1" x14ac:dyDescent="0.2"/>
    <row r="4381" hidden="1" x14ac:dyDescent="0.2"/>
    <row r="4382" hidden="1" x14ac:dyDescent="0.2"/>
    <row r="4383" hidden="1" x14ac:dyDescent="0.2"/>
    <row r="4384" hidden="1" x14ac:dyDescent="0.2"/>
    <row r="4385" hidden="1" x14ac:dyDescent="0.2"/>
    <row r="4386" hidden="1" x14ac:dyDescent="0.2"/>
    <row r="4387" hidden="1" x14ac:dyDescent="0.2"/>
    <row r="4388" hidden="1" x14ac:dyDescent="0.2"/>
    <row r="4389" hidden="1" x14ac:dyDescent="0.2"/>
    <row r="4390" hidden="1" x14ac:dyDescent="0.2"/>
    <row r="4391" hidden="1" x14ac:dyDescent="0.2"/>
    <row r="4392" hidden="1" x14ac:dyDescent="0.2"/>
    <row r="4393" hidden="1" x14ac:dyDescent="0.2"/>
    <row r="4394" hidden="1" x14ac:dyDescent="0.2"/>
    <row r="4395" hidden="1" x14ac:dyDescent="0.2"/>
    <row r="4396" hidden="1" x14ac:dyDescent="0.2"/>
    <row r="4397" hidden="1" x14ac:dyDescent="0.2"/>
    <row r="4398" hidden="1" x14ac:dyDescent="0.2"/>
    <row r="4399" hidden="1" x14ac:dyDescent="0.2"/>
    <row r="4400" hidden="1" x14ac:dyDescent="0.2"/>
    <row r="4401" hidden="1" x14ac:dyDescent="0.2"/>
    <row r="4402" hidden="1" x14ac:dyDescent="0.2"/>
    <row r="4403" hidden="1" x14ac:dyDescent="0.2"/>
    <row r="4404" hidden="1" x14ac:dyDescent="0.2"/>
    <row r="4405" hidden="1" x14ac:dyDescent="0.2"/>
    <row r="4406" hidden="1" x14ac:dyDescent="0.2"/>
    <row r="4407" hidden="1" x14ac:dyDescent="0.2"/>
    <row r="4408" hidden="1" x14ac:dyDescent="0.2"/>
    <row r="4409" hidden="1" x14ac:dyDescent="0.2"/>
    <row r="4410" hidden="1" x14ac:dyDescent="0.2"/>
    <row r="4411" hidden="1" x14ac:dyDescent="0.2"/>
    <row r="4412" hidden="1" x14ac:dyDescent="0.2"/>
    <row r="4413" hidden="1" x14ac:dyDescent="0.2"/>
    <row r="4414" hidden="1" x14ac:dyDescent="0.2"/>
    <row r="4415" hidden="1" x14ac:dyDescent="0.2"/>
    <row r="4416" hidden="1" x14ac:dyDescent="0.2"/>
    <row r="4417" hidden="1" x14ac:dyDescent="0.2"/>
    <row r="4418" hidden="1" x14ac:dyDescent="0.2"/>
    <row r="4419" hidden="1" x14ac:dyDescent="0.2"/>
    <row r="4420" hidden="1" x14ac:dyDescent="0.2"/>
    <row r="4421" hidden="1" x14ac:dyDescent="0.2"/>
    <row r="4422" hidden="1" x14ac:dyDescent="0.2"/>
    <row r="4423" hidden="1" x14ac:dyDescent="0.2"/>
    <row r="4424" hidden="1" x14ac:dyDescent="0.2"/>
    <row r="4425" hidden="1" x14ac:dyDescent="0.2"/>
    <row r="4426" hidden="1" x14ac:dyDescent="0.2"/>
    <row r="4427" hidden="1" x14ac:dyDescent="0.2"/>
    <row r="4428" hidden="1" x14ac:dyDescent="0.2"/>
    <row r="4429" hidden="1" x14ac:dyDescent="0.2"/>
    <row r="4430" hidden="1" x14ac:dyDescent="0.2"/>
    <row r="4431" hidden="1" x14ac:dyDescent="0.2"/>
    <row r="4432" hidden="1" x14ac:dyDescent="0.2"/>
    <row r="4433" hidden="1" x14ac:dyDescent="0.2"/>
    <row r="4434" hidden="1" x14ac:dyDescent="0.2"/>
    <row r="4435" hidden="1" x14ac:dyDescent="0.2"/>
    <row r="4436" hidden="1" x14ac:dyDescent="0.2"/>
    <row r="4437" hidden="1" x14ac:dyDescent="0.2"/>
    <row r="4438" hidden="1" x14ac:dyDescent="0.2"/>
    <row r="4439" hidden="1" x14ac:dyDescent="0.2"/>
    <row r="4440" hidden="1" x14ac:dyDescent="0.2"/>
    <row r="4441" hidden="1" x14ac:dyDescent="0.2"/>
    <row r="4442" hidden="1" x14ac:dyDescent="0.2"/>
    <row r="4443" hidden="1" x14ac:dyDescent="0.2"/>
    <row r="4444" hidden="1" x14ac:dyDescent="0.2"/>
    <row r="4445" hidden="1" x14ac:dyDescent="0.2"/>
    <row r="4446" hidden="1" x14ac:dyDescent="0.2"/>
    <row r="4447" hidden="1" x14ac:dyDescent="0.2"/>
    <row r="4448" hidden="1" x14ac:dyDescent="0.2"/>
    <row r="4449" hidden="1" x14ac:dyDescent="0.2"/>
    <row r="4450" hidden="1" x14ac:dyDescent="0.2"/>
    <row r="4451" hidden="1" x14ac:dyDescent="0.2"/>
    <row r="4452" hidden="1" x14ac:dyDescent="0.2"/>
    <row r="4453" hidden="1" x14ac:dyDescent="0.2"/>
    <row r="4454" hidden="1" x14ac:dyDescent="0.2"/>
    <row r="4455" hidden="1" x14ac:dyDescent="0.2"/>
    <row r="4456" hidden="1" x14ac:dyDescent="0.2"/>
    <row r="4457" hidden="1" x14ac:dyDescent="0.2"/>
    <row r="4458" hidden="1" x14ac:dyDescent="0.2"/>
    <row r="4459" hidden="1" x14ac:dyDescent="0.2"/>
    <row r="4460" hidden="1" x14ac:dyDescent="0.2"/>
    <row r="4461" hidden="1" x14ac:dyDescent="0.2"/>
    <row r="4462" hidden="1" x14ac:dyDescent="0.2"/>
    <row r="4463" hidden="1" x14ac:dyDescent="0.2"/>
    <row r="4464" hidden="1" x14ac:dyDescent="0.2"/>
    <row r="4465" hidden="1" x14ac:dyDescent="0.2"/>
    <row r="4466" hidden="1" x14ac:dyDescent="0.2"/>
    <row r="4467" hidden="1" x14ac:dyDescent="0.2"/>
    <row r="4468" hidden="1" x14ac:dyDescent="0.2"/>
    <row r="4469" hidden="1" x14ac:dyDescent="0.2"/>
    <row r="4470" hidden="1" x14ac:dyDescent="0.2"/>
    <row r="4471" hidden="1" x14ac:dyDescent="0.2"/>
    <row r="4472" hidden="1" x14ac:dyDescent="0.2"/>
    <row r="4473" hidden="1" x14ac:dyDescent="0.2"/>
    <row r="4474" hidden="1" x14ac:dyDescent="0.2"/>
    <row r="4475" hidden="1" x14ac:dyDescent="0.2"/>
    <row r="4476" hidden="1" x14ac:dyDescent="0.2"/>
    <row r="4477" hidden="1" x14ac:dyDescent="0.2"/>
    <row r="4478" hidden="1" x14ac:dyDescent="0.2"/>
    <row r="4479" hidden="1" x14ac:dyDescent="0.2"/>
    <row r="4480" hidden="1" x14ac:dyDescent="0.2"/>
    <row r="4481" hidden="1" x14ac:dyDescent="0.2"/>
    <row r="4482" hidden="1" x14ac:dyDescent="0.2"/>
    <row r="4483" hidden="1" x14ac:dyDescent="0.2"/>
    <row r="4484" hidden="1" x14ac:dyDescent="0.2"/>
    <row r="4485" hidden="1" x14ac:dyDescent="0.2"/>
    <row r="4486" hidden="1" x14ac:dyDescent="0.2"/>
    <row r="4487" hidden="1" x14ac:dyDescent="0.2"/>
    <row r="4488" hidden="1" x14ac:dyDescent="0.2"/>
    <row r="4489" hidden="1" x14ac:dyDescent="0.2"/>
    <row r="4490" hidden="1" x14ac:dyDescent="0.2"/>
    <row r="4491" hidden="1" x14ac:dyDescent="0.2"/>
    <row r="4492" hidden="1" x14ac:dyDescent="0.2"/>
    <row r="4493" hidden="1" x14ac:dyDescent="0.2"/>
    <row r="4494" hidden="1" x14ac:dyDescent="0.2"/>
    <row r="4495" hidden="1" x14ac:dyDescent="0.2"/>
    <row r="4496" hidden="1" x14ac:dyDescent="0.2"/>
    <row r="4497" hidden="1" x14ac:dyDescent="0.2"/>
    <row r="4498" hidden="1" x14ac:dyDescent="0.2"/>
    <row r="4499" hidden="1" x14ac:dyDescent="0.2"/>
    <row r="4500" hidden="1" x14ac:dyDescent="0.2"/>
    <row r="4501" hidden="1" x14ac:dyDescent="0.2"/>
    <row r="4502" hidden="1" x14ac:dyDescent="0.2"/>
    <row r="4503" hidden="1" x14ac:dyDescent="0.2"/>
    <row r="4504" hidden="1" x14ac:dyDescent="0.2"/>
    <row r="4505" hidden="1" x14ac:dyDescent="0.2"/>
    <row r="4506" hidden="1" x14ac:dyDescent="0.2"/>
    <row r="4507" hidden="1" x14ac:dyDescent="0.2"/>
    <row r="4508" hidden="1" x14ac:dyDescent="0.2"/>
    <row r="4509" hidden="1" x14ac:dyDescent="0.2"/>
    <row r="4510" hidden="1" x14ac:dyDescent="0.2"/>
    <row r="4511" hidden="1" x14ac:dyDescent="0.2"/>
    <row r="4512" hidden="1" x14ac:dyDescent="0.2"/>
    <row r="4513" hidden="1" x14ac:dyDescent="0.2"/>
    <row r="4514" hidden="1" x14ac:dyDescent="0.2"/>
    <row r="4515" hidden="1" x14ac:dyDescent="0.2"/>
    <row r="4516" hidden="1" x14ac:dyDescent="0.2"/>
    <row r="4517" hidden="1" x14ac:dyDescent="0.2"/>
    <row r="4518" hidden="1" x14ac:dyDescent="0.2"/>
    <row r="4519" hidden="1" x14ac:dyDescent="0.2"/>
    <row r="4520" hidden="1" x14ac:dyDescent="0.2"/>
    <row r="4521" hidden="1" x14ac:dyDescent="0.2"/>
    <row r="4522" hidden="1" x14ac:dyDescent="0.2"/>
    <row r="4523" hidden="1" x14ac:dyDescent="0.2"/>
    <row r="4524" hidden="1" x14ac:dyDescent="0.2"/>
    <row r="4525" hidden="1" x14ac:dyDescent="0.2"/>
    <row r="4526" hidden="1" x14ac:dyDescent="0.2"/>
    <row r="4527" hidden="1" x14ac:dyDescent="0.2"/>
    <row r="4528" hidden="1" x14ac:dyDescent="0.2"/>
    <row r="4529" hidden="1" x14ac:dyDescent="0.2"/>
    <row r="4530" hidden="1" x14ac:dyDescent="0.2"/>
    <row r="4531" hidden="1" x14ac:dyDescent="0.2"/>
    <row r="4532" hidden="1" x14ac:dyDescent="0.2"/>
    <row r="4533" hidden="1" x14ac:dyDescent="0.2"/>
    <row r="4534" hidden="1" x14ac:dyDescent="0.2"/>
    <row r="4535" hidden="1" x14ac:dyDescent="0.2"/>
    <row r="4536" hidden="1" x14ac:dyDescent="0.2"/>
    <row r="4537" hidden="1" x14ac:dyDescent="0.2"/>
    <row r="4538" hidden="1" x14ac:dyDescent="0.2"/>
    <row r="4539" hidden="1" x14ac:dyDescent="0.2"/>
    <row r="4540" hidden="1" x14ac:dyDescent="0.2"/>
    <row r="4541" hidden="1" x14ac:dyDescent="0.2"/>
    <row r="4542" hidden="1" x14ac:dyDescent="0.2"/>
    <row r="4543" hidden="1" x14ac:dyDescent="0.2"/>
    <row r="4544" hidden="1" x14ac:dyDescent="0.2"/>
    <row r="4545" hidden="1" x14ac:dyDescent="0.2"/>
    <row r="4546" hidden="1" x14ac:dyDescent="0.2"/>
    <row r="4547" hidden="1" x14ac:dyDescent="0.2"/>
    <row r="4548" hidden="1" x14ac:dyDescent="0.2"/>
    <row r="4549" hidden="1" x14ac:dyDescent="0.2"/>
    <row r="4550" hidden="1" x14ac:dyDescent="0.2"/>
    <row r="4551" hidden="1" x14ac:dyDescent="0.2"/>
    <row r="4552" hidden="1" x14ac:dyDescent="0.2"/>
    <row r="4553" hidden="1" x14ac:dyDescent="0.2"/>
    <row r="4554" hidden="1" x14ac:dyDescent="0.2"/>
    <row r="4555" hidden="1" x14ac:dyDescent="0.2"/>
    <row r="4556" hidden="1" x14ac:dyDescent="0.2"/>
    <row r="4557" hidden="1" x14ac:dyDescent="0.2"/>
    <row r="4558" hidden="1" x14ac:dyDescent="0.2"/>
    <row r="4559" hidden="1" x14ac:dyDescent="0.2"/>
    <row r="4560" hidden="1" x14ac:dyDescent="0.2"/>
    <row r="4561" hidden="1" x14ac:dyDescent="0.2"/>
    <row r="4562" hidden="1" x14ac:dyDescent="0.2"/>
    <row r="4563" hidden="1" x14ac:dyDescent="0.2"/>
    <row r="4564" hidden="1" x14ac:dyDescent="0.2"/>
    <row r="4565" hidden="1" x14ac:dyDescent="0.2"/>
    <row r="4566" hidden="1" x14ac:dyDescent="0.2"/>
    <row r="4567" hidden="1" x14ac:dyDescent="0.2"/>
    <row r="4568" hidden="1" x14ac:dyDescent="0.2"/>
    <row r="4569" hidden="1" x14ac:dyDescent="0.2"/>
    <row r="4570" hidden="1" x14ac:dyDescent="0.2"/>
    <row r="4571" hidden="1" x14ac:dyDescent="0.2"/>
    <row r="4572" hidden="1" x14ac:dyDescent="0.2"/>
    <row r="4573" hidden="1" x14ac:dyDescent="0.2"/>
    <row r="4574" hidden="1" x14ac:dyDescent="0.2"/>
    <row r="4575" hidden="1" x14ac:dyDescent="0.2"/>
    <row r="4576" hidden="1" x14ac:dyDescent="0.2"/>
    <row r="4577" hidden="1" x14ac:dyDescent="0.2"/>
    <row r="4578" hidden="1" x14ac:dyDescent="0.2"/>
    <row r="4579" hidden="1" x14ac:dyDescent="0.2"/>
    <row r="4580" hidden="1" x14ac:dyDescent="0.2"/>
    <row r="4581" hidden="1" x14ac:dyDescent="0.2"/>
    <row r="4582" hidden="1" x14ac:dyDescent="0.2"/>
    <row r="4583" hidden="1" x14ac:dyDescent="0.2"/>
    <row r="4584" hidden="1" x14ac:dyDescent="0.2"/>
    <row r="4585" hidden="1" x14ac:dyDescent="0.2"/>
    <row r="4586" hidden="1" x14ac:dyDescent="0.2"/>
    <row r="4587" hidden="1" x14ac:dyDescent="0.2"/>
    <row r="4588" hidden="1" x14ac:dyDescent="0.2"/>
    <row r="4589" hidden="1" x14ac:dyDescent="0.2"/>
    <row r="4590" hidden="1" x14ac:dyDescent="0.2"/>
    <row r="4591" hidden="1" x14ac:dyDescent="0.2"/>
    <row r="4592" hidden="1" x14ac:dyDescent="0.2"/>
    <row r="4593" hidden="1" x14ac:dyDescent="0.2"/>
    <row r="4594" hidden="1" x14ac:dyDescent="0.2"/>
    <row r="4595" hidden="1" x14ac:dyDescent="0.2"/>
    <row r="4596" hidden="1" x14ac:dyDescent="0.2"/>
    <row r="4597" hidden="1" x14ac:dyDescent="0.2"/>
    <row r="4598" hidden="1" x14ac:dyDescent="0.2"/>
    <row r="4599" hidden="1" x14ac:dyDescent="0.2"/>
    <row r="4600" hidden="1" x14ac:dyDescent="0.2"/>
    <row r="4601" hidden="1" x14ac:dyDescent="0.2"/>
    <row r="4602" hidden="1" x14ac:dyDescent="0.2"/>
    <row r="4603" hidden="1" x14ac:dyDescent="0.2"/>
    <row r="4604" hidden="1" x14ac:dyDescent="0.2"/>
    <row r="4605" hidden="1" x14ac:dyDescent="0.2"/>
    <row r="4606" hidden="1" x14ac:dyDescent="0.2"/>
    <row r="4607" hidden="1" x14ac:dyDescent="0.2"/>
    <row r="4608" hidden="1" x14ac:dyDescent="0.2"/>
    <row r="4609" hidden="1" x14ac:dyDescent="0.2"/>
    <row r="4610" hidden="1" x14ac:dyDescent="0.2"/>
    <row r="4611" hidden="1" x14ac:dyDescent="0.2"/>
    <row r="4612" hidden="1" x14ac:dyDescent="0.2"/>
    <row r="4613" hidden="1" x14ac:dyDescent="0.2"/>
    <row r="4614" hidden="1" x14ac:dyDescent="0.2"/>
    <row r="4615" hidden="1" x14ac:dyDescent="0.2"/>
    <row r="4616" hidden="1" x14ac:dyDescent="0.2"/>
    <row r="4617" hidden="1" x14ac:dyDescent="0.2"/>
    <row r="4618" hidden="1" x14ac:dyDescent="0.2"/>
    <row r="4619" hidden="1" x14ac:dyDescent="0.2"/>
    <row r="4620" hidden="1" x14ac:dyDescent="0.2"/>
    <row r="4621" hidden="1" x14ac:dyDescent="0.2"/>
    <row r="4622" hidden="1" x14ac:dyDescent="0.2"/>
    <row r="4623" hidden="1" x14ac:dyDescent="0.2"/>
    <row r="4624" hidden="1" x14ac:dyDescent="0.2"/>
    <row r="4625" hidden="1" x14ac:dyDescent="0.2"/>
    <row r="4626" hidden="1" x14ac:dyDescent="0.2"/>
    <row r="4627" hidden="1" x14ac:dyDescent="0.2"/>
    <row r="4628" hidden="1" x14ac:dyDescent="0.2"/>
    <row r="4629" hidden="1" x14ac:dyDescent="0.2"/>
    <row r="4630" hidden="1" x14ac:dyDescent="0.2"/>
    <row r="4631" hidden="1" x14ac:dyDescent="0.2"/>
    <row r="4632" hidden="1" x14ac:dyDescent="0.2"/>
    <row r="4633" hidden="1" x14ac:dyDescent="0.2"/>
    <row r="4634" hidden="1" x14ac:dyDescent="0.2"/>
    <row r="4635" hidden="1" x14ac:dyDescent="0.2"/>
    <row r="4636" hidden="1" x14ac:dyDescent="0.2"/>
    <row r="4637" hidden="1" x14ac:dyDescent="0.2"/>
    <row r="4638" hidden="1" x14ac:dyDescent="0.2"/>
    <row r="4639" hidden="1" x14ac:dyDescent="0.2"/>
    <row r="4640" hidden="1" x14ac:dyDescent="0.2"/>
    <row r="4641" hidden="1" x14ac:dyDescent="0.2"/>
    <row r="4642" hidden="1" x14ac:dyDescent="0.2"/>
    <row r="4643" hidden="1" x14ac:dyDescent="0.2"/>
    <row r="4644" hidden="1" x14ac:dyDescent="0.2"/>
    <row r="4645" hidden="1" x14ac:dyDescent="0.2"/>
    <row r="4646" hidden="1" x14ac:dyDescent="0.2"/>
    <row r="4647" hidden="1" x14ac:dyDescent="0.2"/>
    <row r="4648" hidden="1" x14ac:dyDescent="0.2"/>
    <row r="4649" hidden="1" x14ac:dyDescent="0.2"/>
    <row r="4650" hidden="1" x14ac:dyDescent="0.2"/>
    <row r="4651" hidden="1" x14ac:dyDescent="0.2"/>
    <row r="4652" hidden="1" x14ac:dyDescent="0.2"/>
    <row r="4653" hidden="1" x14ac:dyDescent="0.2"/>
    <row r="4654" hidden="1" x14ac:dyDescent="0.2"/>
    <row r="4655" hidden="1" x14ac:dyDescent="0.2"/>
    <row r="4656" hidden="1" x14ac:dyDescent="0.2"/>
    <row r="4657" hidden="1" x14ac:dyDescent="0.2"/>
    <row r="4658" hidden="1" x14ac:dyDescent="0.2"/>
    <row r="4659" hidden="1" x14ac:dyDescent="0.2"/>
    <row r="4660" hidden="1" x14ac:dyDescent="0.2"/>
    <row r="4661" hidden="1" x14ac:dyDescent="0.2"/>
    <row r="4662" hidden="1" x14ac:dyDescent="0.2"/>
    <row r="4663" hidden="1" x14ac:dyDescent="0.2"/>
    <row r="4664" hidden="1" x14ac:dyDescent="0.2"/>
    <row r="4665" hidden="1" x14ac:dyDescent="0.2"/>
    <row r="4666" hidden="1" x14ac:dyDescent="0.2"/>
    <row r="4667" hidden="1" x14ac:dyDescent="0.2"/>
    <row r="4668" hidden="1" x14ac:dyDescent="0.2"/>
    <row r="4669" hidden="1" x14ac:dyDescent="0.2"/>
    <row r="4670" hidden="1" x14ac:dyDescent="0.2"/>
    <row r="4671" hidden="1" x14ac:dyDescent="0.2"/>
    <row r="4672" hidden="1" x14ac:dyDescent="0.2"/>
    <row r="4673" hidden="1" x14ac:dyDescent="0.2"/>
    <row r="4674" hidden="1" x14ac:dyDescent="0.2"/>
    <row r="4675" hidden="1" x14ac:dyDescent="0.2"/>
    <row r="4676" hidden="1" x14ac:dyDescent="0.2"/>
    <row r="4677" hidden="1" x14ac:dyDescent="0.2"/>
    <row r="4678" hidden="1" x14ac:dyDescent="0.2"/>
    <row r="4679" hidden="1" x14ac:dyDescent="0.2"/>
    <row r="4680" hidden="1" x14ac:dyDescent="0.2"/>
    <row r="4681" hidden="1" x14ac:dyDescent="0.2"/>
    <row r="4682" hidden="1" x14ac:dyDescent="0.2"/>
    <row r="4683" hidden="1" x14ac:dyDescent="0.2"/>
    <row r="4684" hidden="1" x14ac:dyDescent="0.2"/>
    <row r="4685" hidden="1" x14ac:dyDescent="0.2"/>
    <row r="4686" hidden="1" x14ac:dyDescent="0.2"/>
    <row r="4687" hidden="1" x14ac:dyDescent="0.2"/>
    <row r="4688" hidden="1" x14ac:dyDescent="0.2"/>
    <row r="4689" hidden="1" x14ac:dyDescent="0.2"/>
    <row r="4690" hidden="1" x14ac:dyDescent="0.2"/>
    <row r="4691" hidden="1" x14ac:dyDescent="0.2"/>
    <row r="4692" hidden="1" x14ac:dyDescent="0.2"/>
    <row r="4693" hidden="1" x14ac:dyDescent="0.2"/>
    <row r="4694" hidden="1" x14ac:dyDescent="0.2"/>
    <row r="4695" hidden="1" x14ac:dyDescent="0.2"/>
    <row r="4696" hidden="1" x14ac:dyDescent="0.2"/>
    <row r="4697" hidden="1" x14ac:dyDescent="0.2"/>
    <row r="4698" hidden="1" x14ac:dyDescent="0.2"/>
    <row r="4699" hidden="1" x14ac:dyDescent="0.2"/>
    <row r="4700" hidden="1" x14ac:dyDescent="0.2"/>
    <row r="4701" hidden="1" x14ac:dyDescent="0.2"/>
    <row r="4702" hidden="1" x14ac:dyDescent="0.2"/>
    <row r="4703" hidden="1" x14ac:dyDescent="0.2"/>
    <row r="4704" hidden="1" x14ac:dyDescent="0.2"/>
    <row r="4705" hidden="1" x14ac:dyDescent="0.2"/>
    <row r="4706" hidden="1" x14ac:dyDescent="0.2"/>
    <row r="4707" hidden="1" x14ac:dyDescent="0.2"/>
    <row r="4708" hidden="1" x14ac:dyDescent="0.2"/>
    <row r="4709" hidden="1" x14ac:dyDescent="0.2"/>
    <row r="4710" hidden="1" x14ac:dyDescent="0.2"/>
    <row r="4711" hidden="1" x14ac:dyDescent="0.2"/>
    <row r="4712" hidden="1" x14ac:dyDescent="0.2"/>
    <row r="4713" hidden="1" x14ac:dyDescent="0.2"/>
    <row r="4714" hidden="1" x14ac:dyDescent="0.2"/>
    <row r="4715" hidden="1" x14ac:dyDescent="0.2"/>
    <row r="4716" hidden="1" x14ac:dyDescent="0.2"/>
    <row r="4717" hidden="1" x14ac:dyDescent="0.2"/>
    <row r="4718" hidden="1" x14ac:dyDescent="0.2"/>
    <row r="4719" hidden="1" x14ac:dyDescent="0.2"/>
    <row r="4720" hidden="1" x14ac:dyDescent="0.2"/>
    <row r="4721" hidden="1" x14ac:dyDescent="0.2"/>
    <row r="4722" hidden="1" x14ac:dyDescent="0.2"/>
    <row r="4723" hidden="1" x14ac:dyDescent="0.2"/>
    <row r="4724" hidden="1" x14ac:dyDescent="0.2"/>
    <row r="4725" hidden="1" x14ac:dyDescent="0.2"/>
    <row r="4726" hidden="1" x14ac:dyDescent="0.2"/>
    <row r="4727" hidden="1" x14ac:dyDescent="0.2"/>
    <row r="4728" hidden="1" x14ac:dyDescent="0.2"/>
    <row r="4729" hidden="1" x14ac:dyDescent="0.2"/>
    <row r="4730" hidden="1" x14ac:dyDescent="0.2"/>
    <row r="4731" hidden="1" x14ac:dyDescent="0.2"/>
    <row r="4732" hidden="1" x14ac:dyDescent="0.2"/>
    <row r="4733" hidden="1" x14ac:dyDescent="0.2"/>
    <row r="4734" hidden="1" x14ac:dyDescent="0.2"/>
    <row r="4735" hidden="1" x14ac:dyDescent="0.2"/>
    <row r="4736" hidden="1" x14ac:dyDescent="0.2"/>
    <row r="4737" hidden="1" x14ac:dyDescent="0.2"/>
    <row r="4738" hidden="1" x14ac:dyDescent="0.2"/>
    <row r="4739" hidden="1" x14ac:dyDescent="0.2"/>
    <row r="4740" hidden="1" x14ac:dyDescent="0.2"/>
    <row r="4741" hidden="1" x14ac:dyDescent="0.2"/>
    <row r="4742" hidden="1" x14ac:dyDescent="0.2"/>
    <row r="4743" hidden="1" x14ac:dyDescent="0.2"/>
    <row r="4744" hidden="1" x14ac:dyDescent="0.2"/>
    <row r="4745" hidden="1" x14ac:dyDescent="0.2"/>
    <row r="4746" hidden="1" x14ac:dyDescent="0.2"/>
    <row r="4747" hidden="1" x14ac:dyDescent="0.2"/>
    <row r="4748" hidden="1" x14ac:dyDescent="0.2"/>
    <row r="4749" hidden="1" x14ac:dyDescent="0.2"/>
    <row r="4750" hidden="1" x14ac:dyDescent="0.2"/>
    <row r="4751" hidden="1" x14ac:dyDescent="0.2"/>
    <row r="4752" hidden="1" x14ac:dyDescent="0.2"/>
    <row r="4753" hidden="1" x14ac:dyDescent="0.2"/>
    <row r="4754" hidden="1" x14ac:dyDescent="0.2"/>
    <row r="4755" hidden="1" x14ac:dyDescent="0.2"/>
    <row r="4756" hidden="1" x14ac:dyDescent="0.2"/>
    <row r="4757" hidden="1" x14ac:dyDescent="0.2"/>
    <row r="4758" hidden="1" x14ac:dyDescent="0.2"/>
    <row r="4759" hidden="1" x14ac:dyDescent="0.2"/>
    <row r="4760" hidden="1" x14ac:dyDescent="0.2"/>
    <row r="4761" hidden="1" x14ac:dyDescent="0.2"/>
    <row r="4762" hidden="1" x14ac:dyDescent="0.2"/>
    <row r="4763" hidden="1" x14ac:dyDescent="0.2"/>
    <row r="4764" hidden="1" x14ac:dyDescent="0.2"/>
    <row r="4765" hidden="1" x14ac:dyDescent="0.2"/>
    <row r="4766" hidden="1" x14ac:dyDescent="0.2"/>
    <row r="4767" hidden="1" x14ac:dyDescent="0.2"/>
    <row r="4768" hidden="1" x14ac:dyDescent="0.2"/>
    <row r="4769" hidden="1" x14ac:dyDescent="0.2"/>
    <row r="4770" hidden="1" x14ac:dyDescent="0.2"/>
    <row r="4771" hidden="1" x14ac:dyDescent="0.2"/>
    <row r="4772" hidden="1" x14ac:dyDescent="0.2"/>
    <row r="4773" hidden="1" x14ac:dyDescent="0.2"/>
    <row r="4774" hidden="1" x14ac:dyDescent="0.2"/>
    <row r="4775" hidden="1" x14ac:dyDescent="0.2"/>
    <row r="4776" hidden="1" x14ac:dyDescent="0.2"/>
    <row r="4777" hidden="1" x14ac:dyDescent="0.2"/>
    <row r="4778" hidden="1" x14ac:dyDescent="0.2"/>
    <row r="4779" hidden="1" x14ac:dyDescent="0.2"/>
    <row r="4780" hidden="1" x14ac:dyDescent="0.2"/>
    <row r="4781" hidden="1" x14ac:dyDescent="0.2"/>
    <row r="4782" hidden="1" x14ac:dyDescent="0.2"/>
    <row r="4783" hidden="1" x14ac:dyDescent="0.2"/>
    <row r="4784" hidden="1" x14ac:dyDescent="0.2"/>
    <row r="4785" hidden="1" x14ac:dyDescent="0.2"/>
    <row r="4786" hidden="1" x14ac:dyDescent="0.2"/>
    <row r="4787" hidden="1" x14ac:dyDescent="0.2"/>
    <row r="4788" hidden="1" x14ac:dyDescent="0.2"/>
    <row r="4789" hidden="1" x14ac:dyDescent="0.2"/>
    <row r="4790" hidden="1" x14ac:dyDescent="0.2"/>
    <row r="4791" hidden="1" x14ac:dyDescent="0.2"/>
    <row r="4792" hidden="1" x14ac:dyDescent="0.2"/>
    <row r="4793" hidden="1" x14ac:dyDescent="0.2"/>
    <row r="4794" hidden="1" x14ac:dyDescent="0.2"/>
    <row r="4795" hidden="1" x14ac:dyDescent="0.2"/>
    <row r="4796" hidden="1" x14ac:dyDescent="0.2"/>
    <row r="4797" hidden="1" x14ac:dyDescent="0.2"/>
    <row r="4798" hidden="1" x14ac:dyDescent="0.2"/>
    <row r="4799" hidden="1" x14ac:dyDescent="0.2"/>
    <row r="4800" hidden="1" x14ac:dyDescent="0.2"/>
    <row r="4801" hidden="1" x14ac:dyDescent="0.2"/>
    <row r="4802" hidden="1" x14ac:dyDescent="0.2"/>
    <row r="4803" hidden="1" x14ac:dyDescent="0.2"/>
    <row r="4804" hidden="1" x14ac:dyDescent="0.2"/>
    <row r="4805" hidden="1" x14ac:dyDescent="0.2"/>
    <row r="4806" hidden="1" x14ac:dyDescent="0.2"/>
    <row r="4807" hidden="1" x14ac:dyDescent="0.2"/>
    <row r="4808" hidden="1" x14ac:dyDescent="0.2"/>
    <row r="4809" hidden="1" x14ac:dyDescent="0.2"/>
    <row r="4810" hidden="1" x14ac:dyDescent="0.2"/>
    <row r="4811" hidden="1" x14ac:dyDescent="0.2"/>
    <row r="4812" hidden="1" x14ac:dyDescent="0.2"/>
    <row r="4813" hidden="1" x14ac:dyDescent="0.2"/>
    <row r="4814" hidden="1" x14ac:dyDescent="0.2"/>
    <row r="4815" hidden="1" x14ac:dyDescent="0.2"/>
    <row r="4816" hidden="1" x14ac:dyDescent="0.2"/>
    <row r="4817" hidden="1" x14ac:dyDescent="0.2"/>
    <row r="4818" hidden="1" x14ac:dyDescent="0.2"/>
    <row r="4819" hidden="1" x14ac:dyDescent="0.2"/>
    <row r="4820" hidden="1" x14ac:dyDescent="0.2"/>
    <row r="4821" hidden="1" x14ac:dyDescent="0.2"/>
    <row r="4822" hidden="1" x14ac:dyDescent="0.2"/>
    <row r="4823" hidden="1" x14ac:dyDescent="0.2"/>
    <row r="4824" hidden="1" x14ac:dyDescent="0.2"/>
    <row r="4825" hidden="1" x14ac:dyDescent="0.2"/>
    <row r="4826" hidden="1" x14ac:dyDescent="0.2"/>
    <row r="4827" hidden="1" x14ac:dyDescent="0.2"/>
    <row r="4828" hidden="1" x14ac:dyDescent="0.2"/>
    <row r="4829" hidden="1" x14ac:dyDescent="0.2"/>
    <row r="4830" hidden="1" x14ac:dyDescent="0.2"/>
    <row r="4831" hidden="1" x14ac:dyDescent="0.2"/>
    <row r="4832" hidden="1" x14ac:dyDescent="0.2"/>
    <row r="4833" hidden="1" x14ac:dyDescent="0.2"/>
    <row r="4834" hidden="1" x14ac:dyDescent="0.2"/>
    <row r="4835" hidden="1" x14ac:dyDescent="0.2"/>
    <row r="4836" hidden="1" x14ac:dyDescent="0.2"/>
    <row r="4837" hidden="1" x14ac:dyDescent="0.2"/>
    <row r="4838" hidden="1" x14ac:dyDescent="0.2"/>
    <row r="4839" hidden="1" x14ac:dyDescent="0.2"/>
    <row r="4840" hidden="1" x14ac:dyDescent="0.2"/>
    <row r="4841" hidden="1" x14ac:dyDescent="0.2"/>
    <row r="4842" hidden="1" x14ac:dyDescent="0.2"/>
    <row r="4843" hidden="1" x14ac:dyDescent="0.2"/>
    <row r="4844" hidden="1" x14ac:dyDescent="0.2"/>
    <row r="4845" hidden="1" x14ac:dyDescent="0.2"/>
    <row r="4846" hidden="1" x14ac:dyDescent="0.2"/>
    <row r="4847" hidden="1" x14ac:dyDescent="0.2"/>
    <row r="4848" hidden="1" x14ac:dyDescent="0.2"/>
    <row r="4849" hidden="1" x14ac:dyDescent="0.2"/>
    <row r="4850" hidden="1" x14ac:dyDescent="0.2"/>
    <row r="4851" hidden="1" x14ac:dyDescent="0.2"/>
    <row r="4852" hidden="1" x14ac:dyDescent="0.2"/>
    <row r="4853" hidden="1" x14ac:dyDescent="0.2"/>
    <row r="4854" hidden="1" x14ac:dyDescent="0.2"/>
    <row r="4855" hidden="1" x14ac:dyDescent="0.2"/>
    <row r="4856" hidden="1" x14ac:dyDescent="0.2"/>
    <row r="4857" hidden="1" x14ac:dyDescent="0.2"/>
    <row r="4858" hidden="1" x14ac:dyDescent="0.2"/>
    <row r="4859" hidden="1" x14ac:dyDescent="0.2"/>
    <row r="4860" hidden="1" x14ac:dyDescent="0.2"/>
    <row r="4861" hidden="1" x14ac:dyDescent="0.2"/>
    <row r="4862" hidden="1" x14ac:dyDescent="0.2"/>
    <row r="4863" hidden="1" x14ac:dyDescent="0.2"/>
    <row r="4864" hidden="1" x14ac:dyDescent="0.2"/>
    <row r="4865" hidden="1" x14ac:dyDescent="0.2"/>
    <row r="4866" hidden="1" x14ac:dyDescent="0.2"/>
    <row r="4867" hidden="1" x14ac:dyDescent="0.2"/>
    <row r="4868" hidden="1" x14ac:dyDescent="0.2"/>
    <row r="4869" hidden="1" x14ac:dyDescent="0.2"/>
    <row r="4870" hidden="1" x14ac:dyDescent="0.2"/>
    <row r="4871" hidden="1" x14ac:dyDescent="0.2"/>
    <row r="4872" hidden="1" x14ac:dyDescent="0.2"/>
    <row r="4873" hidden="1" x14ac:dyDescent="0.2"/>
    <row r="4874" hidden="1" x14ac:dyDescent="0.2"/>
    <row r="4875" hidden="1" x14ac:dyDescent="0.2"/>
    <row r="4876" hidden="1" x14ac:dyDescent="0.2"/>
    <row r="4877" hidden="1" x14ac:dyDescent="0.2"/>
    <row r="4878" hidden="1" x14ac:dyDescent="0.2"/>
    <row r="4879" hidden="1" x14ac:dyDescent="0.2"/>
    <row r="4880" hidden="1" x14ac:dyDescent="0.2"/>
    <row r="4881" hidden="1" x14ac:dyDescent="0.2"/>
    <row r="4882" hidden="1" x14ac:dyDescent="0.2"/>
    <row r="4883" hidden="1" x14ac:dyDescent="0.2"/>
    <row r="4884" hidden="1" x14ac:dyDescent="0.2"/>
    <row r="4885" hidden="1" x14ac:dyDescent="0.2"/>
    <row r="4886" hidden="1" x14ac:dyDescent="0.2"/>
    <row r="4887" hidden="1" x14ac:dyDescent="0.2"/>
    <row r="4888" hidden="1" x14ac:dyDescent="0.2"/>
    <row r="4889" hidden="1" x14ac:dyDescent="0.2"/>
    <row r="4890" hidden="1" x14ac:dyDescent="0.2"/>
    <row r="4891" hidden="1" x14ac:dyDescent="0.2"/>
    <row r="4892" hidden="1" x14ac:dyDescent="0.2"/>
    <row r="4893" hidden="1" x14ac:dyDescent="0.2"/>
    <row r="4894" hidden="1" x14ac:dyDescent="0.2"/>
    <row r="4895" hidden="1" x14ac:dyDescent="0.2"/>
    <row r="4896" hidden="1" x14ac:dyDescent="0.2"/>
    <row r="4897" hidden="1" x14ac:dyDescent="0.2"/>
    <row r="4898" hidden="1" x14ac:dyDescent="0.2"/>
    <row r="4899" hidden="1" x14ac:dyDescent="0.2"/>
    <row r="4900" hidden="1" x14ac:dyDescent="0.2"/>
    <row r="4901" hidden="1" x14ac:dyDescent="0.2"/>
    <row r="4902" hidden="1" x14ac:dyDescent="0.2"/>
    <row r="4903" hidden="1" x14ac:dyDescent="0.2"/>
    <row r="4904" hidden="1" x14ac:dyDescent="0.2"/>
    <row r="4905" hidden="1" x14ac:dyDescent="0.2"/>
    <row r="4906" hidden="1" x14ac:dyDescent="0.2"/>
    <row r="4907" hidden="1" x14ac:dyDescent="0.2"/>
    <row r="4908" hidden="1" x14ac:dyDescent="0.2"/>
    <row r="4909" hidden="1" x14ac:dyDescent="0.2"/>
    <row r="4910" hidden="1" x14ac:dyDescent="0.2"/>
    <row r="4911" hidden="1" x14ac:dyDescent="0.2"/>
    <row r="4912" hidden="1" x14ac:dyDescent="0.2"/>
    <row r="4913" hidden="1" x14ac:dyDescent="0.2"/>
    <row r="4914" hidden="1" x14ac:dyDescent="0.2"/>
    <row r="4915" hidden="1" x14ac:dyDescent="0.2"/>
    <row r="4916" hidden="1" x14ac:dyDescent="0.2"/>
    <row r="4917" hidden="1" x14ac:dyDescent="0.2"/>
    <row r="4918" hidden="1" x14ac:dyDescent="0.2"/>
    <row r="4919" hidden="1" x14ac:dyDescent="0.2"/>
    <row r="4920" hidden="1" x14ac:dyDescent="0.2"/>
    <row r="4921" hidden="1" x14ac:dyDescent="0.2"/>
    <row r="4922" hidden="1" x14ac:dyDescent="0.2"/>
    <row r="4923" hidden="1" x14ac:dyDescent="0.2"/>
    <row r="4924" hidden="1" x14ac:dyDescent="0.2"/>
    <row r="4925" hidden="1" x14ac:dyDescent="0.2"/>
    <row r="4926" hidden="1" x14ac:dyDescent="0.2"/>
    <row r="4927" hidden="1" x14ac:dyDescent="0.2"/>
    <row r="4928" hidden="1" x14ac:dyDescent="0.2"/>
    <row r="4929" hidden="1" x14ac:dyDescent="0.2"/>
    <row r="4930" hidden="1" x14ac:dyDescent="0.2"/>
    <row r="4931" hidden="1" x14ac:dyDescent="0.2"/>
    <row r="4932" hidden="1" x14ac:dyDescent="0.2"/>
    <row r="4933" hidden="1" x14ac:dyDescent="0.2"/>
    <row r="4934" hidden="1" x14ac:dyDescent="0.2"/>
    <row r="4935" hidden="1" x14ac:dyDescent="0.2"/>
    <row r="4936" hidden="1" x14ac:dyDescent="0.2"/>
    <row r="4937" hidden="1" x14ac:dyDescent="0.2"/>
    <row r="4938" hidden="1" x14ac:dyDescent="0.2"/>
    <row r="4939" hidden="1" x14ac:dyDescent="0.2"/>
    <row r="4940" hidden="1" x14ac:dyDescent="0.2"/>
    <row r="4941" hidden="1" x14ac:dyDescent="0.2"/>
    <row r="4942" hidden="1" x14ac:dyDescent="0.2"/>
    <row r="4943" hidden="1" x14ac:dyDescent="0.2"/>
    <row r="4944" hidden="1" x14ac:dyDescent="0.2"/>
    <row r="4945" hidden="1" x14ac:dyDescent="0.2"/>
    <row r="4946" hidden="1" x14ac:dyDescent="0.2"/>
    <row r="4947" hidden="1" x14ac:dyDescent="0.2"/>
    <row r="4948" hidden="1" x14ac:dyDescent="0.2"/>
    <row r="4949" hidden="1" x14ac:dyDescent="0.2"/>
    <row r="4950" hidden="1" x14ac:dyDescent="0.2"/>
    <row r="4951" hidden="1" x14ac:dyDescent="0.2"/>
    <row r="4952" hidden="1" x14ac:dyDescent="0.2"/>
    <row r="4953" hidden="1" x14ac:dyDescent="0.2"/>
    <row r="4954" hidden="1" x14ac:dyDescent="0.2"/>
    <row r="4955" hidden="1" x14ac:dyDescent="0.2"/>
    <row r="4956" hidden="1" x14ac:dyDescent="0.2"/>
    <row r="4957" hidden="1" x14ac:dyDescent="0.2"/>
    <row r="4958" hidden="1" x14ac:dyDescent="0.2"/>
    <row r="4959" hidden="1" x14ac:dyDescent="0.2"/>
    <row r="4960" hidden="1" x14ac:dyDescent="0.2"/>
    <row r="4961" hidden="1" x14ac:dyDescent="0.2"/>
    <row r="4962" hidden="1" x14ac:dyDescent="0.2"/>
    <row r="4963" hidden="1" x14ac:dyDescent="0.2"/>
    <row r="4964" hidden="1" x14ac:dyDescent="0.2"/>
    <row r="4965" hidden="1" x14ac:dyDescent="0.2"/>
    <row r="4966" hidden="1" x14ac:dyDescent="0.2"/>
    <row r="4967" hidden="1" x14ac:dyDescent="0.2"/>
    <row r="4968" hidden="1" x14ac:dyDescent="0.2"/>
    <row r="4969" hidden="1" x14ac:dyDescent="0.2"/>
    <row r="4970" hidden="1" x14ac:dyDescent="0.2"/>
    <row r="4971" hidden="1" x14ac:dyDescent="0.2"/>
    <row r="4972" hidden="1" x14ac:dyDescent="0.2"/>
    <row r="4973" hidden="1" x14ac:dyDescent="0.2"/>
    <row r="4974" hidden="1" x14ac:dyDescent="0.2"/>
    <row r="4975" hidden="1" x14ac:dyDescent="0.2"/>
    <row r="4976" hidden="1" x14ac:dyDescent="0.2"/>
    <row r="4977" hidden="1" x14ac:dyDescent="0.2"/>
    <row r="4978" hidden="1" x14ac:dyDescent="0.2"/>
    <row r="4979" hidden="1" x14ac:dyDescent="0.2"/>
    <row r="4980" hidden="1" x14ac:dyDescent="0.2"/>
    <row r="4981" hidden="1" x14ac:dyDescent="0.2"/>
    <row r="4982" hidden="1" x14ac:dyDescent="0.2"/>
    <row r="4983" hidden="1" x14ac:dyDescent="0.2"/>
    <row r="4984" hidden="1" x14ac:dyDescent="0.2"/>
    <row r="4985" hidden="1" x14ac:dyDescent="0.2"/>
    <row r="4986" hidden="1" x14ac:dyDescent="0.2"/>
    <row r="4987" hidden="1" x14ac:dyDescent="0.2"/>
    <row r="4988" hidden="1" x14ac:dyDescent="0.2"/>
    <row r="4989" hidden="1" x14ac:dyDescent="0.2"/>
    <row r="4990" hidden="1" x14ac:dyDescent="0.2"/>
    <row r="4991" hidden="1" x14ac:dyDescent="0.2"/>
    <row r="4992" hidden="1" x14ac:dyDescent="0.2"/>
    <row r="4993" hidden="1" x14ac:dyDescent="0.2"/>
    <row r="4994" hidden="1" x14ac:dyDescent="0.2"/>
    <row r="4995" hidden="1" x14ac:dyDescent="0.2"/>
    <row r="4996" hidden="1" x14ac:dyDescent="0.2"/>
    <row r="4997" hidden="1" x14ac:dyDescent="0.2"/>
    <row r="4998" hidden="1" x14ac:dyDescent="0.2"/>
    <row r="4999" hidden="1" x14ac:dyDescent="0.2"/>
    <row r="5000" hidden="1" x14ac:dyDescent="0.2"/>
    <row r="5001" hidden="1" x14ac:dyDescent="0.2"/>
    <row r="5002" hidden="1" x14ac:dyDescent="0.2"/>
    <row r="5003" hidden="1" x14ac:dyDescent="0.2"/>
    <row r="5004" hidden="1" x14ac:dyDescent="0.2"/>
    <row r="5005" hidden="1" x14ac:dyDescent="0.2"/>
    <row r="5006" hidden="1" x14ac:dyDescent="0.2"/>
    <row r="5007" hidden="1" x14ac:dyDescent="0.2"/>
    <row r="5008" hidden="1" x14ac:dyDescent="0.2"/>
    <row r="5009" hidden="1" x14ac:dyDescent="0.2"/>
    <row r="5010" hidden="1" x14ac:dyDescent="0.2"/>
    <row r="5011" hidden="1" x14ac:dyDescent="0.2"/>
    <row r="5012" hidden="1" x14ac:dyDescent="0.2"/>
    <row r="5013" hidden="1" x14ac:dyDescent="0.2"/>
    <row r="5014" hidden="1" x14ac:dyDescent="0.2"/>
    <row r="5015" hidden="1" x14ac:dyDescent="0.2"/>
    <row r="5016" hidden="1" x14ac:dyDescent="0.2"/>
    <row r="5017" hidden="1" x14ac:dyDescent="0.2"/>
    <row r="5018" hidden="1" x14ac:dyDescent="0.2"/>
    <row r="5019" hidden="1" x14ac:dyDescent="0.2"/>
    <row r="5020" hidden="1" x14ac:dyDescent="0.2"/>
    <row r="5021" hidden="1" x14ac:dyDescent="0.2"/>
    <row r="5022" hidden="1" x14ac:dyDescent="0.2"/>
    <row r="5023" hidden="1" x14ac:dyDescent="0.2"/>
    <row r="5024" hidden="1" x14ac:dyDescent="0.2"/>
    <row r="5025" hidden="1" x14ac:dyDescent="0.2"/>
    <row r="5026" hidden="1" x14ac:dyDescent="0.2"/>
    <row r="5027" hidden="1" x14ac:dyDescent="0.2"/>
    <row r="5028" hidden="1" x14ac:dyDescent="0.2"/>
    <row r="5029" hidden="1" x14ac:dyDescent="0.2"/>
    <row r="5030" hidden="1" x14ac:dyDescent="0.2"/>
    <row r="5031" hidden="1" x14ac:dyDescent="0.2"/>
    <row r="5032" hidden="1" x14ac:dyDescent="0.2"/>
    <row r="5033" hidden="1" x14ac:dyDescent="0.2"/>
    <row r="5034" hidden="1" x14ac:dyDescent="0.2"/>
    <row r="5035" hidden="1" x14ac:dyDescent="0.2"/>
    <row r="5036" hidden="1" x14ac:dyDescent="0.2"/>
    <row r="5037" hidden="1" x14ac:dyDescent="0.2"/>
    <row r="5038" hidden="1" x14ac:dyDescent="0.2"/>
    <row r="5039" hidden="1" x14ac:dyDescent="0.2"/>
    <row r="5040" hidden="1" x14ac:dyDescent="0.2"/>
    <row r="5041" hidden="1" x14ac:dyDescent="0.2"/>
    <row r="5042" hidden="1" x14ac:dyDescent="0.2"/>
    <row r="5043" hidden="1" x14ac:dyDescent="0.2"/>
    <row r="5044" hidden="1" x14ac:dyDescent="0.2"/>
    <row r="5045" hidden="1" x14ac:dyDescent="0.2"/>
    <row r="5046" hidden="1" x14ac:dyDescent="0.2"/>
    <row r="5047" hidden="1" x14ac:dyDescent="0.2"/>
    <row r="5048" hidden="1" x14ac:dyDescent="0.2"/>
    <row r="5049" hidden="1" x14ac:dyDescent="0.2"/>
    <row r="5050" hidden="1" x14ac:dyDescent="0.2"/>
    <row r="5051" hidden="1" x14ac:dyDescent="0.2"/>
    <row r="5052" hidden="1" x14ac:dyDescent="0.2"/>
    <row r="5053" hidden="1" x14ac:dyDescent="0.2"/>
    <row r="5054" hidden="1" x14ac:dyDescent="0.2"/>
    <row r="5055" hidden="1" x14ac:dyDescent="0.2"/>
    <row r="5056" hidden="1" x14ac:dyDescent="0.2"/>
    <row r="5057" hidden="1" x14ac:dyDescent="0.2"/>
    <row r="5058" hidden="1" x14ac:dyDescent="0.2"/>
    <row r="5059" hidden="1" x14ac:dyDescent="0.2"/>
    <row r="5060" hidden="1" x14ac:dyDescent="0.2"/>
    <row r="5061" hidden="1" x14ac:dyDescent="0.2"/>
    <row r="5062" hidden="1" x14ac:dyDescent="0.2"/>
    <row r="5063" hidden="1" x14ac:dyDescent="0.2"/>
    <row r="5064" hidden="1" x14ac:dyDescent="0.2"/>
    <row r="5065" hidden="1" x14ac:dyDescent="0.2"/>
    <row r="5066" hidden="1" x14ac:dyDescent="0.2"/>
    <row r="5067" hidden="1" x14ac:dyDescent="0.2"/>
    <row r="5068" hidden="1" x14ac:dyDescent="0.2"/>
    <row r="5069" hidden="1" x14ac:dyDescent="0.2"/>
    <row r="5070" hidden="1" x14ac:dyDescent="0.2"/>
    <row r="5071" hidden="1" x14ac:dyDescent="0.2"/>
    <row r="5072" hidden="1" x14ac:dyDescent="0.2"/>
    <row r="5073" hidden="1" x14ac:dyDescent="0.2"/>
    <row r="5074" hidden="1" x14ac:dyDescent="0.2"/>
    <row r="5075" hidden="1" x14ac:dyDescent="0.2"/>
    <row r="5076" hidden="1" x14ac:dyDescent="0.2"/>
    <row r="5077" hidden="1" x14ac:dyDescent="0.2"/>
    <row r="5078" hidden="1" x14ac:dyDescent="0.2"/>
    <row r="5079" hidden="1" x14ac:dyDescent="0.2"/>
    <row r="5080" hidden="1" x14ac:dyDescent="0.2"/>
    <row r="5081" hidden="1" x14ac:dyDescent="0.2"/>
    <row r="5082" hidden="1" x14ac:dyDescent="0.2"/>
    <row r="5083" hidden="1" x14ac:dyDescent="0.2"/>
    <row r="5084" hidden="1" x14ac:dyDescent="0.2"/>
    <row r="5085" hidden="1" x14ac:dyDescent="0.2"/>
    <row r="5086" hidden="1" x14ac:dyDescent="0.2"/>
    <row r="5087" hidden="1" x14ac:dyDescent="0.2"/>
    <row r="5088" hidden="1" x14ac:dyDescent="0.2"/>
    <row r="5089" hidden="1" x14ac:dyDescent="0.2"/>
    <row r="5090" hidden="1" x14ac:dyDescent="0.2"/>
    <row r="5091" hidden="1" x14ac:dyDescent="0.2"/>
    <row r="5092" hidden="1" x14ac:dyDescent="0.2"/>
    <row r="5093" hidden="1" x14ac:dyDescent="0.2"/>
    <row r="5094" hidden="1" x14ac:dyDescent="0.2"/>
    <row r="5095" hidden="1" x14ac:dyDescent="0.2"/>
    <row r="5096" hidden="1" x14ac:dyDescent="0.2"/>
    <row r="5097" hidden="1" x14ac:dyDescent="0.2"/>
    <row r="5098" hidden="1" x14ac:dyDescent="0.2"/>
    <row r="5099" hidden="1" x14ac:dyDescent="0.2"/>
    <row r="5100" hidden="1" x14ac:dyDescent="0.2"/>
    <row r="5101" hidden="1" x14ac:dyDescent="0.2"/>
    <row r="5102" hidden="1" x14ac:dyDescent="0.2"/>
    <row r="5103" hidden="1" x14ac:dyDescent="0.2"/>
    <row r="5104" hidden="1" x14ac:dyDescent="0.2"/>
    <row r="5105" hidden="1" x14ac:dyDescent="0.2"/>
    <row r="5106" hidden="1" x14ac:dyDescent="0.2"/>
    <row r="5107" hidden="1" x14ac:dyDescent="0.2"/>
    <row r="5108" hidden="1" x14ac:dyDescent="0.2"/>
    <row r="5109" hidden="1" x14ac:dyDescent="0.2"/>
    <row r="5110" hidden="1" x14ac:dyDescent="0.2"/>
    <row r="5111" hidden="1" x14ac:dyDescent="0.2"/>
    <row r="5112" hidden="1" x14ac:dyDescent="0.2"/>
    <row r="5113" hidden="1" x14ac:dyDescent="0.2"/>
    <row r="5114" hidden="1" x14ac:dyDescent="0.2"/>
    <row r="5115" hidden="1" x14ac:dyDescent="0.2"/>
    <row r="5116" hidden="1" x14ac:dyDescent="0.2"/>
    <row r="5117" hidden="1" x14ac:dyDescent="0.2"/>
    <row r="5118" hidden="1" x14ac:dyDescent="0.2"/>
    <row r="5119" hidden="1" x14ac:dyDescent="0.2"/>
    <row r="5120" hidden="1" x14ac:dyDescent="0.2"/>
    <row r="5121" hidden="1" x14ac:dyDescent="0.2"/>
    <row r="5122" hidden="1" x14ac:dyDescent="0.2"/>
    <row r="5123" hidden="1" x14ac:dyDescent="0.2"/>
    <row r="5124" hidden="1" x14ac:dyDescent="0.2"/>
    <row r="5125" hidden="1" x14ac:dyDescent="0.2"/>
    <row r="5126" hidden="1" x14ac:dyDescent="0.2"/>
    <row r="5127" hidden="1" x14ac:dyDescent="0.2"/>
    <row r="5128" hidden="1" x14ac:dyDescent="0.2"/>
    <row r="5129" hidden="1" x14ac:dyDescent="0.2"/>
    <row r="5130" hidden="1" x14ac:dyDescent="0.2"/>
    <row r="5131" hidden="1" x14ac:dyDescent="0.2"/>
    <row r="5132" hidden="1" x14ac:dyDescent="0.2"/>
    <row r="5133" hidden="1" x14ac:dyDescent="0.2"/>
    <row r="5134" hidden="1" x14ac:dyDescent="0.2"/>
    <row r="5135" hidden="1" x14ac:dyDescent="0.2"/>
    <row r="5136" hidden="1" x14ac:dyDescent="0.2"/>
    <row r="5137" hidden="1" x14ac:dyDescent="0.2"/>
    <row r="5138" hidden="1" x14ac:dyDescent="0.2"/>
    <row r="5139" hidden="1" x14ac:dyDescent="0.2"/>
    <row r="5140" hidden="1" x14ac:dyDescent="0.2"/>
    <row r="5141" hidden="1" x14ac:dyDescent="0.2"/>
    <row r="5142" hidden="1" x14ac:dyDescent="0.2"/>
    <row r="5143" hidden="1" x14ac:dyDescent="0.2"/>
    <row r="5144" hidden="1" x14ac:dyDescent="0.2"/>
    <row r="5145" hidden="1" x14ac:dyDescent="0.2"/>
    <row r="5146" hidden="1" x14ac:dyDescent="0.2"/>
    <row r="5147" hidden="1" x14ac:dyDescent="0.2"/>
    <row r="5148" hidden="1" x14ac:dyDescent="0.2"/>
    <row r="5149" hidden="1" x14ac:dyDescent="0.2"/>
    <row r="5150" hidden="1" x14ac:dyDescent="0.2"/>
    <row r="5151" hidden="1" x14ac:dyDescent="0.2"/>
    <row r="5152" hidden="1" x14ac:dyDescent="0.2"/>
    <row r="5153" hidden="1" x14ac:dyDescent="0.2"/>
    <row r="5154" hidden="1" x14ac:dyDescent="0.2"/>
    <row r="5155" hidden="1" x14ac:dyDescent="0.2"/>
    <row r="5156" hidden="1" x14ac:dyDescent="0.2"/>
    <row r="5157" hidden="1" x14ac:dyDescent="0.2"/>
    <row r="5158" hidden="1" x14ac:dyDescent="0.2"/>
    <row r="5159" hidden="1" x14ac:dyDescent="0.2"/>
    <row r="5160" hidden="1" x14ac:dyDescent="0.2"/>
    <row r="5161" hidden="1" x14ac:dyDescent="0.2"/>
    <row r="5162" hidden="1" x14ac:dyDescent="0.2"/>
    <row r="5163" hidden="1" x14ac:dyDescent="0.2"/>
    <row r="5164" hidden="1" x14ac:dyDescent="0.2"/>
    <row r="5165" hidden="1" x14ac:dyDescent="0.2"/>
    <row r="5166" hidden="1" x14ac:dyDescent="0.2"/>
    <row r="5167" hidden="1" x14ac:dyDescent="0.2"/>
    <row r="5168" hidden="1" x14ac:dyDescent="0.2"/>
    <row r="5169" hidden="1" x14ac:dyDescent="0.2"/>
    <row r="5170" hidden="1" x14ac:dyDescent="0.2"/>
    <row r="5171" hidden="1" x14ac:dyDescent="0.2"/>
    <row r="5172" hidden="1" x14ac:dyDescent="0.2"/>
    <row r="5173" hidden="1" x14ac:dyDescent="0.2"/>
    <row r="5174" hidden="1" x14ac:dyDescent="0.2"/>
    <row r="5175" hidden="1" x14ac:dyDescent="0.2"/>
    <row r="5176" hidden="1" x14ac:dyDescent="0.2"/>
    <row r="5177" hidden="1" x14ac:dyDescent="0.2"/>
    <row r="5178" hidden="1" x14ac:dyDescent="0.2"/>
    <row r="5179" hidden="1" x14ac:dyDescent="0.2"/>
    <row r="5180" hidden="1" x14ac:dyDescent="0.2"/>
    <row r="5181" hidden="1" x14ac:dyDescent="0.2"/>
    <row r="5182" hidden="1" x14ac:dyDescent="0.2"/>
    <row r="5183" hidden="1" x14ac:dyDescent="0.2"/>
    <row r="5184" hidden="1" x14ac:dyDescent="0.2"/>
    <row r="5185" hidden="1" x14ac:dyDescent="0.2"/>
    <row r="5186" hidden="1" x14ac:dyDescent="0.2"/>
    <row r="5187" hidden="1" x14ac:dyDescent="0.2"/>
    <row r="5188" hidden="1" x14ac:dyDescent="0.2"/>
    <row r="5189" hidden="1" x14ac:dyDescent="0.2"/>
    <row r="5190" hidden="1" x14ac:dyDescent="0.2"/>
    <row r="5191" hidden="1" x14ac:dyDescent="0.2"/>
    <row r="5192" hidden="1" x14ac:dyDescent="0.2"/>
    <row r="5193" hidden="1" x14ac:dyDescent="0.2"/>
    <row r="5194" hidden="1" x14ac:dyDescent="0.2"/>
    <row r="5195" hidden="1" x14ac:dyDescent="0.2"/>
    <row r="5196" hidden="1" x14ac:dyDescent="0.2"/>
    <row r="5197" hidden="1" x14ac:dyDescent="0.2"/>
    <row r="5198" hidden="1" x14ac:dyDescent="0.2"/>
    <row r="5199" hidden="1" x14ac:dyDescent="0.2"/>
    <row r="5200" hidden="1" x14ac:dyDescent="0.2"/>
    <row r="5201" hidden="1" x14ac:dyDescent="0.2"/>
    <row r="5202" hidden="1" x14ac:dyDescent="0.2"/>
    <row r="5203" hidden="1" x14ac:dyDescent="0.2"/>
    <row r="5204" hidden="1" x14ac:dyDescent="0.2"/>
    <row r="5205" hidden="1" x14ac:dyDescent="0.2"/>
    <row r="5206" hidden="1" x14ac:dyDescent="0.2"/>
    <row r="5207" hidden="1" x14ac:dyDescent="0.2"/>
    <row r="5208" hidden="1" x14ac:dyDescent="0.2"/>
    <row r="5209" hidden="1" x14ac:dyDescent="0.2"/>
    <row r="5210" hidden="1" x14ac:dyDescent="0.2"/>
    <row r="5211" hidden="1" x14ac:dyDescent="0.2"/>
    <row r="5212" hidden="1" x14ac:dyDescent="0.2"/>
    <row r="5213" hidden="1" x14ac:dyDescent="0.2"/>
    <row r="5214" hidden="1" x14ac:dyDescent="0.2"/>
    <row r="5215" hidden="1" x14ac:dyDescent="0.2"/>
    <row r="5216" hidden="1" x14ac:dyDescent="0.2"/>
    <row r="5217" hidden="1" x14ac:dyDescent="0.2"/>
    <row r="5218" hidden="1" x14ac:dyDescent="0.2"/>
    <row r="5219" hidden="1" x14ac:dyDescent="0.2"/>
    <row r="5220" hidden="1" x14ac:dyDescent="0.2"/>
    <row r="5221" hidden="1" x14ac:dyDescent="0.2"/>
    <row r="5222" hidden="1" x14ac:dyDescent="0.2"/>
    <row r="5223" hidden="1" x14ac:dyDescent="0.2"/>
    <row r="5224" hidden="1" x14ac:dyDescent="0.2"/>
    <row r="5225" hidden="1" x14ac:dyDescent="0.2"/>
    <row r="5226" hidden="1" x14ac:dyDescent="0.2"/>
    <row r="5227" hidden="1" x14ac:dyDescent="0.2"/>
    <row r="5228" hidden="1" x14ac:dyDescent="0.2"/>
    <row r="5229" hidden="1" x14ac:dyDescent="0.2"/>
    <row r="5230" hidden="1" x14ac:dyDescent="0.2"/>
    <row r="5231" hidden="1" x14ac:dyDescent="0.2"/>
    <row r="5232" hidden="1" x14ac:dyDescent="0.2"/>
    <row r="5233" hidden="1" x14ac:dyDescent="0.2"/>
    <row r="5234" hidden="1" x14ac:dyDescent="0.2"/>
    <row r="5235" hidden="1" x14ac:dyDescent="0.2"/>
    <row r="5236" hidden="1" x14ac:dyDescent="0.2"/>
    <row r="5237" hidden="1" x14ac:dyDescent="0.2"/>
    <row r="5238" hidden="1" x14ac:dyDescent="0.2"/>
    <row r="5239" hidden="1" x14ac:dyDescent="0.2"/>
    <row r="5240" hidden="1" x14ac:dyDescent="0.2"/>
    <row r="5241" hidden="1" x14ac:dyDescent="0.2"/>
    <row r="5242" hidden="1" x14ac:dyDescent="0.2"/>
    <row r="5243" hidden="1" x14ac:dyDescent="0.2"/>
    <row r="5244" hidden="1" x14ac:dyDescent="0.2"/>
    <row r="5245" hidden="1" x14ac:dyDescent="0.2"/>
    <row r="5246" hidden="1" x14ac:dyDescent="0.2"/>
    <row r="5247" hidden="1" x14ac:dyDescent="0.2"/>
    <row r="5248" hidden="1" x14ac:dyDescent="0.2"/>
    <row r="5249" hidden="1" x14ac:dyDescent="0.2"/>
    <row r="5250" hidden="1" x14ac:dyDescent="0.2"/>
    <row r="5251" hidden="1" x14ac:dyDescent="0.2"/>
    <row r="5252" hidden="1" x14ac:dyDescent="0.2"/>
    <row r="5253" hidden="1" x14ac:dyDescent="0.2"/>
    <row r="5254" hidden="1" x14ac:dyDescent="0.2"/>
    <row r="5255" hidden="1" x14ac:dyDescent="0.2"/>
    <row r="5256" hidden="1" x14ac:dyDescent="0.2"/>
    <row r="5257" hidden="1" x14ac:dyDescent="0.2"/>
    <row r="5258" hidden="1" x14ac:dyDescent="0.2"/>
    <row r="5259" hidden="1" x14ac:dyDescent="0.2"/>
    <row r="5260" hidden="1" x14ac:dyDescent="0.2"/>
    <row r="5261" hidden="1" x14ac:dyDescent="0.2"/>
    <row r="5262" hidden="1" x14ac:dyDescent="0.2"/>
    <row r="5263" hidden="1" x14ac:dyDescent="0.2"/>
    <row r="5264" hidden="1" x14ac:dyDescent="0.2"/>
    <row r="5265" hidden="1" x14ac:dyDescent="0.2"/>
    <row r="5266" hidden="1" x14ac:dyDescent="0.2"/>
    <row r="5267" hidden="1" x14ac:dyDescent="0.2"/>
    <row r="5268" hidden="1" x14ac:dyDescent="0.2"/>
    <row r="5269" hidden="1" x14ac:dyDescent="0.2"/>
    <row r="5270" hidden="1" x14ac:dyDescent="0.2"/>
    <row r="5271" hidden="1" x14ac:dyDescent="0.2"/>
    <row r="5272" hidden="1" x14ac:dyDescent="0.2"/>
    <row r="5273" hidden="1" x14ac:dyDescent="0.2"/>
    <row r="5274" hidden="1" x14ac:dyDescent="0.2"/>
    <row r="5275" hidden="1" x14ac:dyDescent="0.2"/>
    <row r="5276" hidden="1" x14ac:dyDescent="0.2"/>
    <row r="5277" hidden="1" x14ac:dyDescent="0.2"/>
    <row r="5278" hidden="1" x14ac:dyDescent="0.2"/>
    <row r="5279" hidden="1" x14ac:dyDescent="0.2"/>
    <row r="5280" hidden="1" x14ac:dyDescent="0.2"/>
    <row r="5281" hidden="1" x14ac:dyDescent="0.2"/>
    <row r="5282" hidden="1" x14ac:dyDescent="0.2"/>
    <row r="5283" hidden="1" x14ac:dyDescent="0.2"/>
    <row r="5284" hidden="1" x14ac:dyDescent="0.2"/>
    <row r="5285" hidden="1" x14ac:dyDescent="0.2"/>
    <row r="5286" hidden="1" x14ac:dyDescent="0.2"/>
    <row r="5287" hidden="1" x14ac:dyDescent="0.2"/>
    <row r="5288" hidden="1" x14ac:dyDescent="0.2"/>
    <row r="5289" hidden="1" x14ac:dyDescent="0.2"/>
    <row r="5290" hidden="1" x14ac:dyDescent="0.2"/>
    <row r="5291" hidden="1" x14ac:dyDescent="0.2"/>
    <row r="5292" hidden="1" x14ac:dyDescent="0.2"/>
    <row r="5293" hidden="1" x14ac:dyDescent="0.2"/>
    <row r="5294" hidden="1" x14ac:dyDescent="0.2"/>
    <row r="5295" hidden="1" x14ac:dyDescent="0.2"/>
    <row r="5296" hidden="1" x14ac:dyDescent="0.2"/>
    <row r="5297" hidden="1" x14ac:dyDescent="0.2"/>
    <row r="5298" hidden="1" x14ac:dyDescent="0.2"/>
    <row r="5299" hidden="1" x14ac:dyDescent="0.2"/>
    <row r="5300" hidden="1" x14ac:dyDescent="0.2"/>
    <row r="5301" hidden="1" x14ac:dyDescent="0.2"/>
    <row r="5302" hidden="1" x14ac:dyDescent="0.2"/>
    <row r="5303" hidden="1" x14ac:dyDescent="0.2"/>
    <row r="5304" hidden="1" x14ac:dyDescent="0.2"/>
    <row r="5305" hidden="1" x14ac:dyDescent="0.2"/>
    <row r="5306" hidden="1" x14ac:dyDescent="0.2"/>
    <row r="5307" hidden="1" x14ac:dyDescent="0.2"/>
    <row r="5308" hidden="1" x14ac:dyDescent="0.2"/>
    <row r="5309" hidden="1" x14ac:dyDescent="0.2"/>
    <row r="5310" hidden="1" x14ac:dyDescent="0.2"/>
    <row r="5311" hidden="1" x14ac:dyDescent="0.2"/>
    <row r="5312" hidden="1" x14ac:dyDescent="0.2"/>
    <row r="5313" hidden="1" x14ac:dyDescent="0.2"/>
    <row r="5314" hidden="1" x14ac:dyDescent="0.2"/>
    <row r="5315" hidden="1" x14ac:dyDescent="0.2"/>
    <row r="5316" hidden="1" x14ac:dyDescent="0.2"/>
    <row r="5317" hidden="1" x14ac:dyDescent="0.2"/>
    <row r="5318" hidden="1" x14ac:dyDescent="0.2"/>
    <row r="5319" hidden="1" x14ac:dyDescent="0.2"/>
    <row r="5320" hidden="1" x14ac:dyDescent="0.2"/>
    <row r="5321" hidden="1" x14ac:dyDescent="0.2"/>
    <row r="5322" hidden="1" x14ac:dyDescent="0.2"/>
    <row r="5323" hidden="1" x14ac:dyDescent="0.2"/>
    <row r="5324" hidden="1" x14ac:dyDescent="0.2"/>
    <row r="5325" hidden="1" x14ac:dyDescent="0.2"/>
    <row r="5326" hidden="1" x14ac:dyDescent="0.2"/>
    <row r="5327" hidden="1" x14ac:dyDescent="0.2"/>
    <row r="5328" hidden="1" x14ac:dyDescent="0.2"/>
    <row r="5329" hidden="1" x14ac:dyDescent="0.2"/>
    <row r="5330" hidden="1" x14ac:dyDescent="0.2"/>
    <row r="5331" hidden="1" x14ac:dyDescent="0.2"/>
    <row r="5332" hidden="1" x14ac:dyDescent="0.2"/>
    <row r="5333" hidden="1" x14ac:dyDescent="0.2"/>
    <row r="5334" hidden="1" x14ac:dyDescent="0.2"/>
    <row r="5335" hidden="1" x14ac:dyDescent="0.2"/>
    <row r="5336" hidden="1" x14ac:dyDescent="0.2"/>
    <row r="5337" hidden="1" x14ac:dyDescent="0.2"/>
    <row r="5338" hidden="1" x14ac:dyDescent="0.2"/>
    <row r="5339" hidden="1" x14ac:dyDescent="0.2"/>
    <row r="5340" hidden="1" x14ac:dyDescent="0.2"/>
    <row r="5341" hidden="1" x14ac:dyDescent="0.2"/>
    <row r="5342" hidden="1" x14ac:dyDescent="0.2"/>
    <row r="5343" hidden="1" x14ac:dyDescent="0.2"/>
    <row r="5344" hidden="1" x14ac:dyDescent="0.2"/>
    <row r="5345" hidden="1" x14ac:dyDescent="0.2"/>
    <row r="5346" hidden="1" x14ac:dyDescent="0.2"/>
    <row r="5347" hidden="1" x14ac:dyDescent="0.2"/>
    <row r="5348" hidden="1" x14ac:dyDescent="0.2"/>
    <row r="5349" hidden="1" x14ac:dyDescent="0.2"/>
    <row r="5350" hidden="1" x14ac:dyDescent="0.2"/>
    <row r="5351" hidden="1" x14ac:dyDescent="0.2"/>
    <row r="5352" hidden="1" x14ac:dyDescent="0.2"/>
    <row r="5353" hidden="1" x14ac:dyDescent="0.2"/>
    <row r="5354" hidden="1" x14ac:dyDescent="0.2"/>
    <row r="5355" hidden="1" x14ac:dyDescent="0.2"/>
    <row r="5356" hidden="1" x14ac:dyDescent="0.2"/>
    <row r="5357" hidden="1" x14ac:dyDescent="0.2"/>
    <row r="5358" hidden="1" x14ac:dyDescent="0.2"/>
    <row r="5359" hidden="1" x14ac:dyDescent="0.2"/>
    <row r="5360" hidden="1" x14ac:dyDescent="0.2"/>
    <row r="5361" hidden="1" x14ac:dyDescent="0.2"/>
    <row r="5362" hidden="1" x14ac:dyDescent="0.2"/>
    <row r="5363" hidden="1" x14ac:dyDescent="0.2"/>
    <row r="5364" hidden="1" x14ac:dyDescent="0.2"/>
    <row r="5365" hidden="1" x14ac:dyDescent="0.2"/>
    <row r="5366" hidden="1" x14ac:dyDescent="0.2"/>
    <row r="5367" hidden="1" x14ac:dyDescent="0.2"/>
    <row r="5368" hidden="1" x14ac:dyDescent="0.2"/>
    <row r="5369" hidden="1" x14ac:dyDescent="0.2"/>
    <row r="5370" hidden="1" x14ac:dyDescent="0.2"/>
    <row r="5371" hidden="1" x14ac:dyDescent="0.2"/>
    <row r="5372" hidden="1" x14ac:dyDescent="0.2"/>
    <row r="5373" hidden="1" x14ac:dyDescent="0.2"/>
    <row r="5374" hidden="1" x14ac:dyDescent="0.2"/>
    <row r="5375" hidden="1" x14ac:dyDescent="0.2"/>
    <row r="5376" hidden="1" x14ac:dyDescent="0.2"/>
    <row r="5377" hidden="1" x14ac:dyDescent="0.2"/>
    <row r="5378" hidden="1" x14ac:dyDescent="0.2"/>
    <row r="5379" hidden="1" x14ac:dyDescent="0.2"/>
    <row r="5380" hidden="1" x14ac:dyDescent="0.2"/>
    <row r="5381" hidden="1" x14ac:dyDescent="0.2"/>
    <row r="5382" hidden="1" x14ac:dyDescent="0.2"/>
    <row r="5383" hidden="1" x14ac:dyDescent="0.2"/>
    <row r="5384" hidden="1" x14ac:dyDescent="0.2"/>
    <row r="5385" hidden="1" x14ac:dyDescent="0.2"/>
    <row r="5386" hidden="1" x14ac:dyDescent="0.2"/>
    <row r="5387" hidden="1" x14ac:dyDescent="0.2"/>
    <row r="5388" hidden="1" x14ac:dyDescent="0.2"/>
    <row r="5389" hidden="1" x14ac:dyDescent="0.2"/>
    <row r="5390" hidden="1" x14ac:dyDescent="0.2"/>
    <row r="5391" hidden="1" x14ac:dyDescent="0.2"/>
    <row r="5392" hidden="1" x14ac:dyDescent="0.2"/>
    <row r="5393" hidden="1" x14ac:dyDescent="0.2"/>
    <row r="5394" hidden="1" x14ac:dyDescent="0.2"/>
    <row r="5395" hidden="1" x14ac:dyDescent="0.2"/>
    <row r="5396" hidden="1" x14ac:dyDescent="0.2"/>
    <row r="5397" hidden="1" x14ac:dyDescent="0.2"/>
    <row r="5398" hidden="1" x14ac:dyDescent="0.2"/>
    <row r="5399" hidden="1" x14ac:dyDescent="0.2"/>
    <row r="5400" hidden="1" x14ac:dyDescent="0.2"/>
    <row r="5401" hidden="1" x14ac:dyDescent="0.2"/>
    <row r="5402" hidden="1" x14ac:dyDescent="0.2"/>
    <row r="5403" hidden="1" x14ac:dyDescent="0.2"/>
    <row r="5404" hidden="1" x14ac:dyDescent="0.2"/>
    <row r="5405" hidden="1" x14ac:dyDescent="0.2"/>
    <row r="5406" hidden="1" x14ac:dyDescent="0.2"/>
    <row r="5407" hidden="1" x14ac:dyDescent="0.2"/>
    <row r="5408" hidden="1" x14ac:dyDescent="0.2"/>
    <row r="5409" hidden="1" x14ac:dyDescent="0.2"/>
    <row r="5410" hidden="1" x14ac:dyDescent="0.2"/>
    <row r="5411" hidden="1" x14ac:dyDescent="0.2"/>
    <row r="5412" hidden="1" x14ac:dyDescent="0.2"/>
    <row r="5413" hidden="1" x14ac:dyDescent="0.2"/>
    <row r="5414" hidden="1" x14ac:dyDescent="0.2"/>
    <row r="5415" hidden="1" x14ac:dyDescent="0.2"/>
    <row r="5416" hidden="1" x14ac:dyDescent="0.2"/>
    <row r="5417" hidden="1" x14ac:dyDescent="0.2"/>
    <row r="5418" hidden="1" x14ac:dyDescent="0.2"/>
    <row r="5419" hidden="1" x14ac:dyDescent="0.2"/>
    <row r="5420" hidden="1" x14ac:dyDescent="0.2"/>
    <row r="5421" hidden="1" x14ac:dyDescent="0.2"/>
    <row r="5422" hidden="1" x14ac:dyDescent="0.2"/>
    <row r="5423" hidden="1" x14ac:dyDescent="0.2"/>
    <row r="5424" hidden="1" x14ac:dyDescent="0.2"/>
    <row r="5425" hidden="1" x14ac:dyDescent="0.2"/>
    <row r="5426" hidden="1" x14ac:dyDescent="0.2"/>
    <row r="5427" hidden="1" x14ac:dyDescent="0.2"/>
    <row r="5428" hidden="1" x14ac:dyDescent="0.2"/>
    <row r="5429" hidden="1" x14ac:dyDescent="0.2"/>
    <row r="5430" hidden="1" x14ac:dyDescent="0.2"/>
    <row r="5431" hidden="1" x14ac:dyDescent="0.2"/>
    <row r="5432" hidden="1" x14ac:dyDescent="0.2"/>
    <row r="5433" hidden="1" x14ac:dyDescent="0.2"/>
    <row r="5434" hidden="1" x14ac:dyDescent="0.2"/>
    <row r="5435" hidden="1" x14ac:dyDescent="0.2"/>
    <row r="5436" hidden="1" x14ac:dyDescent="0.2"/>
    <row r="5437" hidden="1" x14ac:dyDescent="0.2"/>
    <row r="5438" hidden="1" x14ac:dyDescent="0.2"/>
    <row r="5439" hidden="1" x14ac:dyDescent="0.2"/>
    <row r="5440" hidden="1" x14ac:dyDescent="0.2"/>
    <row r="5441" hidden="1" x14ac:dyDescent="0.2"/>
    <row r="5442" hidden="1" x14ac:dyDescent="0.2"/>
    <row r="5443" hidden="1" x14ac:dyDescent="0.2"/>
    <row r="5444" hidden="1" x14ac:dyDescent="0.2"/>
    <row r="5445" hidden="1" x14ac:dyDescent="0.2"/>
    <row r="5446" hidden="1" x14ac:dyDescent="0.2"/>
    <row r="5447" hidden="1" x14ac:dyDescent="0.2"/>
    <row r="5448" hidden="1" x14ac:dyDescent="0.2"/>
    <row r="5449" hidden="1" x14ac:dyDescent="0.2"/>
    <row r="5450" hidden="1" x14ac:dyDescent="0.2"/>
    <row r="5451" hidden="1" x14ac:dyDescent="0.2"/>
    <row r="5452" hidden="1" x14ac:dyDescent="0.2"/>
    <row r="5453" hidden="1" x14ac:dyDescent="0.2"/>
    <row r="5454" hidden="1" x14ac:dyDescent="0.2"/>
    <row r="5455" hidden="1" x14ac:dyDescent="0.2"/>
    <row r="5456" hidden="1" x14ac:dyDescent="0.2"/>
    <row r="5457" hidden="1" x14ac:dyDescent="0.2"/>
    <row r="5458" hidden="1" x14ac:dyDescent="0.2"/>
    <row r="5459" hidden="1" x14ac:dyDescent="0.2"/>
    <row r="5460" hidden="1" x14ac:dyDescent="0.2"/>
    <row r="5461" hidden="1" x14ac:dyDescent="0.2"/>
    <row r="5462" hidden="1" x14ac:dyDescent="0.2"/>
    <row r="5463" hidden="1" x14ac:dyDescent="0.2"/>
    <row r="5464" hidden="1" x14ac:dyDescent="0.2"/>
    <row r="5465" hidden="1" x14ac:dyDescent="0.2"/>
    <row r="5466" hidden="1" x14ac:dyDescent="0.2"/>
    <row r="5467" hidden="1" x14ac:dyDescent="0.2"/>
    <row r="5468" hidden="1" x14ac:dyDescent="0.2"/>
    <row r="5469" hidden="1" x14ac:dyDescent="0.2"/>
    <row r="5470" hidden="1" x14ac:dyDescent="0.2"/>
    <row r="5471" hidden="1" x14ac:dyDescent="0.2"/>
    <row r="5472" hidden="1" x14ac:dyDescent="0.2"/>
    <row r="5473" hidden="1" x14ac:dyDescent="0.2"/>
    <row r="5474" hidden="1" x14ac:dyDescent="0.2"/>
    <row r="5475" hidden="1" x14ac:dyDescent="0.2"/>
    <row r="5476" hidden="1" x14ac:dyDescent="0.2"/>
    <row r="5477" hidden="1" x14ac:dyDescent="0.2"/>
    <row r="5478" hidden="1" x14ac:dyDescent="0.2"/>
    <row r="5479" hidden="1" x14ac:dyDescent="0.2"/>
    <row r="5480" hidden="1" x14ac:dyDescent="0.2"/>
    <row r="5481" hidden="1" x14ac:dyDescent="0.2"/>
    <row r="5482" hidden="1" x14ac:dyDescent="0.2"/>
    <row r="5483" hidden="1" x14ac:dyDescent="0.2"/>
    <row r="5484" hidden="1" x14ac:dyDescent="0.2"/>
    <row r="5485" hidden="1" x14ac:dyDescent="0.2"/>
    <row r="5486" hidden="1" x14ac:dyDescent="0.2"/>
    <row r="5487" hidden="1" x14ac:dyDescent="0.2"/>
    <row r="5488" hidden="1" x14ac:dyDescent="0.2"/>
    <row r="5489" hidden="1" x14ac:dyDescent="0.2"/>
    <row r="5490" hidden="1" x14ac:dyDescent="0.2"/>
    <row r="5491" hidden="1" x14ac:dyDescent="0.2"/>
    <row r="5492" hidden="1" x14ac:dyDescent="0.2"/>
    <row r="5493" hidden="1" x14ac:dyDescent="0.2"/>
    <row r="5494" hidden="1" x14ac:dyDescent="0.2"/>
    <row r="5495" hidden="1" x14ac:dyDescent="0.2"/>
    <row r="5496" hidden="1" x14ac:dyDescent="0.2"/>
    <row r="5497" hidden="1" x14ac:dyDescent="0.2"/>
    <row r="5498" hidden="1" x14ac:dyDescent="0.2"/>
    <row r="5499" hidden="1" x14ac:dyDescent="0.2"/>
    <row r="5500" hidden="1" x14ac:dyDescent="0.2"/>
    <row r="5501" hidden="1" x14ac:dyDescent="0.2"/>
    <row r="5502" hidden="1" x14ac:dyDescent="0.2"/>
    <row r="5503" hidden="1" x14ac:dyDescent="0.2"/>
    <row r="5504" hidden="1" x14ac:dyDescent="0.2"/>
    <row r="5505" hidden="1" x14ac:dyDescent="0.2"/>
    <row r="5506" hidden="1" x14ac:dyDescent="0.2"/>
    <row r="5507" hidden="1" x14ac:dyDescent="0.2"/>
    <row r="5508" hidden="1" x14ac:dyDescent="0.2"/>
    <row r="5509" hidden="1" x14ac:dyDescent="0.2"/>
    <row r="5510" hidden="1" x14ac:dyDescent="0.2"/>
    <row r="5511" hidden="1" x14ac:dyDescent="0.2"/>
    <row r="5512" hidden="1" x14ac:dyDescent="0.2"/>
    <row r="5513" hidden="1" x14ac:dyDescent="0.2"/>
    <row r="5514" hidden="1" x14ac:dyDescent="0.2"/>
    <row r="5515" hidden="1" x14ac:dyDescent="0.2"/>
    <row r="5516" hidden="1" x14ac:dyDescent="0.2"/>
    <row r="5517" hidden="1" x14ac:dyDescent="0.2"/>
    <row r="5518" hidden="1" x14ac:dyDescent="0.2"/>
    <row r="5519" hidden="1" x14ac:dyDescent="0.2"/>
    <row r="5520" hidden="1" x14ac:dyDescent="0.2"/>
    <row r="5521" hidden="1" x14ac:dyDescent="0.2"/>
    <row r="5522" hidden="1" x14ac:dyDescent="0.2"/>
    <row r="5523" hidden="1" x14ac:dyDescent="0.2"/>
    <row r="5524" hidden="1" x14ac:dyDescent="0.2"/>
    <row r="5525" hidden="1" x14ac:dyDescent="0.2"/>
    <row r="5526" hidden="1" x14ac:dyDescent="0.2"/>
    <row r="5527" hidden="1" x14ac:dyDescent="0.2"/>
    <row r="5528" hidden="1" x14ac:dyDescent="0.2"/>
    <row r="5529" hidden="1" x14ac:dyDescent="0.2"/>
    <row r="5530" hidden="1" x14ac:dyDescent="0.2"/>
    <row r="5531" hidden="1" x14ac:dyDescent="0.2"/>
    <row r="5532" hidden="1" x14ac:dyDescent="0.2"/>
    <row r="5533" hidden="1" x14ac:dyDescent="0.2"/>
    <row r="5534" hidden="1" x14ac:dyDescent="0.2"/>
    <row r="5535" hidden="1" x14ac:dyDescent="0.2"/>
    <row r="5536" hidden="1" x14ac:dyDescent="0.2"/>
    <row r="5537" hidden="1" x14ac:dyDescent="0.2"/>
    <row r="5538" hidden="1" x14ac:dyDescent="0.2"/>
    <row r="5539" hidden="1" x14ac:dyDescent="0.2"/>
    <row r="5540" hidden="1" x14ac:dyDescent="0.2"/>
    <row r="5541" hidden="1" x14ac:dyDescent="0.2"/>
    <row r="5542" hidden="1" x14ac:dyDescent="0.2"/>
    <row r="5543" hidden="1" x14ac:dyDescent="0.2"/>
    <row r="5544" hidden="1" x14ac:dyDescent="0.2"/>
    <row r="5545" hidden="1" x14ac:dyDescent="0.2"/>
    <row r="5546" hidden="1" x14ac:dyDescent="0.2"/>
    <row r="5547" hidden="1" x14ac:dyDescent="0.2"/>
    <row r="5548" hidden="1" x14ac:dyDescent="0.2"/>
    <row r="5549" hidden="1" x14ac:dyDescent="0.2"/>
    <row r="5550" hidden="1" x14ac:dyDescent="0.2"/>
    <row r="5551" hidden="1" x14ac:dyDescent="0.2"/>
    <row r="5552" hidden="1" x14ac:dyDescent="0.2"/>
    <row r="5553" hidden="1" x14ac:dyDescent="0.2"/>
    <row r="5554" hidden="1" x14ac:dyDescent="0.2"/>
    <row r="5555" hidden="1" x14ac:dyDescent="0.2"/>
    <row r="5556" hidden="1" x14ac:dyDescent="0.2"/>
    <row r="5557" hidden="1" x14ac:dyDescent="0.2"/>
    <row r="5558" hidden="1" x14ac:dyDescent="0.2"/>
    <row r="5559" hidden="1" x14ac:dyDescent="0.2"/>
    <row r="5560" hidden="1" x14ac:dyDescent="0.2"/>
    <row r="5561" hidden="1" x14ac:dyDescent="0.2"/>
    <row r="5562" hidden="1" x14ac:dyDescent="0.2"/>
    <row r="5563" hidden="1" x14ac:dyDescent="0.2"/>
    <row r="5564" hidden="1" x14ac:dyDescent="0.2"/>
    <row r="5565" hidden="1" x14ac:dyDescent="0.2"/>
    <row r="5566" hidden="1" x14ac:dyDescent="0.2"/>
    <row r="5567" hidden="1" x14ac:dyDescent="0.2"/>
    <row r="5568" hidden="1" x14ac:dyDescent="0.2"/>
    <row r="5569" hidden="1" x14ac:dyDescent="0.2"/>
    <row r="5570" hidden="1" x14ac:dyDescent="0.2"/>
    <row r="5571" hidden="1" x14ac:dyDescent="0.2"/>
    <row r="5572" hidden="1" x14ac:dyDescent="0.2"/>
    <row r="5573" hidden="1" x14ac:dyDescent="0.2"/>
    <row r="5574" hidden="1" x14ac:dyDescent="0.2"/>
    <row r="5575" hidden="1" x14ac:dyDescent="0.2"/>
    <row r="5576" hidden="1" x14ac:dyDescent="0.2"/>
    <row r="5577" hidden="1" x14ac:dyDescent="0.2"/>
    <row r="5578" hidden="1" x14ac:dyDescent="0.2"/>
    <row r="5579" hidden="1" x14ac:dyDescent="0.2"/>
    <row r="5580" hidden="1" x14ac:dyDescent="0.2"/>
    <row r="5581" hidden="1" x14ac:dyDescent="0.2"/>
    <row r="5582" hidden="1" x14ac:dyDescent="0.2"/>
    <row r="5583" hidden="1" x14ac:dyDescent="0.2"/>
    <row r="5584" hidden="1" x14ac:dyDescent="0.2"/>
    <row r="5585" hidden="1" x14ac:dyDescent="0.2"/>
    <row r="5586" hidden="1" x14ac:dyDescent="0.2"/>
    <row r="5587" hidden="1" x14ac:dyDescent="0.2"/>
    <row r="5588" hidden="1" x14ac:dyDescent="0.2"/>
    <row r="5589" hidden="1" x14ac:dyDescent="0.2"/>
    <row r="5590" hidden="1" x14ac:dyDescent="0.2"/>
    <row r="5591" hidden="1" x14ac:dyDescent="0.2"/>
    <row r="5592" hidden="1" x14ac:dyDescent="0.2"/>
    <row r="5593" hidden="1" x14ac:dyDescent="0.2"/>
    <row r="5594" hidden="1" x14ac:dyDescent="0.2"/>
    <row r="5595" hidden="1" x14ac:dyDescent="0.2"/>
    <row r="5596" hidden="1" x14ac:dyDescent="0.2"/>
    <row r="5597" hidden="1" x14ac:dyDescent="0.2"/>
    <row r="5598" hidden="1" x14ac:dyDescent="0.2"/>
    <row r="5599" hidden="1" x14ac:dyDescent="0.2"/>
    <row r="5600" hidden="1" x14ac:dyDescent="0.2"/>
    <row r="5601" hidden="1" x14ac:dyDescent="0.2"/>
    <row r="5602" hidden="1" x14ac:dyDescent="0.2"/>
    <row r="5603" hidden="1" x14ac:dyDescent="0.2"/>
    <row r="5604" hidden="1" x14ac:dyDescent="0.2"/>
    <row r="5605" hidden="1" x14ac:dyDescent="0.2"/>
    <row r="5606" hidden="1" x14ac:dyDescent="0.2"/>
    <row r="5607" hidden="1" x14ac:dyDescent="0.2"/>
    <row r="5608" hidden="1" x14ac:dyDescent="0.2"/>
    <row r="5609" hidden="1" x14ac:dyDescent="0.2"/>
    <row r="5610" hidden="1" x14ac:dyDescent="0.2"/>
    <row r="5611" hidden="1" x14ac:dyDescent="0.2"/>
    <row r="5612" hidden="1" x14ac:dyDescent="0.2"/>
    <row r="5613" hidden="1" x14ac:dyDescent="0.2"/>
    <row r="5614" hidden="1" x14ac:dyDescent="0.2"/>
    <row r="5615" hidden="1" x14ac:dyDescent="0.2"/>
    <row r="5616" hidden="1" x14ac:dyDescent="0.2"/>
    <row r="5617" hidden="1" x14ac:dyDescent="0.2"/>
    <row r="5618" hidden="1" x14ac:dyDescent="0.2"/>
    <row r="5619" hidden="1" x14ac:dyDescent="0.2"/>
    <row r="5620" hidden="1" x14ac:dyDescent="0.2"/>
    <row r="5621" hidden="1" x14ac:dyDescent="0.2"/>
    <row r="5622" hidden="1" x14ac:dyDescent="0.2"/>
    <row r="5623" hidden="1" x14ac:dyDescent="0.2"/>
    <row r="5624" hidden="1" x14ac:dyDescent="0.2"/>
    <row r="5625" hidden="1" x14ac:dyDescent="0.2"/>
    <row r="5626" hidden="1" x14ac:dyDescent="0.2"/>
    <row r="5627" hidden="1" x14ac:dyDescent="0.2"/>
    <row r="5628" hidden="1" x14ac:dyDescent="0.2"/>
    <row r="5629" hidden="1" x14ac:dyDescent="0.2"/>
    <row r="5630" hidden="1" x14ac:dyDescent="0.2"/>
    <row r="5631" hidden="1" x14ac:dyDescent="0.2"/>
    <row r="5632" hidden="1" x14ac:dyDescent="0.2"/>
    <row r="5633" hidden="1" x14ac:dyDescent="0.2"/>
    <row r="5634" hidden="1" x14ac:dyDescent="0.2"/>
    <row r="5635" hidden="1" x14ac:dyDescent="0.2"/>
    <row r="5636" hidden="1" x14ac:dyDescent="0.2"/>
    <row r="5637" hidden="1" x14ac:dyDescent="0.2"/>
    <row r="5638" hidden="1" x14ac:dyDescent="0.2"/>
    <row r="5639" hidden="1" x14ac:dyDescent="0.2"/>
    <row r="5640" hidden="1" x14ac:dyDescent="0.2"/>
    <row r="5641" hidden="1" x14ac:dyDescent="0.2"/>
    <row r="5642" hidden="1" x14ac:dyDescent="0.2"/>
    <row r="5643" hidden="1" x14ac:dyDescent="0.2"/>
    <row r="5644" hidden="1" x14ac:dyDescent="0.2"/>
    <row r="5645" hidden="1" x14ac:dyDescent="0.2"/>
    <row r="5646" hidden="1" x14ac:dyDescent="0.2"/>
    <row r="5647" hidden="1" x14ac:dyDescent="0.2"/>
    <row r="5648" hidden="1" x14ac:dyDescent="0.2"/>
    <row r="5649" hidden="1" x14ac:dyDescent="0.2"/>
    <row r="5650" hidden="1" x14ac:dyDescent="0.2"/>
    <row r="5651" hidden="1" x14ac:dyDescent="0.2"/>
    <row r="5652" hidden="1" x14ac:dyDescent="0.2"/>
    <row r="5653" hidden="1" x14ac:dyDescent="0.2"/>
    <row r="5654" hidden="1" x14ac:dyDescent="0.2"/>
    <row r="5655" hidden="1" x14ac:dyDescent="0.2"/>
    <row r="5656" hidden="1" x14ac:dyDescent="0.2"/>
    <row r="5657" hidden="1" x14ac:dyDescent="0.2"/>
    <row r="5658" hidden="1" x14ac:dyDescent="0.2"/>
    <row r="5659" hidden="1" x14ac:dyDescent="0.2"/>
    <row r="5660" hidden="1" x14ac:dyDescent="0.2"/>
    <row r="5661" hidden="1" x14ac:dyDescent="0.2"/>
    <row r="5662" hidden="1" x14ac:dyDescent="0.2"/>
    <row r="5663" hidden="1" x14ac:dyDescent="0.2"/>
    <row r="5664" hidden="1" x14ac:dyDescent="0.2"/>
    <row r="5665" hidden="1" x14ac:dyDescent="0.2"/>
    <row r="5666" hidden="1" x14ac:dyDescent="0.2"/>
    <row r="5667" hidden="1" x14ac:dyDescent="0.2"/>
    <row r="5668" hidden="1" x14ac:dyDescent="0.2"/>
    <row r="5669" hidden="1" x14ac:dyDescent="0.2"/>
    <row r="5670" hidden="1" x14ac:dyDescent="0.2"/>
    <row r="5671" hidden="1" x14ac:dyDescent="0.2"/>
    <row r="5672" hidden="1" x14ac:dyDescent="0.2"/>
    <row r="5673" hidden="1" x14ac:dyDescent="0.2"/>
    <row r="5674" hidden="1" x14ac:dyDescent="0.2"/>
    <row r="5675" hidden="1" x14ac:dyDescent="0.2"/>
    <row r="5676" hidden="1" x14ac:dyDescent="0.2"/>
    <row r="5677" hidden="1" x14ac:dyDescent="0.2"/>
    <row r="5678" hidden="1" x14ac:dyDescent="0.2"/>
    <row r="5679" hidden="1" x14ac:dyDescent="0.2"/>
    <row r="5680" hidden="1" x14ac:dyDescent="0.2"/>
    <row r="5681" hidden="1" x14ac:dyDescent="0.2"/>
    <row r="5682" hidden="1" x14ac:dyDescent="0.2"/>
    <row r="5683" hidden="1" x14ac:dyDescent="0.2"/>
    <row r="5684" hidden="1" x14ac:dyDescent="0.2"/>
    <row r="5685" hidden="1" x14ac:dyDescent="0.2"/>
    <row r="5686" hidden="1" x14ac:dyDescent="0.2"/>
    <row r="5687" hidden="1" x14ac:dyDescent="0.2"/>
    <row r="5688" hidden="1" x14ac:dyDescent="0.2"/>
    <row r="5689" hidden="1" x14ac:dyDescent="0.2"/>
    <row r="5690" hidden="1" x14ac:dyDescent="0.2"/>
    <row r="5691" hidden="1" x14ac:dyDescent="0.2"/>
    <row r="5692" hidden="1" x14ac:dyDescent="0.2"/>
    <row r="5693" hidden="1" x14ac:dyDescent="0.2"/>
    <row r="5694" hidden="1" x14ac:dyDescent="0.2"/>
    <row r="5695" hidden="1" x14ac:dyDescent="0.2"/>
    <row r="5696" hidden="1" x14ac:dyDescent="0.2"/>
    <row r="5697" hidden="1" x14ac:dyDescent="0.2"/>
    <row r="5698" hidden="1" x14ac:dyDescent="0.2"/>
    <row r="5699" hidden="1" x14ac:dyDescent="0.2"/>
    <row r="5700" hidden="1" x14ac:dyDescent="0.2"/>
    <row r="5701" hidden="1" x14ac:dyDescent="0.2"/>
    <row r="5702" hidden="1" x14ac:dyDescent="0.2"/>
    <row r="5703" hidden="1" x14ac:dyDescent="0.2"/>
    <row r="5704" hidden="1" x14ac:dyDescent="0.2"/>
    <row r="5705" hidden="1" x14ac:dyDescent="0.2"/>
    <row r="5706" hidden="1" x14ac:dyDescent="0.2"/>
    <row r="5707" hidden="1" x14ac:dyDescent="0.2"/>
    <row r="5708" hidden="1" x14ac:dyDescent="0.2"/>
    <row r="5709" hidden="1" x14ac:dyDescent="0.2"/>
    <row r="5710" hidden="1" x14ac:dyDescent="0.2"/>
    <row r="5711" hidden="1" x14ac:dyDescent="0.2"/>
    <row r="5712" hidden="1" x14ac:dyDescent="0.2"/>
    <row r="5713" hidden="1" x14ac:dyDescent="0.2"/>
    <row r="5714" hidden="1" x14ac:dyDescent="0.2"/>
    <row r="5715" hidden="1" x14ac:dyDescent="0.2"/>
    <row r="5716" hidden="1" x14ac:dyDescent="0.2"/>
    <row r="5717" hidden="1" x14ac:dyDescent="0.2"/>
    <row r="5718" hidden="1" x14ac:dyDescent="0.2"/>
    <row r="5719" hidden="1" x14ac:dyDescent="0.2"/>
    <row r="5720" hidden="1" x14ac:dyDescent="0.2"/>
    <row r="5721" hidden="1" x14ac:dyDescent="0.2"/>
    <row r="5722" hidden="1" x14ac:dyDescent="0.2"/>
    <row r="5723" hidden="1" x14ac:dyDescent="0.2"/>
    <row r="5724" hidden="1" x14ac:dyDescent="0.2"/>
    <row r="5725" hidden="1" x14ac:dyDescent="0.2"/>
    <row r="5726" hidden="1" x14ac:dyDescent="0.2"/>
    <row r="5727" hidden="1" x14ac:dyDescent="0.2"/>
    <row r="5728" hidden="1" x14ac:dyDescent="0.2"/>
    <row r="5729" hidden="1" x14ac:dyDescent="0.2"/>
    <row r="5730" hidden="1" x14ac:dyDescent="0.2"/>
    <row r="5731" hidden="1" x14ac:dyDescent="0.2"/>
    <row r="5732" hidden="1" x14ac:dyDescent="0.2"/>
    <row r="5733" hidden="1" x14ac:dyDescent="0.2"/>
    <row r="5734" hidden="1" x14ac:dyDescent="0.2"/>
    <row r="5735" hidden="1" x14ac:dyDescent="0.2"/>
    <row r="5736" hidden="1" x14ac:dyDescent="0.2"/>
    <row r="5737" hidden="1" x14ac:dyDescent="0.2"/>
    <row r="5738" hidden="1" x14ac:dyDescent="0.2"/>
    <row r="5739" hidden="1" x14ac:dyDescent="0.2"/>
    <row r="5740" hidden="1" x14ac:dyDescent="0.2"/>
    <row r="5741" hidden="1" x14ac:dyDescent="0.2"/>
    <row r="5742" hidden="1" x14ac:dyDescent="0.2"/>
    <row r="5743" hidden="1" x14ac:dyDescent="0.2"/>
    <row r="5744" hidden="1" x14ac:dyDescent="0.2"/>
    <row r="5745" hidden="1" x14ac:dyDescent="0.2"/>
    <row r="5746" hidden="1" x14ac:dyDescent="0.2"/>
    <row r="5747" hidden="1" x14ac:dyDescent="0.2"/>
    <row r="5748" hidden="1" x14ac:dyDescent="0.2"/>
    <row r="5749" hidden="1" x14ac:dyDescent="0.2"/>
    <row r="5750" hidden="1" x14ac:dyDescent="0.2"/>
    <row r="5751" hidden="1" x14ac:dyDescent="0.2"/>
    <row r="5752" hidden="1" x14ac:dyDescent="0.2"/>
    <row r="5753" hidden="1" x14ac:dyDescent="0.2"/>
    <row r="5754" hidden="1" x14ac:dyDescent="0.2"/>
    <row r="5755" hidden="1" x14ac:dyDescent="0.2"/>
    <row r="5756" hidden="1" x14ac:dyDescent="0.2"/>
    <row r="5757" hidden="1" x14ac:dyDescent="0.2"/>
    <row r="5758" hidden="1" x14ac:dyDescent="0.2"/>
    <row r="5759" hidden="1" x14ac:dyDescent="0.2"/>
    <row r="5760" hidden="1" x14ac:dyDescent="0.2"/>
    <row r="5761" hidden="1" x14ac:dyDescent="0.2"/>
    <row r="5762" hidden="1" x14ac:dyDescent="0.2"/>
    <row r="5763" hidden="1" x14ac:dyDescent="0.2"/>
    <row r="5764" hidden="1" x14ac:dyDescent="0.2"/>
    <row r="5765" hidden="1" x14ac:dyDescent="0.2"/>
    <row r="5766" hidden="1" x14ac:dyDescent="0.2"/>
    <row r="5767" hidden="1" x14ac:dyDescent="0.2"/>
    <row r="5768" hidden="1" x14ac:dyDescent="0.2"/>
    <row r="5769" hidden="1" x14ac:dyDescent="0.2"/>
    <row r="5770" hidden="1" x14ac:dyDescent="0.2"/>
    <row r="5771" hidden="1" x14ac:dyDescent="0.2"/>
    <row r="5772" hidden="1" x14ac:dyDescent="0.2"/>
    <row r="5773" hidden="1" x14ac:dyDescent="0.2"/>
    <row r="5774" hidden="1" x14ac:dyDescent="0.2"/>
    <row r="5775" hidden="1" x14ac:dyDescent="0.2"/>
    <row r="5776" hidden="1" x14ac:dyDescent="0.2"/>
    <row r="5777" hidden="1" x14ac:dyDescent="0.2"/>
    <row r="5778" hidden="1" x14ac:dyDescent="0.2"/>
    <row r="5779" hidden="1" x14ac:dyDescent="0.2"/>
    <row r="5780" hidden="1" x14ac:dyDescent="0.2"/>
    <row r="5781" hidden="1" x14ac:dyDescent="0.2"/>
    <row r="5782" hidden="1" x14ac:dyDescent="0.2"/>
    <row r="5783" hidden="1" x14ac:dyDescent="0.2"/>
    <row r="5784" hidden="1" x14ac:dyDescent="0.2"/>
    <row r="5785" hidden="1" x14ac:dyDescent="0.2"/>
    <row r="5786" hidden="1" x14ac:dyDescent="0.2"/>
    <row r="5787" hidden="1" x14ac:dyDescent="0.2"/>
    <row r="5788" hidden="1" x14ac:dyDescent="0.2"/>
    <row r="5789" hidden="1" x14ac:dyDescent="0.2"/>
    <row r="5790" hidden="1" x14ac:dyDescent="0.2"/>
    <row r="5791" hidden="1" x14ac:dyDescent="0.2"/>
    <row r="5792" hidden="1" x14ac:dyDescent="0.2"/>
    <row r="5793" hidden="1" x14ac:dyDescent="0.2"/>
    <row r="5794" hidden="1" x14ac:dyDescent="0.2"/>
    <row r="5795" hidden="1" x14ac:dyDescent="0.2"/>
    <row r="5796" hidden="1" x14ac:dyDescent="0.2"/>
    <row r="5797" hidden="1" x14ac:dyDescent="0.2"/>
    <row r="5798" hidden="1" x14ac:dyDescent="0.2"/>
    <row r="5799" hidden="1" x14ac:dyDescent="0.2"/>
    <row r="5800" hidden="1" x14ac:dyDescent="0.2"/>
    <row r="5801" hidden="1" x14ac:dyDescent="0.2"/>
    <row r="5802" hidden="1" x14ac:dyDescent="0.2"/>
    <row r="5803" hidden="1" x14ac:dyDescent="0.2"/>
    <row r="5804" hidden="1" x14ac:dyDescent="0.2"/>
    <row r="5805" hidden="1" x14ac:dyDescent="0.2"/>
    <row r="5806" hidden="1" x14ac:dyDescent="0.2"/>
    <row r="5807" hidden="1" x14ac:dyDescent="0.2"/>
    <row r="5808" hidden="1" x14ac:dyDescent="0.2"/>
    <row r="5809" hidden="1" x14ac:dyDescent="0.2"/>
    <row r="5810" hidden="1" x14ac:dyDescent="0.2"/>
    <row r="5811" hidden="1" x14ac:dyDescent="0.2"/>
    <row r="5812" hidden="1" x14ac:dyDescent="0.2"/>
    <row r="5813" hidden="1" x14ac:dyDescent="0.2"/>
    <row r="5814" hidden="1" x14ac:dyDescent="0.2"/>
    <row r="5815" hidden="1" x14ac:dyDescent="0.2"/>
    <row r="5816" hidden="1" x14ac:dyDescent="0.2"/>
    <row r="5817" hidden="1" x14ac:dyDescent="0.2"/>
    <row r="5818" hidden="1" x14ac:dyDescent="0.2"/>
    <row r="5819" hidden="1" x14ac:dyDescent="0.2"/>
    <row r="5820" hidden="1" x14ac:dyDescent="0.2"/>
    <row r="5821" hidden="1" x14ac:dyDescent="0.2"/>
    <row r="5822" hidden="1" x14ac:dyDescent="0.2"/>
    <row r="5823" hidden="1" x14ac:dyDescent="0.2"/>
    <row r="5824" hidden="1" x14ac:dyDescent="0.2"/>
    <row r="5825" hidden="1" x14ac:dyDescent="0.2"/>
    <row r="5826" hidden="1" x14ac:dyDescent="0.2"/>
    <row r="5827" hidden="1" x14ac:dyDescent="0.2"/>
    <row r="5828" hidden="1" x14ac:dyDescent="0.2"/>
    <row r="5829" hidden="1" x14ac:dyDescent="0.2"/>
    <row r="5830" hidden="1" x14ac:dyDescent="0.2"/>
    <row r="5831" hidden="1" x14ac:dyDescent="0.2"/>
    <row r="5832" hidden="1" x14ac:dyDescent="0.2"/>
    <row r="5833" hidden="1" x14ac:dyDescent="0.2"/>
    <row r="5834" hidden="1" x14ac:dyDescent="0.2"/>
    <row r="5835" hidden="1" x14ac:dyDescent="0.2"/>
    <row r="5836" hidden="1" x14ac:dyDescent="0.2"/>
    <row r="5837" hidden="1" x14ac:dyDescent="0.2"/>
    <row r="5838" hidden="1" x14ac:dyDescent="0.2"/>
    <row r="5839" hidden="1" x14ac:dyDescent="0.2"/>
    <row r="5840" hidden="1" x14ac:dyDescent="0.2"/>
    <row r="5841" hidden="1" x14ac:dyDescent="0.2"/>
    <row r="5842" hidden="1" x14ac:dyDescent="0.2"/>
    <row r="5843" hidden="1" x14ac:dyDescent="0.2"/>
    <row r="5844" hidden="1" x14ac:dyDescent="0.2"/>
    <row r="5845" hidden="1" x14ac:dyDescent="0.2"/>
    <row r="5846" hidden="1" x14ac:dyDescent="0.2"/>
    <row r="5847" hidden="1" x14ac:dyDescent="0.2"/>
    <row r="5848" hidden="1" x14ac:dyDescent="0.2"/>
    <row r="5849" hidden="1" x14ac:dyDescent="0.2"/>
    <row r="5850" hidden="1" x14ac:dyDescent="0.2"/>
    <row r="5851" hidden="1" x14ac:dyDescent="0.2"/>
    <row r="5852" hidden="1" x14ac:dyDescent="0.2"/>
    <row r="5853" hidden="1" x14ac:dyDescent="0.2"/>
    <row r="5854" hidden="1" x14ac:dyDescent="0.2"/>
    <row r="5855" hidden="1" x14ac:dyDescent="0.2"/>
    <row r="5856" hidden="1" x14ac:dyDescent="0.2"/>
    <row r="5857" hidden="1" x14ac:dyDescent="0.2"/>
    <row r="5858" hidden="1" x14ac:dyDescent="0.2"/>
    <row r="5859" hidden="1" x14ac:dyDescent="0.2"/>
    <row r="5860" hidden="1" x14ac:dyDescent="0.2"/>
    <row r="5861" hidden="1" x14ac:dyDescent="0.2"/>
    <row r="5862" hidden="1" x14ac:dyDescent="0.2"/>
    <row r="5863" hidden="1" x14ac:dyDescent="0.2"/>
    <row r="5864" hidden="1" x14ac:dyDescent="0.2"/>
    <row r="5865" hidden="1" x14ac:dyDescent="0.2"/>
    <row r="5866" hidden="1" x14ac:dyDescent="0.2"/>
    <row r="5867" hidden="1" x14ac:dyDescent="0.2"/>
    <row r="5868" hidden="1" x14ac:dyDescent="0.2"/>
    <row r="5869" hidden="1" x14ac:dyDescent="0.2"/>
    <row r="5870" hidden="1" x14ac:dyDescent="0.2"/>
    <row r="5871" hidden="1" x14ac:dyDescent="0.2"/>
    <row r="5872" hidden="1" x14ac:dyDescent="0.2"/>
    <row r="5873" hidden="1" x14ac:dyDescent="0.2"/>
    <row r="5874" hidden="1" x14ac:dyDescent="0.2"/>
    <row r="5875" hidden="1" x14ac:dyDescent="0.2"/>
    <row r="5876" hidden="1" x14ac:dyDescent="0.2"/>
    <row r="5877" hidden="1" x14ac:dyDescent="0.2"/>
    <row r="5878" hidden="1" x14ac:dyDescent="0.2"/>
    <row r="5879" hidden="1" x14ac:dyDescent="0.2"/>
    <row r="5880" hidden="1" x14ac:dyDescent="0.2"/>
    <row r="5881" hidden="1" x14ac:dyDescent="0.2"/>
    <row r="5882" hidden="1" x14ac:dyDescent="0.2"/>
    <row r="5883" hidden="1" x14ac:dyDescent="0.2"/>
    <row r="5884" hidden="1" x14ac:dyDescent="0.2"/>
    <row r="5885" hidden="1" x14ac:dyDescent="0.2"/>
    <row r="5886" hidden="1" x14ac:dyDescent="0.2"/>
    <row r="5887" hidden="1" x14ac:dyDescent="0.2"/>
    <row r="5888" hidden="1" x14ac:dyDescent="0.2"/>
    <row r="5889" hidden="1" x14ac:dyDescent="0.2"/>
    <row r="5890" hidden="1" x14ac:dyDescent="0.2"/>
    <row r="5891" hidden="1" x14ac:dyDescent="0.2"/>
    <row r="5892" hidden="1" x14ac:dyDescent="0.2"/>
    <row r="5893" hidden="1" x14ac:dyDescent="0.2"/>
    <row r="5894" hidden="1" x14ac:dyDescent="0.2"/>
    <row r="5895" hidden="1" x14ac:dyDescent="0.2"/>
    <row r="5896" hidden="1" x14ac:dyDescent="0.2"/>
    <row r="5897" hidden="1" x14ac:dyDescent="0.2"/>
    <row r="5898" hidden="1" x14ac:dyDescent="0.2"/>
    <row r="5899" hidden="1" x14ac:dyDescent="0.2"/>
    <row r="5900" hidden="1" x14ac:dyDescent="0.2"/>
    <row r="5901" hidden="1" x14ac:dyDescent="0.2"/>
    <row r="5902" hidden="1" x14ac:dyDescent="0.2"/>
    <row r="5903" hidden="1" x14ac:dyDescent="0.2"/>
    <row r="5904" hidden="1" x14ac:dyDescent="0.2"/>
    <row r="5905" hidden="1" x14ac:dyDescent="0.2"/>
    <row r="5906" hidden="1" x14ac:dyDescent="0.2"/>
    <row r="5907" hidden="1" x14ac:dyDescent="0.2"/>
    <row r="5908" hidden="1" x14ac:dyDescent="0.2"/>
    <row r="5909" hidden="1" x14ac:dyDescent="0.2"/>
    <row r="5910" hidden="1" x14ac:dyDescent="0.2"/>
    <row r="5911" hidden="1" x14ac:dyDescent="0.2"/>
    <row r="5912" hidden="1" x14ac:dyDescent="0.2"/>
    <row r="5913" hidden="1" x14ac:dyDescent="0.2"/>
    <row r="5914" hidden="1" x14ac:dyDescent="0.2"/>
    <row r="5915" hidden="1" x14ac:dyDescent="0.2"/>
    <row r="5916" hidden="1" x14ac:dyDescent="0.2"/>
    <row r="5917" hidden="1" x14ac:dyDescent="0.2"/>
    <row r="5918" hidden="1" x14ac:dyDescent="0.2"/>
    <row r="5919" hidden="1" x14ac:dyDescent="0.2"/>
    <row r="5920" hidden="1" x14ac:dyDescent="0.2"/>
    <row r="5921" hidden="1" x14ac:dyDescent="0.2"/>
    <row r="5922" hidden="1" x14ac:dyDescent="0.2"/>
    <row r="5923" hidden="1" x14ac:dyDescent="0.2"/>
    <row r="5924" hidden="1" x14ac:dyDescent="0.2"/>
    <row r="5925" hidden="1" x14ac:dyDescent="0.2"/>
    <row r="5926" hidden="1" x14ac:dyDescent="0.2"/>
    <row r="5927" hidden="1" x14ac:dyDescent="0.2"/>
    <row r="5928" hidden="1" x14ac:dyDescent="0.2"/>
    <row r="5929" hidden="1" x14ac:dyDescent="0.2"/>
    <row r="5930" hidden="1" x14ac:dyDescent="0.2"/>
    <row r="5931" hidden="1" x14ac:dyDescent="0.2"/>
    <row r="5932" hidden="1" x14ac:dyDescent="0.2"/>
    <row r="5933" hidden="1" x14ac:dyDescent="0.2"/>
    <row r="5934" hidden="1" x14ac:dyDescent="0.2"/>
    <row r="5935" hidden="1" x14ac:dyDescent="0.2"/>
    <row r="5936" hidden="1" x14ac:dyDescent="0.2"/>
    <row r="5937" hidden="1" x14ac:dyDescent="0.2"/>
    <row r="5938" hidden="1" x14ac:dyDescent="0.2"/>
    <row r="5939" hidden="1" x14ac:dyDescent="0.2"/>
    <row r="5940" hidden="1" x14ac:dyDescent="0.2"/>
    <row r="5941" hidden="1" x14ac:dyDescent="0.2"/>
    <row r="5942" hidden="1" x14ac:dyDescent="0.2"/>
    <row r="5943" hidden="1" x14ac:dyDescent="0.2"/>
    <row r="5944" hidden="1" x14ac:dyDescent="0.2"/>
    <row r="5945" hidden="1" x14ac:dyDescent="0.2"/>
    <row r="5946" hidden="1" x14ac:dyDescent="0.2"/>
    <row r="5947" hidden="1" x14ac:dyDescent="0.2"/>
    <row r="5948" hidden="1" x14ac:dyDescent="0.2"/>
    <row r="5949" hidden="1" x14ac:dyDescent="0.2"/>
    <row r="5950" hidden="1" x14ac:dyDescent="0.2"/>
    <row r="5951" hidden="1" x14ac:dyDescent="0.2"/>
    <row r="5952" hidden="1" x14ac:dyDescent="0.2"/>
    <row r="5953" hidden="1" x14ac:dyDescent="0.2"/>
    <row r="5954" hidden="1" x14ac:dyDescent="0.2"/>
    <row r="5955" hidden="1" x14ac:dyDescent="0.2"/>
    <row r="5956" hidden="1" x14ac:dyDescent="0.2"/>
    <row r="5957" hidden="1" x14ac:dyDescent="0.2"/>
    <row r="5958" hidden="1" x14ac:dyDescent="0.2"/>
    <row r="5959" hidden="1" x14ac:dyDescent="0.2"/>
    <row r="5960" hidden="1" x14ac:dyDescent="0.2"/>
    <row r="5961" hidden="1" x14ac:dyDescent="0.2"/>
    <row r="5962" hidden="1" x14ac:dyDescent="0.2"/>
    <row r="5963" hidden="1" x14ac:dyDescent="0.2"/>
    <row r="5964" hidden="1" x14ac:dyDescent="0.2"/>
    <row r="5965" hidden="1" x14ac:dyDescent="0.2"/>
    <row r="5966" hidden="1" x14ac:dyDescent="0.2"/>
    <row r="5967" hidden="1" x14ac:dyDescent="0.2"/>
    <row r="5968" hidden="1" x14ac:dyDescent="0.2"/>
    <row r="5969" hidden="1" x14ac:dyDescent="0.2"/>
    <row r="5970" hidden="1" x14ac:dyDescent="0.2"/>
    <row r="5971" hidden="1" x14ac:dyDescent="0.2"/>
    <row r="5972" hidden="1" x14ac:dyDescent="0.2"/>
    <row r="5973" hidden="1" x14ac:dyDescent="0.2"/>
    <row r="5974" hidden="1" x14ac:dyDescent="0.2"/>
    <row r="5975" hidden="1" x14ac:dyDescent="0.2"/>
    <row r="5976" hidden="1" x14ac:dyDescent="0.2"/>
    <row r="5977" hidden="1" x14ac:dyDescent="0.2"/>
    <row r="5978" hidden="1" x14ac:dyDescent="0.2"/>
    <row r="5979" hidden="1" x14ac:dyDescent="0.2"/>
    <row r="5980" hidden="1" x14ac:dyDescent="0.2"/>
    <row r="5981" hidden="1" x14ac:dyDescent="0.2"/>
    <row r="5982" hidden="1" x14ac:dyDescent="0.2"/>
    <row r="5983" hidden="1" x14ac:dyDescent="0.2"/>
    <row r="5984" hidden="1" x14ac:dyDescent="0.2"/>
    <row r="5985" hidden="1" x14ac:dyDescent="0.2"/>
    <row r="5986" hidden="1" x14ac:dyDescent="0.2"/>
    <row r="5987" hidden="1" x14ac:dyDescent="0.2"/>
    <row r="5988" hidden="1" x14ac:dyDescent="0.2"/>
    <row r="5989" hidden="1" x14ac:dyDescent="0.2"/>
    <row r="5990" hidden="1" x14ac:dyDescent="0.2"/>
    <row r="5991" hidden="1" x14ac:dyDescent="0.2"/>
    <row r="5992" hidden="1" x14ac:dyDescent="0.2"/>
    <row r="5993" hidden="1" x14ac:dyDescent="0.2"/>
    <row r="5994" hidden="1" x14ac:dyDescent="0.2"/>
    <row r="5995" hidden="1" x14ac:dyDescent="0.2"/>
    <row r="5996" hidden="1" x14ac:dyDescent="0.2"/>
    <row r="5997" hidden="1" x14ac:dyDescent="0.2"/>
    <row r="5998" hidden="1" x14ac:dyDescent="0.2"/>
    <row r="5999" hidden="1" x14ac:dyDescent="0.2"/>
    <row r="6000" hidden="1" x14ac:dyDescent="0.2"/>
    <row r="6001" hidden="1" x14ac:dyDescent="0.2"/>
    <row r="6002" hidden="1" x14ac:dyDescent="0.2"/>
    <row r="6003" hidden="1" x14ac:dyDescent="0.2"/>
    <row r="6004" hidden="1" x14ac:dyDescent="0.2"/>
    <row r="6005" hidden="1" x14ac:dyDescent="0.2"/>
    <row r="6006" hidden="1" x14ac:dyDescent="0.2"/>
    <row r="6007" hidden="1" x14ac:dyDescent="0.2"/>
    <row r="6008" hidden="1" x14ac:dyDescent="0.2"/>
    <row r="6009" hidden="1" x14ac:dyDescent="0.2"/>
    <row r="6010" hidden="1" x14ac:dyDescent="0.2"/>
    <row r="6011" hidden="1" x14ac:dyDescent="0.2"/>
    <row r="6012" hidden="1" x14ac:dyDescent="0.2"/>
    <row r="6013" hidden="1" x14ac:dyDescent="0.2"/>
    <row r="6014" hidden="1" x14ac:dyDescent="0.2"/>
    <row r="6015" hidden="1" x14ac:dyDescent="0.2"/>
    <row r="6016" hidden="1" x14ac:dyDescent="0.2"/>
    <row r="6017" hidden="1" x14ac:dyDescent="0.2"/>
    <row r="6018" hidden="1" x14ac:dyDescent="0.2"/>
    <row r="6019" hidden="1" x14ac:dyDescent="0.2"/>
    <row r="6020" hidden="1" x14ac:dyDescent="0.2"/>
    <row r="6021" hidden="1" x14ac:dyDescent="0.2"/>
    <row r="6022" hidden="1" x14ac:dyDescent="0.2"/>
    <row r="6023" hidden="1" x14ac:dyDescent="0.2"/>
    <row r="6024" hidden="1" x14ac:dyDescent="0.2"/>
    <row r="6025" hidden="1" x14ac:dyDescent="0.2"/>
    <row r="6026" hidden="1" x14ac:dyDescent="0.2"/>
    <row r="6027" hidden="1" x14ac:dyDescent="0.2"/>
    <row r="6028" hidden="1" x14ac:dyDescent="0.2"/>
    <row r="6029" hidden="1" x14ac:dyDescent="0.2"/>
    <row r="6030" hidden="1" x14ac:dyDescent="0.2"/>
    <row r="6031" hidden="1" x14ac:dyDescent="0.2"/>
    <row r="6032" hidden="1" x14ac:dyDescent="0.2"/>
    <row r="6033" hidden="1" x14ac:dyDescent="0.2"/>
    <row r="6034" hidden="1" x14ac:dyDescent="0.2"/>
    <row r="6035" hidden="1" x14ac:dyDescent="0.2"/>
    <row r="6036" hidden="1" x14ac:dyDescent="0.2"/>
    <row r="6037" hidden="1" x14ac:dyDescent="0.2"/>
    <row r="6038" hidden="1" x14ac:dyDescent="0.2"/>
    <row r="6039" hidden="1" x14ac:dyDescent="0.2"/>
    <row r="6040" hidden="1" x14ac:dyDescent="0.2"/>
    <row r="6041" hidden="1" x14ac:dyDescent="0.2"/>
    <row r="6042" hidden="1" x14ac:dyDescent="0.2"/>
    <row r="6043" hidden="1" x14ac:dyDescent="0.2"/>
    <row r="6044" hidden="1" x14ac:dyDescent="0.2"/>
    <row r="6045" hidden="1" x14ac:dyDescent="0.2"/>
    <row r="6046" hidden="1" x14ac:dyDescent="0.2"/>
    <row r="6047" hidden="1" x14ac:dyDescent="0.2"/>
    <row r="6048" hidden="1" x14ac:dyDescent="0.2"/>
    <row r="6049" hidden="1" x14ac:dyDescent="0.2"/>
    <row r="6050" hidden="1" x14ac:dyDescent="0.2"/>
    <row r="6051" hidden="1" x14ac:dyDescent="0.2"/>
    <row r="6052" hidden="1" x14ac:dyDescent="0.2"/>
    <row r="6053" hidden="1" x14ac:dyDescent="0.2"/>
    <row r="6054" hidden="1" x14ac:dyDescent="0.2"/>
    <row r="6055" hidden="1" x14ac:dyDescent="0.2"/>
    <row r="6056" hidden="1" x14ac:dyDescent="0.2"/>
    <row r="6057" hidden="1" x14ac:dyDescent="0.2"/>
    <row r="6058" hidden="1" x14ac:dyDescent="0.2"/>
    <row r="6059" hidden="1" x14ac:dyDescent="0.2"/>
    <row r="6060" hidden="1" x14ac:dyDescent="0.2"/>
    <row r="6061" hidden="1" x14ac:dyDescent="0.2"/>
    <row r="6062" hidden="1" x14ac:dyDescent="0.2"/>
    <row r="6063" hidden="1" x14ac:dyDescent="0.2"/>
    <row r="6064" hidden="1" x14ac:dyDescent="0.2"/>
    <row r="6065" hidden="1" x14ac:dyDescent="0.2"/>
    <row r="6066" hidden="1" x14ac:dyDescent="0.2"/>
    <row r="6067" hidden="1" x14ac:dyDescent="0.2"/>
    <row r="6068" hidden="1" x14ac:dyDescent="0.2"/>
    <row r="6069" hidden="1" x14ac:dyDescent="0.2"/>
    <row r="6070" hidden="1" x14ac:dyDescent="0.2"/>
    <row r="6071" hidden="1" x14ac:dyDescent="0.2"/>
    <row r="6072" hidden="1" x14ac:dyDescent="0.2"/>
    <row r="6073" hidden="1" x14ac:dyDescent="0.2"/>
    <row r="6074" hidden="1" x14ac:dyDescent="0.2"/>
    <row r="6075" hidden="1" x14ac:dyDescent="0.2"/>
    <row r="6076" hidden="1" x14ac:dyDescent="0.2"/>
    <row r="6077" hidden="1" x14ac:dyDescent="0.2"/>
    <row r="6078" hidden="1" x14ac:dyDescent="0.2"/>
    <row r="6079" hidden="1" x14ac:dyDescent="0.2"/>
    <row r="6080" hidden="1" x14ac:dyDescent="0.2"/>
    <row r="6081" hidden="1" x14ac:dyDescent="0.2"/>
    <row r="6082" hidden="1" x14ac:dyDescent="0.2"/>
    <row r="6083" hidden="1" x14ac:dyDescent="0.2"/>
    <row r="6084" hidden="1" x14ac:dyDescent="0.2"/>
    <row r="6085" hidden="1" x14ac:dyDescent="0.2"/>
    <row r="6086" hidden="1" x14ac:dyDescent="0.2"/>
    <row r="6087" hidden="1" x14ac:dyDescent="0.2"/>
    <row r="6088" hidden="1" x14ac:dyDescent="0.2"/>
    <row r="6089" hidden="1" x14ac:dyDescent="0.2"/>
    <row r="6090" hidden="1" x14ac:dyDescent="0.2"/>
    <row r="6091" hidden="1" x14ac:dyDescent="0.2"/>
    <row r="6092" hidden="1" x14ac:dyDescent="0.2"/>
    <row r="6093" hidden="1" x14ac:dyDescent="0.2"/>
    <row r="6094" hidden="1" x14ac:dyDescent="0.2"/>
    <row r="6095" hidden="1" x14ac:dyDescent="0.2"/>
    <row r="6096" hidden="1" x14ac:dyDescent="0.2"/>
    <row r="6097" hidden="1" x14ac:dyDescent="0.2"/>
    <row r="6098" hidden="1" x14ac:dyDescent="0.2"/>
    <row r="6099" hidden="1" x14ac:dyDescent="0.2"/>
    <row r="6100" hidden="1" x14ac:dyDescent="0.2"/>
    <row r="6101" hidden="1" x14ac:dyDescent="0.2"/>
    <row r="6102" hidden="1" x14ac:dyDescent="0.2"/>
    <row r="6103" hidden="1" x14ac:dyDescent="0.2"/>
    <row r="6104" hidden="1" x14ac:dyDescent="0.2"/>
    <row r="6105" hidden="1" x14ac:dyDescent="0.2"/>
    <row r="6106" hidden="1" x14ac:dyDescent="0.2"/>
    <row r="6107" hidden="1" x14ac:dyDescent="0.2"/>
    <row r="6108" hidden="1" x14ac:dyDescent="0.2"/>
    <row r="6109" hidden="1" x14ac:dyDescent="0.2"/>
    <row r="6110" hidden="1" x14ac:dyDescent="0.2"/>
    <row r="6111" hidden="1" x14ac:dyDescent="0.2"/>
    <row r="6112" hidden="1" x14ac:dyDescent="0.2"/>
    <row r="6113" hidden="1" x14ac:dyDescent="0.2"/>
    <row r="6114" hidden="1" x14ac:dyDescent="0.2"/>
    <row r="6115" hidden="1" x14ac:dyDescent="0.2"/>
    <row r="6116" hidden="1" x14ac:dyDescent="0.2"/>
    <row r="6117" hidden="1" x14ac:dyDescent="0.2"/>
    <row r="6118" hidden="1" x14ac:dyDescent="0.2"/>
    <row r="6119" hidden="1" x14ac:dyDescent="0.2"/>
    <row r="6120" hidden="1" x14ac:dyDescent="0.2"/>
    <row r="6121" hidden="1" x14ac:dyDescent="0.2"/>
    <row r="6122" hidden="1" x14ac:dyDescent="0.2"/>
    <row r="6123" hidden="1" x14ac:dyDescent="0.2"/>
    <row r="6124" hidden="1" x14ac:dyDescent="0.2"/>
    <row r="6125" hidden="1" x14ac:dyDescent="0.2"/>
    <row r="6126" hidden="1" x14ac:dyDescent="0.2"/>
    <row r="6127" hidden="1" x14ac:dyDescent="0.2"/>
    <row r="6128" hidden="1" x14ac:dyDescent="0.2"/>
    <row r="6129" hidden="1" x14ac:dyDescent="0.2"/>
    <row r="6130" hidden="1" x14ac:dyDescent="0.2"/>
    <row r="6131" hidden="1" x14ac:dyDescent="0.2"/>
    <row r="6132" hidden="1" x14ac:dyDescent="0.2"/>
    <row r="6133" hidden="1" x14ac:dyDescent="0.2"/>
    <row r="6134" hidden="1" x14ac:dyDescent="0.2"/>
    <row r="6135" hidden="1" x14ac:dyDescent="0.2"/>
    <row r="6136" hidden="1" x14ac:dyDescent="0.2"/>
    <row r="6137" hidden="1" x14ac:dyDescent="0.2"/>
    <row r="6138" hidden="1" x14ac:dyDescent="0.2"/>
    <row r="6139" hidden="1" x14ac:dyDescent="0.2"/>
    <row r="6140" hidden="1" x14ac:dyDescent="0.2"/>
    <row r="6141" hidden="1" x14ac:dyDescent="0.2"/>
    <row r="6142" hidden="1" x14ac:dyDescent="0.2"/>
    <row r="6143" hidden="1" x14ac:dyDescent="0.2"/>
    <row r="6144" hidden="1" x14ac:dyDescent="0.2"/>
    <row r="6145" hidden="1" x14ac:dyDescent="0.2"/>
    <row r="6146" hidden="1" x14ac:dyDescent="0.2"/>
    <row r="6147" hidden="1" x14ac:dyDescent="0.2"/>
    <row r="6148" hidden="1" x14ac:dyDescent="0.2"/>
    <row r="6149" hidden="1" x14ac:dyDescent="0.2"/>
    <row r="6150" hidden="1" x14ac:dyDescent="0.2"/>
    <row r="6151" hidden="1" x14ac:dyDescent="0.2"/>
    <row r="6152" hidden="1" x14ac:dyDescent="0.2"/>
    <row r="6153" hidden="1" x14ac:dyDescent="0.2"/>
    <row r="6154" hidden="1" x14ac:dyDescent="0.2"/>
    <row r="6155" hidden="1" x14ac:dyDescent="0.2"/>
    <row r="6156" hidden="1" x14ac:dyDescent="0.2"/>
    <row r="6157" hidden="1" x14ac:dyDescent="0.2"/>
    <row r="6158" hidden="1" x14ac:dyDescent="0.2"/>
    <row r="6159" hidden="1" x14ac:dyDescent="0.2"/>
    <row r="6160" hidden="1" x14ac:dyDescent="0.2"/>
    <row r="6161" hidden="1" x14ac:dyDescent="0.2"/>
    <row r="6162" hidden="1" x14ac:dyDescent="0.2"/>
    <row r="6163" hidden="1" x14ac:dyDescent="0.2"/>
    <row r="6164" hidden="1" x14ac:dyDescent="0.2"/>
    <row r="6165" hidden="1" x14ac:dyDescent="0.2"/>
    <row r="6166" hidden="1" x14ac:dyDescent="0.2"/>
    <row r="6167" hidden="1" x14ac:dyDescent="0.2"/>
    <row r="6168" hidden="1" x14ac:dyDescent="0.2"/>
    <row r="6169" hidden="1" x14ac:dyDescent="0.2"/>
    <row r="6170" hidden="1" x14ac:dyDescent="0.2"/>
    <row r="6171" hidden="1" x14ac:dyDescent="0.2"/>
    <row r="6172" hidden="1" x14ac:dyDescent="0.2"/>
    <row r="6173" hidden="1" x14ac:dyDescent="0.2"/>
    <row r="6174" hidden="1" x14ac:dyDescent="0.2"/>
    <row r="6175" hidden="1" x14ac:dyDescent="0.2"/>
    <row r="6176" hidden="1" x14ac:dyDescent="0.2"/>
    <row r="6177" hidden="1" x14ac:dyDescent="0.2"/>
    <row r="6178" hidden="1" x14ac:dyDescent="0.2"/>
    <row r="6179" hidden="1" x14ac:dyDescent="0.2"/>
    <row r="6180" hidden="1" x14ac:dyDescent="0.2"/>
    <row r="6181" hidden="1" x14ac:dyDescent="0.2"/>
    <row r="6182" hidden="1" x14ac:dyDescent="0.2"/>
    <row r="6183" hidden="1" x14ac:dyDescent="0.2"/>
    <row r="6184" hidden="1" x14ac:dyDescent="0.2"/>
    <row r="6185" hidden="1" x14ac:dyDescent="0.2"/>
    <row r="6186" hidden="1" x14ac:dyDescent="0.2"/>
    <row r="6187" hidden="1" x14ac:dyDescent="0.2"/>
    <row r="6188" hidden="1" x14ac:dyDescent="0.2"/>
    <row r="6189" hidden="1" x14ac:dyDescent="0.2"/>
    <row r="6190" hidden="1" x14ac:dyDescent="0.2"/>
    <row r="6191" hidden="1" x14ac:dyDescent="0.2"/>
    <row r="6192" hidden="1" x14ac:dyDescent="0.2"/>
    <row r="6193" hidden="1" x14ac:dyDescent="0.2"/>
    <row r="6194" hidden="1" x14ac:dyDescent="0.2"/>
    <row r="6195" hidden="1" x14ac:dyDescent="0.2"/>
    <row r="6196" hidden="1" x14ac:dyDescent="0.2"/>
    <row r="6197" hidden="1" x14ac:dyDescent="0.2"/>
    <row r="6198" hidden="1" x14ac:dyDescent="0.2"/>
    <row r="6199" hidden="1" x14ac:dyDescent="0.2"/>
    <row r="6200" hidden="1" x14ac:dyDescent="0.2"/>
    <row r="6201" hidden="1" x14ac:dyDescent="0.2"/>
    <row r="6202" hidden="1" x14ac:dyDescent="0.2"/>
    <row r="6203" hidden="1" x14ac:dyDescent="0.2"/>
    <row r="6204" hidden="1" x14ac:dyDescent="0.2"/>
    <row r="6205" hidden="1" x14ac:dyDescent="0.2"/>
    <row r="6206" hidden="1" x14ac:dyDescent="0.2"/>
    <row r="6207" hidden="1" x14ac:dyDescent="0.2"/>
    <row r="6208" hidden="1" x14ac:dyDescent="0.2"/>
    <row r="6209" hidden="1" x14ac:dyDescent="0.2"/>
    <row r="6210" hidden="1" x14ac:dyDescent="0.2"/>
    <row r="6211" hidden="1" x14ac:dyDescent="0.2"/>
    <row r="6212" hidden="1" x14ac:dyDescent="0.2"/>
    <row r="6213" hidden="1" x14ac:dyDescent="0.2"/>
    <row r="6214" hidden="1" x14ac:dyDescent="0.2"/>
    <row r="6215" hidden="1" x14ac:dyDescent="0.2"/>
    <row r="6216" hidden="1" x14ac:dyDescent="0.2"/>
    <row r="6217" hidden="1" x14ac:dyDescent="0.2"/>
    <row r="6218" hidden="1" x14ac:dyDescent="0.2"/>
    <row r="6219" hidden="1" x14ac:dyDescent="0.2"/>
    <row r="6220" hidden="1" x14ac:dyDescent="0.2"/>
    <row r="6221" hidden="1" x14ac:dyDescent="0.2"/>
    <row r="6222" hidden="1" x14ac:dyDescent="0.2"/>
    <row r="6223" hidden="1" x14ac:dyDescent="0.2"/>
    <row r="6224" hidden="1" x14ac:dyDescent="0.2"/>
    <row r="6225" hidden="1" x14ac:dyDescent="0.2"/>
    <row r="6226" hidden="1" x14ac:dyDescent="0.2"/>
    <row r="6227" hidden="1" x14ac:dyDescent="0.2"/>
    <row r="6228" hidden="1" x14ac:dyDescent="0.2"/>
    <row r="6229" hidden="1" x14ac:dyDescent="0.2"/>
    <row r="6230" hidden="1" x14ac:dyDescent="0.2"/>
    <row r="6231" hidden="1" x14ac:dyDescent="0.2"/>
    <row r="6232" hidden="1" x14ac:dyDescent="0.2"/>
    <row r="6233" hidden="1" x14ac:dyDescent="0.2"/>
    <row r="6234" hidden="1" x14ac:dyDescent="0.2"/>
    <row r="6235" hidden="1" x14ac:dyDescent="0.2"/>
    <row r="6236" hidden="1" x14ac:dyDescent="0.2"/>
    <row r="6237" hidden="1" x14ac:dyDescent="0.2"/>
    <row r="6238" hidden="1" x14ac:dyDescent="0.2"/>
    <row r="6239" hidden="1" x14ac:dyDescent="0.2"/>
    <row r="6240" hidden="1" x14ac:dyDescent="0.2"/>
    <row r="6241" hidden="1" x14ac:dyDescent="0.2"/>
    <row r="6242" hidden="1" x14ac:dyDescent="0.2"/>
    <row r="6243" hidden="1" x14ac:dyDescent="0.2"/>
    <row r="6244" hidden="1" x14ac:dyDescent="0.2"/>
    <row r="6245" hidden="1" x14ac:dyDescent="0.2"/>
    <row r="6246" hidden="1" x14ac:dyDescent="0.2"/>
    <row r="6247" hidden="1" x14ac:dyDescent="0.2"/>
    <row r="6248" hidden="1" x14ac:dyDescent="0.2"/>
    <row r="6249" hidden="1" x14ac:dyDescent="0.2"/>
    <row r="6250" hidden="1" x14ac:dyDescent="0.2"/>
    <row r="6251" hidden="1" x14ac:dyDescent="0.2"/>
    <row r="6252" hidden="1" x14ac:dyDescent="0.2"/>
    <row r="6253" hidden="1" x14ac:dyDescent="0.2"/>
    <row r="6254" hidden="1" x14ac:dyDescent="0.2"/>
    <row r="6255" hidden="1" x14ac:dyDescent="0.2"/>
    <row r="6256" hidden="1" x14ac:dyDescent="0.2"/>
    <row r="6257" hidden="1" x14ac:dyDescent="0.2"/>
    <row r="6258" hidden="1" x14ac:dyDescent="0.2"/>
    <row r="6259" hidden="1" x14ac:dyDescent="0.2"/>
    <row r="6260" hidden="1" x14ac:dyDescent="0.2"/>
    <row r="6261" hidden="1" x14ac:dyDescent="0.2"/>
    <row r="6262" hidden="1" x14ac:dyDescent="0.2"/>
    <row r="6263" hidden="1" x14ac:dyDescent="0.2"/>
    <row r="6264" hidden="1" x14ac:dyDescent="0.2"/>
    <row r="6265" hidden="1" x14ac:dyDescent="0.2"/>
    <row r="6266" hidden="1" x14ac:dyDescent="0.2"/>
    <row r="6267" hidden="1" x14ac:dyDescent="0.2"/>
    <row r="6268" hidden="1" x14ac:dyDescent="0.2"/>
    <row r="6269" hidden="1" x14ac:dyDescent="0.2"/>
    <row r="6270" hidden="1" x14ac:dyDescent="0.2"/>
    <row r="6271" hidden="1" x14ac:dyDescent="0.2"/>
    <row r="6272" hidden="1" x14ac:dyDescent="0.2"/>
    <row r="6273" hidden="1" x14ac:dyDescent="0.2"/>
    <row r="6274" hidden="1" x14ac:dyDescent="0.2"/>
    <row r="6275" hidden="1" x14ac:dyDescent="0.2"/>
    <row r="6276" hidden="1" x14ac:dyDescent="0.2"/>
    <row r="6277" hidden="1" x14ac:dyDescent="0.2"/>
    <row r="6278" hidden="1" x14ac:dyDescent="0.2"/>
    <row r="6279" hidden="1" x14ac:dyDescent="0.2"/>
    <row r="6280" hidden="1" x14ac:dyDescent="0.2"/>
    <row r="6281" hidden="1" x14ac:dyDescent="0.2"/>
    <row r="6282" hidden="1" x14ac:dyDescent="0.2"/>
    <row r="6283" hidden="1" x14ac:dyDescent="0.2"/>
    <row r="6284" hidden="1" x14ac:dyDescent="0.2"/>
    <row r="6285" hidden="1" x14ac:dyDescent="0.2"/>
    <row r="6286" hidden="1" x14ac:dyDescent="0.2"/>
    <row r="6287" hidden="1" x14ac:dyDescent="0.2"/>
    <row r="6288" hidden="1" x14ac:dyDescent="0.2"/>
    <row r="6289" hidden="1" x14ac:dyDescent="0.2"/>
    <row r="6290" hidden="1" x14ac:dyDescent="0.2"/>
    <row r="6291" hidden="1" x14ac:dyDescent="0.2"/>
    <row r="6292" hidden="1" x14ac:dyDescent="0.2"/>
    <row r="6293" hidden="1" x14ac:dyDescent="0.2"/>
    <row r="6294" hidden="1" x14ac:dyDescent="0.2"/>
    <row r="6295" hidden="1" x14ac:dyDescent="0.2"/>
    <row r="6296" hidden="1" x14ac:dyDescent="0.2"/>
    <row r="6297" hidden="1" x14ac:dyDescent="0.2"/>
    <row r="6298" hidden="1" x14ac:dyDescent="0.2"/>
    <row r="6299" hidden="1" x14ac:dyDescent="0.2"/>
    <row r="6300" hidden="1" x14ac:dyDescent="0.2"/>
    <row r="6301" hidden="1" x14ac:dyDescent="0.2"/>
    <row r="6302" hidden="1" x14ac:dyDescent="0.2"/>
    <row r="6303" hidden="1" x14ac:dyDescent="0.2"/>
    <row r="6304" hidden="1" x14ac:dyDescent="0.2"/>
    <row r="6305" hidden="1" x14ac:dyDescent="0.2"/>
    <row r="6306" hidden="1" x14ac:dyDescent="0.2"/>
    <row r="6307" hidden="1" x14ac:dyDescent="0.2"/>
    <row r="6308" hidden="1" x14ac:dyDescent="0.2"/>
    <row r="6309" hidden="1" x14ac:dyDescent="0.2"/>
    <row r="6310" hidden="1" x14ac:dyDescent="0.2"/>
    <row r="6311" hidden="1" x14ac:dyDescent="0.2"/>
    <row r="6312" hidden="1" x14ac:dyDescent="0.2"/>
    <row r="6313" hidden="1" x14ac:dyDescent="0.2"/>
    <row r="6314" hidden="1" x14ac:dyDescent="0.2"/>
    <row r="6315" hidden="1" x14ac:dyDescent="0.2"/>
    <row r="6316" hidden="1" x14ac:dyDescent="0.2"/>
    <row r="6317" hidden="1" x14ac:dyDescent="0.2"/>
    <row r="6318" hidden="1" x14ac:dyDescent="0.2"/>
    <row r="6319" hidden="1" x14ac:dyDescent="0.2"/>
    <row r="6320" hidden="1" x14ac:dyDescent="0.2"/>
    <row r="6321" hidden="1" x14ac:dyDescent="0.2"/>
    <row r="6322" hidden="1" x14ac:dyDescent="0.2"/>
    <row r="6323" hidden="1" x14ac:dyDescent="0.2"/>
    <row r="6324" hidden="1" x14ac:dyDescent="0.2"/>
    <row r="6325" hidden="1" x14ac:dyDescent="0.2"/>
    <row r="6326" hidden="1" x14ac:dyDescent="0.2"/>
    <row r="6327" hidden="1" x14ac:dyDescent="0.2"/>
    <row r="6328" hidden="1" x14ac:dyDescent="0.2"/>
    <row r="6329" hidden="1" x14ac:dyDescent="0.2"/>
    <row r="6330" hidden="1" x14ac:dyDescent="0.2"/>
    <row r="6331" hidden="1" x14ac:dyDescent="0.2"/>
    <row r="6332" hidden="1" x14ac:dyDescent="0.2"/>
    <row r="6333" hidden="1" x14ac:dyDescent="0.2"/>
    <row r="6334" hidden="1" x14ac:dyDescent="0.2"/>
    <row r="6335" hidden="1" x14ac:dyDescent="0.2"/>
    <row r="6336" hidden="1" x14ac:dyDescent="0.2"/>
    <row r="6337" hidden="1" x14ac:dyDescent="0.2"/>
    <row r="6338" hidden="1" x14ac:dyDescent="0.2"/>
    <row r="6339" hidden="1" x14ac:dyDescent="0.2"/>
    <row r="6340" hidden="1" x14ac:dyDescent="0.2"/>
    <row r="6341" hidden="1" x14ac:dyDescent="0.2"/>
    <row r="6342" hidden="1" x14ac:dyDescent="0.2"/>
    <row r="6343" hidden="1" x14ac:dyDescent="0.2"/>
    <row r="6344" hidden="1" x14ac:dyDescent="0.2"/>
    <row r="6345" hidden="1" x14ac:dyDescent="0.2"/>
    <row r="6346" hidden="1" x14ac:dyDescent="0.2"/>
    <row r="6347" hidden="1" x14ac:dyDescent="0.2"/>
    <row r="6348" hidden="1" x14ac:dyDescent="0.2"/>
    <row r="6349" hidden="1" x14ac:dyDescent="0.2"/>
    <row r="6350" hidden="1" x14ac:dyDescent="0.2"/>
    <row r="6351" hidden="1" x14ac:dyDescent="0.2"/>
    <row r="6352" hidden="1" x14ac:dyDescent="0.2"/>
    <row r="6353" hidden="1" x14ac:dyDescent="0.2"/>
    <row r="6354" hidden="1" x14ac:dyDescent="0.2"/>
    <row r="6355" hidden="1" x14ac:dyDescent="0.2"/>
    <row r="6356" hidden="1" x14ac:dyDescent="0.2"/>
    <row r="6357" hidden="1" x14ac:dyDescent="0.2"/>
    <row r="6358" hidden="1" x14ac:dyDescent="0.2"/>
    <row r="6359" hidden="1" x14ac:dyDescent="0.2"/>
    <row r="6360" hidden="1" x14ac:dyDescent="0.2"/>
    <row r="6361" hidden="1" x14ac:dyDescent="0.2"/>
    <row r="6362" hidden="1" x14ac:dyDescent="0.2"/>
    <row r="6363" hidden="1" x14ac:dyDescent="0.2"/>
    <row r="6364" hidden="1" x14ac:dyDescent="0.2"/>
    <row r="6365" hidden="1" x14ac:dyDescent="0.2"/>
    <row r="6366" hidden="1" x14ac:dyDescent="0.2"/>
    <row r="6367" hidden="1" x14ac:dyDescent="0.2"/>
    <row r="6368" hidden="1" x14ac:dyDescent="0.2"/>
    <row r="6369" hidden="1" x14ac:dyDescent="0.2"/>
    <row r="6370" hidden="1" x14ac:dyDescent="0.2"/>
    <row r="6371" hidden="1" x14ac:dyDescent="0.2"/>
    <row r="6372" hidden="1" x14ac:dyDescent="0.2"/>
    <row r="6373" hidden="1" x14ac:dyDescent="0.2"/>
    <row r="6374" hidden="1" x14ac:dyDescent="0.2"/>
    <row r="6375" hidden="1" x14ac:dyDescent="0.2"/>
    <row r="6376" hidden="1" x14ac:dyDescent="0.2"/>
    <row r="6377" hidden="1" x14ac:dyDescent="0.2"/>
    <row r="6378" hidden="1" x14ac:dyDescent="0.2"/>
    <row r="6379" hidden="1" x14ac:dyDescent="0.2"/>
    <row r="6380" hidden="1" x14ac:dyDescent="0.2"/>
    <row r="6381" hidden="1" x14ac:dyDescent="0.2"/>
    <row r="6382" hidden="1" x14ac:dyDescent="0.2"/>
    <row r="6383" hidden="1" x14ac:dyDescent="0.2"/>
    <row r="6384" hidden="1" x14ac:dyDescent="0.2"/>
    <row r="6385" hidden="1" x14ac:dyDescent="0.2"/>
    <row r="6386" hidden="1" x14ac:dyDescent="0.2"/>
    <row r="6387" hidden="1" x14ac:dyDescent="0.2"/>
    <row r="6388" hidden="1" x14ac:dyDescent="0.2"/>
    <row r="6389" hidden="1" x14ac:dyDescent="0.2"/>
    <row r="6390" hidden="1" x14ac:dyDescent="0.2"/>
    <row r="6391" hidden="1" x14ac:dyDescent="0.2"/>
    <row r="6392" hidden="1" x14ac:dyDescent="0.2"/>
    <row r="6393" hidden="1" x14ac:dyDescent="0.2"/>
    <row r="6394" hidden="1" x14ac:dyDescent="0.2"/>
    <row r="6395" hidden="1" x14ac:dyDescent="0.2"/>
    <row r="6396" hidden="1" x14ac:dyDescent="0.2"/>
    <row r="6397" hidden="1" x14ac:dyDescent="0.2"/>
    <row r="6398" hidden="1" x14ac:dyDescent="0.2"/>
    <row r="6399" hidden="1" x14ac:dyDescent="0.2"/>
    <row r="6400" hidden="1" x14ac:dyDescent="0.2"/>
    <row r="6401" hidden="1" x14ac:dyDescent="0.2"/>
    <row r="6402" hidden="1" x14ac:dyDescent="0.2"/>
    <row r="6403" hidden="1" x14ac:dyDescent="0.2"/>
    <row r="6404" hidden="1" x14ac:dyDescent="0.2"/>
    <row r="6405" hidden="1" x14ac:dyDescent="0.2"/>
    <row r="6406" hidden="1" x14ac:dyDescent="0.2"/>
    <row r="6407" hidden="1" x14ac:dyDescent="0.2"/>
    <row r="6408" hidden="1" x14ac:dyDescent="0.2"/>
    <row r="6409" hidden="1" x14ac:dyDescent="0.2"/>
    <row r="6410" hidden="1" x14ac:dyDescent="0.2"/>
    <row r="6411" hidden="1" x14ac:dyDescent="0.2"/>
    <row r="6412" hidden="1" x14ac:dyDescent="0.2"/>
    <row r="6413" hidden="1" x14ac:dyDescent="0.2"/>
    <row r="6414" hidden="1" x14ac:dyDescent="0.2"/>
    <row r="6415" hidden="1" x14ac:dyDescent="0.2"/>
    <row r="6416" hidden="1" x14ac:dyDescent="0.2"/>
    <row r="6417" hidden="1" x14ac:dyDescent="0.2"/>
    <row r="6418" hidden="1" x14ac:dyDescent="0.2"/>
    <row r="6419" hidden="1" x14ac:dyDescent="0.2"/>
    <row r="6420" hidden="1" x14ac:dyDescent="0.2"/>
    <row r="6421" hidden="1" x14ac:dyDescent="0.2"/>
    <row r="6422" hidden="1" x14ac:dyDescent="0.2"/>
    <row r="6423" hidden="1" x14ac:dyDescent="0.2"/>
    <row r="6424" hidden="1" x14ac:dyDescent="0.2"/>
    <row r="6425" hidden="1" x14ac:dyDescent="0.2"/>
    <row r="6426" hidden="1" x14ac:dyDescent="0.2"/>
    <row r="6427" hidden="1" x14ac:dyDescent="0.2"/>
    <row r="6428" hidden="1" x14ac:dyDescent="0.2"/>
    <row r="6429" hidden="1" x14ac:dyDescent="0.2"/>
    <row r="6430" hidden="1" x14ac:dyDescent="0.2"/>
    <row r="6431" hidden="1" x14ac:dyDescent="0.2"/>
    <row r="6432" hidden="1" x14ac:dyDescent="0.2"/>
    <row r="6433" hidden="1" x14ac:dyDescent="0.2"/>
    <row r="6434" hidden="1" x14ac:dyDescent="0.2"/>
    <row r="6435" hidden="1" x14ac:dyDescent="0.2"/>
    <row r="6436" hidden="1" x14ac:dyDescent="0.2"/>
    <row r="6437" hidden="1" x14ac:dyDescent="0.2"/>
    <row r="6438" hidden="1" x14ac:dyDescent="0.2"/>
    <row r="6439" hidden="1" x14ac:dyDescent="0.2"/>
    <row r="6440" hidden="1" x14ac:dyDescent="0.2"/>
    <row r="6441" hidden="1" x14ac:dyDescent="0.2"/>
    <row r="6442" hidden="1" x14ac:dyDescent="0.2"/>
    <row r="6443" hidden="1" x14ac:dyDescent="0.2"/>
    <row r="6444" hidden="1" x14ac:dyDescent="0.2"/>
    <row r="6445" hidden="1" x14ac:dyDescent="0.2"/>
    <row r="6446" hidden="1" x14ac:dyDescent="0.2"/>
    <row r="6447" hidden="1" x14ac:dyDescent="0.2"/>
    <row r="6448" hidden="1" x14ac:dyDescent="0.2"/>
    <row r="6449" hidden="1" x14ac:dyDescent="0.2"/>
    <row r="6450" hidden="1" x14ac:dyDescent="0.2"/>
    <row r="6451" hidden="1" x14ac:dyDescent="0.2"/>
    <row r="6452" hidden="1" x14ac:dyDescent="0.2"/>
    <row r="6453" hidden="1" x14ac:dyDescent="0.2"/>
    <row r="6454" hidden="1" x14ac:dyDescent="0.2"/>
    <row r="6455" hidden="1" x14ac:dyDescent="0.2"/>
    <row r="6456" hidden="1" x14ac:dyDescent="0.2"/>
    <row r="6457" hidden="1" x14ac:dyDescent="0.2"/>
    <row r="6458" hidden="1" x14ac:dyDescent="0.2"/>
    <row r="6459" hidden="1" x14ac:dyDescent="0.2"/>
    <row r="6460" hidden="1" x14ac:dyDescent="0.2"/>
    <row r="6461" hidden="1" x14ac:dyDescent="0.2"/>
    <row r="6462" hidden="1" x14ac:dyDescent="0.2"/>
    <row r="6463" hidden="1" x14ac:dyDescent="0.2"/>
    <row r="6464" hidden="1" x14ac:dyDescent="0.2"/>
    <row r="6465" hidden="1" x14ac:dyDescent="0.2"/>
    <row r="6466" hidden="1" x14ac:dyDescent="0.2"/>
    <row r="6467" hidden="1" x14ac:dyDescent="0.2"/>
    <row r="6468" hidden="1" x14ac:dyDescent="0.2"/>
    <row r="6469" hidden="1" x14ac:dyDescent="0.2"/>
    <row r="6470" hidden="1" x14ac:dyDescent="0.2"/>
    <row r="6471" hidden="1" x14ac:dyDescent="0.2"/>
    <row r="6472" hidden="1" x14ac:dyDescent="0.2"/>
    <row r="6473" hidden="1" x14ac:dyDescent="0.2"/>
    <row r="6474" hidden="1" x14ac:dyDescent="0.2"/>
    <row r="6475" hidden="1" x14ac:dyDescent="0.2"/>
    <row r="6476" hidden="1" x14ac:dyDescent="0.2"/>
    <row r="6477" hidden="1" x14ac:dyDescent="0.2"/>
    <row r="6478" hidden="1" x14ac:dyDescent="0.2"/>
    <row r="6479" hidden="1" x14ac:dyDescent="0.2"/>
    <row r="6480" hidden="1" x14ac:dyDescent="0.2"/>
    <row r="6481" hidden="1" x14ac:dyDescent="0.2"/>
    <row r="6482" hidden="1" x14ac:dyDescent="0.2"/>
    <row r="6483" hidden="1" x14ac:dyDescent="0.2"/>
    <row r="6484" hidden="1" x14ac:dyDescent="0.2"/>
    <row r="6485" hidden="1" x14ac:dyDescent="0.2"/>
    <row r="6486" hidden="1" x14ac:dyDescent="0.2"/>
    <row r="6487" hidden="1" x14ac:dyDescent="0.2"/>
    <row r="6488" hidden="1" x14ac:dyDescent="0.2"/>
    <row r="6489" hidden="1" x14ac:dyDescent="0.2"/>
    <row r="6490" hidden="1" x14ac:dyDescent="0.2"/>
    <row r="6491" hidden="1" x14ac:dyDescent="0.2"/>
    <row r="6492" hidden="1" x14ac:dyDescent="0.2"/>
    <row r="6493" hidden="1" x14ac:dyDescent="0.2"/>
    <row r="6494" hidden="1" x14ac:dyDescent="0.2"/>
    <row r="6495" hidden="1" x14ac:dyDescent="0.2"/>
    <row r="6496" hidden="1" x14ac:dyDescent="0.2"/>
    <row r="6497" hidden="1" x14ac:dyDescent="0.2"/>
    <row r="6498" hidden="1" x14ac:dyDescent="0.2"/>
    <row r="6499" hidden="1" x14ac:dyDescent="0.2"/>
    <row r="6500" hidden="1" x14ac:dyDescent="0.2"/>
    <row r="6501" hidden="1" x14ac:dyDescent="0.2"/>
    <row r="6502" hidden="1" x14ac:dyDescent="0.2"/>
    <row r="6503" hidden="1" x14ac:dyDescent="0.2"/>
    <row r="6504" hidden="1" x14ac:dyDescent="0.2"/>
    <row r="6505" hidden="1" x14ac:dyDescent="0.2"/>
    <row r="6506" hidden="1" x14ac:dyDescent="0.2"/>
    <row r="6507" hidden="1" x14ac:dyDescent="0.2"/>
    <row r="6508" hidden="1" x14ac:dyDescent="0.2"/>
    <row r="6509" hidden="1" x14ac:dyDescent="0.2"/>
    <row r="6510" hidden="1" x14ac:dyDescent="0.2"/>
    <row r="6511" hidden="1" x14ac:dyDescent="0.2"/>
    <row r="6512" hidden="1" x14ac:dyDescent="0.2"/>
    <row r="6513" hidden="1" x14ac:dyDescent="0.2"/>
    <row r="6514" hidden="1" x14ac:dyDescent="0.2"/>
    <row r="6515" hidden="1" x14ac:dyDescent="0.2"/>
    <row r="6516" hidden="1" x14ac:dyDescent="0.2"/>
    <row r="6517" hidden="1" x14ac:dyDescent="0.2"/>
    <row r="6518" hidden="1" x14ac:dyDescent="0.2"/>
    <row r="6519" hidden="1" x14ac:dyDescent="0.2"/>
    <row r="6520" hidden="1" x14ac:dyDescent="0.2"/>
    <row r="6521" hidden="1" x14ac:dyDescent="0.2"/>
    <row r="6522" hidden="1" x14ac:dyDescent="0.2"/>
    <row r="6523" hidden="1" x14ac:dyDescent="0.2"/>
    <row r="6524" hidden="1" x14ac:dyDescent="0.2"/>
    <row r="6525" hidden="1" x14ac:dyDescent="0.2"/>
    <row r="6526" hidden="1" x14ac:dyDescent="0.2"/>
    <row r="6527" hidden="1" x14ac:dyDescent="0.2"/>
    <row r="6528" hidden="1" x14ac:dyDescent="0.2"/>
    <row r="6529" hidden="1" x14ac:dyDescent="0.2"/>
    <row r="6530" hidden="1" x14ac:dyDescent="0.2"/>
    <row r="6531" hidden="1" x14ac:dyDescent="0.2"/>
    <row r="6532" hidden="1" x14ac:dyDescent="0.2"/>
    <row r="6533" hidden="1" x14ac:dyDescent="0.2"/>
    <row r="6534" hidden="1" x14ac:dyDescent="0.2"/>
    <row r="6535" hidden="1" x14ac:dyDescent="0.2"/>
    <row r="6536" hidden="1" x14ac:dyDescent="0.2"/>
    <row r="6537" hidden="1" x14ac:dyDescent="0.2"/>
    <row r="6538" hidden="1" x14ac:dyDescent="0.2"/>
    <row r="6539" hidden="1" x14ac:dyDescent="0.2"/>
    <row r="6540" hidden="1" x14ac:dyDescent="0.2"/>
    <row r="6541" hidden="1" x14ac:dyDescent="0.2"/>
    <row r="6542" hidden="1" x14ac:dyDescent="0.2"/>
    <row r="6543" hidden="1" x14ac:dyDescent="0.2"/>
    <row r="6544" hidden="1" x14ac:dyDescent="0.2"/>
    <row r="6545" hidden="1" x14ac:dyDescent="0.2"/>
    <row r="6546" hidden="1" x14ac:dyDescent="0.2"/>
    <row r="6547" hidden="1" x14ac:dyDescent="0.2"/>
    <row r="6548" hidden="1" x14ac:dyDescent="0.2"/>
    <row r="6549" hidden="1" x14ac:dyDescent="0.2"/>
    <row r="6550" hidden="1" x14ac:dyDescent="0.2"/>
    <row r="6551" hidden="1" x14ac:dyDescent="0.2"/>
    <row r="6552" hidden="1" x14ac:dyDescent="0.2"/>
    <row r="6553" hidden="1" x14ac:dyDescent="0.2"/>
    <row r="6554" hidden="1" x14ac:dyDescent="0.2"/>
    <row r="6555" hidden="1" x14ac:dyDescent="0.2"/>
    <row r="6556" hidden="1" x14ac:dyDescent="0.2"/>
    <row r="6557" hidden="1" x14ac:dyDescent="0.2"/>
    <row r="6558" hidden="1" x14ac:dyDescent="0.2"/>
    <row r="6559" hidden="1" x14ac:dyDescent="0.2"/>
    <row r="6560" hidden="1" x14ac:dyDescent="0.2"/>
    <row r="6561" hidden="1" x14ac:dyDescent="0.2"/>
    <row r="6562" hidden="1" x14ac:dyDescent="0.2"/>
    <row r="6563" hidden="1" x14ac:dyDescent="0.2"/>
    <row r="6564" hidden="1" x14ac:dyDescent="0.2"/>
    <row r="6565" hidden="1" x14ac:dyDescent="0.2"/>
    <row r="6566" hidden="1" x14ac:dyDescent="0.2"/>
    <row r="6567" hidden="1" x14ac:dyDescent="0.2"/>
    <row r="6568" hidden="1" x14ac:dyDescent="0.2"/>
    <row r="6569" hidden="1" x14ac:dyDescent="0.2"/>
    <row r="6570" hidden="1" x14ac:dyDescent="0.2"/>
    <row r="6571" hidden="1" x14ac:dyDescent="0.2"/>
    <row r="6572" hidden="1" x14ac:dyDescent="0.2"/>
    <row r="6573" hidden="1" x14ac:dyDescent="0.2"/>
    <row r="6574" hidden="1" x14ac:dyDescent="0.2"/>
    <row r="6575" hidden="1" x14ac:dyDescent="0.2"/>
    <row r="6576" hidden="1" x14ac:dyDescent="0.2"/>
    <row r="6577" hidden="1" x14ac:dyDescent="0.2"/>
    <row r="6578" hidden="1" x14ac:dyDescent="0.2"/>
    <row r="6579" hidden="1" x14ac:dyDescent="0.2"/>
    <row r="6580" hidden="1" x14ac:dyDescent="0.2"/>
    <row r="6581" hidden="1" x14ac:dyDescent="0.2"/>
    <row r="6582" hidden="1" x14ac:dyDescent="0.2"/>
    <row r="6583" hidden="1" x14ac:dyDescent="0.2"/>
    <row r="6584" hidden="1" x14ac:dyDescent="0.2"/>
    <row r="6585" hidden="1" x14ac:dyDescent="0.2"/>
    <row r="6586" hidden="1" x14ac:dyDescent="0.2"/>
    <row r="6587" hidden="1" x14ac:dyDescent="0.2"/>
    <row r="6588" hidden="1" x14ac:dyDescent="0.2"/>
    <row r="6589" hidden="1" x14ac:dyDescent="0.2"/>
    <row r="6590" hidden="1" x14ac:dyDescent="0.2"/>
    <row r="6591" hidden="1" x14ac:dyDescent="0.2"/>
    <row r="6592" hidden="1" x14ac:dyDescent="0.2"/>
    <row r="6593" hidden="1" x14ac:dyDescent="0.2"/>
    <row r="6594" hidden="1" x14ac:dyDescent="0.2"/>
    <row r="6595" hidden="1" x14ac:dyDescent="0.2"/>
    <row r="6596" hidden="1" x14ac:dyDescent="0.2"/>
    <row r="6597" hidden="1" x14ac:dyDescent="0.2"/>
    <row r="6598" hidden="1" x14ac:dyDescent="0.2"/>
    <row r="6599" hidden="1" x14ac:dyDescent="0.2"/>
    <row r="6600" hidden="1" x14ac:dyDescent="0.2"/>
    <row r="6601" hidden="1" x14ac:dyDescent="0.2"/>
    <row r="6602" hidden="1" x14ac:dyDescent="0.2"/>
    <row r="6603" hidden="1" x14ac:dyDescent="0.2"/>
    <row r="6604" hidden="1" x14ac:dyDescent="0.2"/>
    <row r="6605" hidden="1" x14ac:dyDescent="0.2"/>
    <row r="6606" hidden="1" x14ac:dyDescent="0.2"/>
    <row r="6607" hidden="1" x14ac:dyDescent="0.2"/>
    <row r="6608" hidden="1" x14ac:dyDescent="0.2"/>
    <row r="6609" hidden="1" x14ac:dyDescent="0.2"/>
    <row r="6610" hidden="1" x14ac:dyDescent="0.2"/>
    <row r="6611" hidden="1" x14ac:dyDescent="0.2"/>
    <row r="6612" hidden="1" x14ac:dyDescent="0.2"/>
    <row r="6613" hidden="1" x14ac:dyDescent="0.2"/>
    <row r="6614" hidden="1" x14ac:dyDescent="0.2"/>
    <row r="6615" hidden="1" x14ac:dyDescent="0.2"/>
    <row r="6616" hidden="1" x14ac:dyDescent="0.2"/>
    <row r="6617" hidden="1" x14ac:dyDescent="0.2"/>
    <row r="6618" hidden="1" x14ac:dyDescent="0.2"/>
    <row r="6619" hidden="1" x14ac:dyDescent="0.2"/>
    <row r="6620" hidden="1" x14ac:dyDescent="0.2"/>
    <row r="6621" hidden="1" x14ac:dyDescent="0.2"/>
    <row r="6622" hidden="1" x14ac:dyDescent="0.2"/>
    <row r="6623" hidden="1" x14ac:dyDescent="0.2"/>
    <row r="6624" hidden="1" x14ac:dyDescent="0.2"/>
    <row r="6625" hidden="1" x14ac:dyDescent="0.2"/>
    <row r="6626" hidden="1" x14ac:dyDescent="0.2"/>
    <row r="6627" hidden="1" x14ac:dyDescent="0.2"/>
    <row r="6628" hidden="1" x14ac:dyDescent="0.2"/>
    <row r="6629" hidden="1" x14ac:dyDescent="0.2"/>
    <row r="6630" hidden="1" x14ac:dyDescent="0.2"/>
    <row r="6631" hidden="1" x14ac:dyDescent="0.2"/>
    <row r="6632" hidden="1" x14ac:dyDescent="0.2"/>
    <row r="6633" hidden="1" x14ac:dyDescent="0.2"/>
    <row r="6634" hidden="1" x14ac:dyDescent="0.2"/>
    <row r="6635" hidden="1" x14ac:dyDescent="0.2"/>
    <row r="6636" hidden="1" x14ac:dyDescent="0.2"/>
    <row r="6637" hidden="1" x14ac:dyDescent="0.2"/>
    <row r="6638" hidden="1" x14ac:dyDescent="0.2"/>
    <row r="6639" hidden="1" x14ac:dyDescent="0.2"/>
    <row r="6640" hidden="1" x14ac:dyDescent="0.2"/>
    <row r="6641" hidden="1" x14ac:dyDescent="0.2"/>
    <row r="6642" hidden="1" x14ac:dyDescent="0.2"/>
    <row r="6643" hidden="1" x14ac:dyDescent="0.2"/>
    <row r="6644" hidden="1" x14ac:dyDescent="0.2"/>
    <row r="6645" hidden="1" x14ac:dyDescent="0.2"/>
    <row r="6646" hidden="1" x14ac:dyDescent="0.2"/>
    <row r="6647" hidden="1" x14ac:dyDescent="0.2"/>
    <row r="6648" hidden="1" x14ac:dyDescent="0.2"/>
    <row r="6649" hidden="1" x14ac:dyDescent="0.2"/>
    <row r="6650" hidden="1" x14ac:dyDescent="0.2"/>
    <row r="6651" hidden="1" x14ac:dyDescent="0.2"/>
    <row r="6652" hidden="1" x14ac:dyDescent="0.2"/>
    <row r="6653" hidden="1" x14ac:dyDescent="0.2"/>
    <row r="6654" hidden="1" x14ac:dyDescent="0.2"/>
    <row r="6655" hidden="1" x14ac:dyDescent="0.2"/>
    <row r="6656" hidden="1" x14ac:dyDescent="0.2"/>
    <row r="6657" hidden="1" x14ac:dyDescent="0.2"/>
    <row r="6658" hidden="1" x14ac:dyDescent="0.2"/>
    <row r="6659" hidden="1" x14ac:dyDescent="0.2"/>
    <row r="6660" hidden="1" x14ac:dyDescent="0.2"/>
    <row r="6661" hidden="1" x14ac:dyDescent="0.2"/>
    <row r="6662" hidden="1" x14ac:dyDescent="0.2"/>
    <row r="6663" hidden="1" x14ac:dyDescent="0.2"/>
    <row r="6664" hidden="1" x14ac:dyDescent="0.2"/>
    <row r="6665" hidden="1" x14ac:dyDescent="0.2"/>
    <row r="6666" hidden="1" x14ac:dyDescent="0.2"/>
    <row r="6667" hidden="1" x14ac:dyDescent="0.2"/>
    <row r="6668" hidden="1" x14ac:dyDescent="0.2"/>
    <row r="6669" hidden="1" x14ac:dyDescent="0.2"/>
    <row r="6670" hidden="1" x14ac:dyDescent="0.2"/>
    <row r="6671" hidden="1" x14ac:dyDescent="0.2"/>
    <row r="6672" hidden="1" x14ac:dyDescent="0.2"/>
    <row r="6673" hidden="1" x14ac:dyDescent="0.2"/>
    <row r="6674" hidden="1" x14ac:dyDescent="0.2"/>
    <row r="6675" hidden="1" x14ac:dyDescent="0.2"/>
    <row r="6676" hidden="1" x14ac:dyDescent="0.2"/>
    <row r="6677" hidden="1" x14ac:dyDescent="0.2"/>
    <row r="6678" hidden="1" x14ac:dyDescent="0.2"/>
    <row r="6679" hidden="1" x14ac:dyDescent="0.2"/>
    <row r="6680" hidden="1" x14ac:dyDescent="0.2"/>
    <row r="6681" hidden="1" x14ac:dyDescent="0.2"/>
    <row r="6682" hidden="1" x14ac:dyDescent="0.2"/>
    <row r="6683" hidden="1" x14ac:dyDescent="0.2"/>
    <row r="6684" hidden="1" x14ac:dyDescent="0.2"/>
    <row r="6685" hidden="1" x14ac:dyDescent="0.2"/>
    <row r="6686" hidden="1" x14ac:dyDescent="0.2"/>
    <row r="6687" hidden="1" x14ac:dyDescent="0.2"/>
    <row r="6688" hidden="1" x14ac:dyDescent="0.2"/>
    <row r="6689" hidden="1" x14ac:dyDescent="0.2"/>
    <row r="6690" hidden="1" x14ac:dyDescent="0.2"/>
    <row r="6691" hidden="1" x14ac:dyDescent="0.2"/>
    <row r="6692" hidden="1" x14ac:dyDescent="0.2"/>
    <row r="6693" hidden="1" x14ac:dyDescent="0.2"/>
    <row r="6694" hidden="1" x14ac:dyDescent="0.2"/>
    <row r="6695" hidden="1" x14ac:dyDescent="0.2"/>
    <row r="6696" hidden="1" x14ac:dyDescent="0.2"/>
    <row r="6697" hidden="1" x14ac:dyDescent="0.2"/>
    <row r="6698" hidden="1" x14ac:dyDescent="0.2"/>
    <row r="6699" hidden="1" x14ac:dyDescent="0.2"/>
    <row r="6700" hidden="1" x14ac:dyDescent="0.2"/>
    <row r="6701" hidden="1" x14ac:dyDescent="0.2"/>
    <row r="6702" hidden="1" x14ac:dyDescent="0.2"/>
    <row r="6703" hidden="1" x14ac:dyDescent="0.2"/>
    <row r="6704" hidden="1" x14ac:dyDescent="0.2"/>
    <row r="6705" hidden="1" x14ac:dyDescent="0.2"/>
    <row r="6706" hidden="1" x14ac:dyDescent="0.2"/>
    <row r="6707" hidden="1" x14ac:dyDescent="0.2"/>
    <row r="6708" hidden="1" x14ac:dyDescent="0.2"/>
    <row r="6709" hidden="1" x14ac:dyDescent="0.2"/>
    <row r="6710" hidden="1" x14ac:dyDescent="0.2"/>
    <row r="6711" hidden="1" x14ac:dyDescent="0.2"/>
    <row r="6712" hidden="1" x14ac:dyDescent="0.2"/>
    <row r="6713" hidden="1" x14ac:dyDescent="0.2"/>
    <row r="6714" hidden="1" x14ac:dyDescent="0.2"/>
    <row r="6715" hidden="1" x14ac:dyDescent="0.2"/>
    <row r="6716" hidden="1" x14ac:dyDescent="0.2"/>
    <row r="6717" hidden="1" x14ac:dyDescent="0.2"/>
    <row r="6718" hidden="1" x14ac:dyDescent="0.2"/>
    <row r="6719" hidden="1" x14ac:dyDescent="0.2"/>
    <row r="6720" hidden="1" x14ac:dyDescent="0.2"/>
    <row r="6721" hidden="1" x14ac:dyDescent="0.2"/>
    <row r="6722" hidden="1" x14ac:dyDescent="0.2"/>
    <row r="6723" hidden="1" x14ac:dyDescent="0.2"/>
    <row r="6724" hidden="1" x14ac:dyDescent="0.2"/>
    <row r="6725" hidden="1" x14ac:dyDescent="0.2"/>
    <row r="6726" hidden="1" x14ac:dyDescent="0.2"/>
    <row r="6727" hidden="1" x14ac:dyDescent="0.2"/>
    <row r="6728" hidden="1" x14ac:dyDescent="0.2"/>
    <row r="6729" hidden="1" x14ac:dyDescent="0.2"/>
    <row r="6730" hidden="1" x14ac:dyDescent="0.2"/>
    <row r="6731" hidden="1" x14ac:dyDescent="0.2"/>
    <row r="6732" hidden="1" x14ac:dyDescent="0.2"/>
    <row r="6733" hidden="1" x14ac:dyDescent="0.2"/>
    <row r="6734" hidden="1" x14ac:dyDescent="0.2"/>
    <row r="6735" hidden="1" x14ac:dyDescent="0.2"/>
    <row r="6736" hidden="1" x14ac:dyDescent="0.2"/>
    <row r="6737" hidden="1" x14ac:dyDescent="0.2"/>
    <row r="6738" hidden="1" x14ac:dyDescent="0.2"/>
    <row r="6739" hidden="1" x14ac:dyDescent="0.2"/>
    <row r="6740" hidden="1" x14ac:dyDescent="0.2"/>
    <row r="6741" hidden="1" x14ac:dyDescent="0.2"/>
    <row r="6742" hidden="1" x14ac:dyDescent="0.2"/>
    <row r="6743" hidden="1" x14ac:dyDescent="0.2"/>
    <row r="6744" hidden="1" x14ac:dyDescent="0.2"/>
    <row r="6745" hidden="1" x14ac:dyDescent="0.2"/>
    <row r="6746" hidden="1" x14ac:dyDescent="0.2"/>
    <row r="6747" hidden="1" x14ac:dyDescent="0.2"/>
    <row r="6748" hidden="1" x14ac:dyDescent="0.2"/>
    <row r="6749" hidden="1" x14ac:dyDescent="0.2"/>
    <row r="6750" hidden="1" x14ac:dyDescent="0.2"/>
    <row r="6751" hidden="1" x14ac:dyDescent="0.2"/>
    <row r="6752" hidden="1" x14ac:dyDescent="0.2"/>
    <row r="6753" hidden="1" x14ac:dyDescent="0.2"/>
    <row r="6754" hidden="1" x14ac:dyDescent="0.2"/>
    <row r="6755" hidden="1" x14ac:dyDescent="0.2"/>
    <row r="6756" hidden="1" x14ac:dyDescent="0.2"/>
    <row r="6757" hidden="1" x14ac:dyDescent="0.2"/>
    <row r="6758" hidden="1" x14ac:dyDescent="0.2"/>
    <row r="6759" hidden="1" x14ac:dyDescent="0.2"/>
    <row r="6760" hidden="1" x14ac:dyDescent="0.2"/>
    <row r="6761" hidden="1" x14ac:dyDescent="0.2"/>
    <row r="6762" hidden="1" x14ac:dyDescent="0.2"/>
    <row r="6763" hidden="1" x14ac:dyDescent="0.2"/>
    <row r="6764" hidden="1" x14ac:dyDescent="0.2"/>
    <row r="6765" hidden="1" x14ac:dyDescent="0.2"/>
    <row r="6766" hidden="1" x14ac:dyDescent="0.2"/>
    <row r="6767" hidden="1" x14ac:dyDescent="0.2"/>
    <row r="6768" hidden="1" x14ac:dyDescent="0.2"/>
    <row r="6769" hidden="1" x14ac:dyDescent="0.2"/>
    <row r="6770" hidden="1" x14ac:dyDescent="0.2"/>
    <row r="6771" hidden="1" x14ac:dyDescent="0.2"/>
    <row r="6772" hidden="1" x14ac:dyDescent="0.2"/>
    <row r="6773" hidden="1" x14ac:dyDescent="0.2"/>
    <row r="6774" hidden="1" x14ac:dyDescent="0.2"/>
    <row r="6775" hidden="1" x14ac:dyDescent="0.2"/>
    <row r="6776" hidden="1" x14ac:dyDescent="0.2"/>
    <row r="6777" hidden="1" x14ac:dyDescent="0.2"/>
    <row r="6778" hidden="1" x14ac:dyDescent="0.2"/>
    <row r="6779" hidden="1" x14ac:dyDescent="0.2"/>
    <row r="6780" hidden="1" x14ac:dyDescent="0.2"/>
    <row r="6781" hidden="1" x14ac:dyDescent="0.2"/>
    <row r="6782" hidden="1" x14ac:dyDescent="0.2"/>
    <row r="6783" hidden="1" x14ac:dyDescent="0.2"/>
    <row r="6784" hidden="1" x14ac:dyDescent="0.2"/>
    <row r="6785" hidden="1" x14ac:dyDescent="0.2"/>
    <row r="6786" hidden="1" x14ac:dyDescent="0.2"/>
    <row r="6787" hidden="1" x14ac:dyDescent="0.2"/>
    <row r="6788" hidden="1" x14ac:dyDescent="0.2"/>
    <row r="6789" hidden="1" x14ac:dyDescent="0.2"/>
    <row r="6790" hidden="1" x14ac:dyDescent="0.2"/>
    <row r="6791" hidden="1" x14ac:dyDescent="0.2"/>
    <row r="6792" hidden="1" x14ac:dyDescent="0.2"/>
    <row r="6793" hidden="1" x14ac:dyDescent="0.2"/>
    <row r="6794" hidden="1" x14ac:dyDescent="0.2"/>
    <row r="6795" hidden="1" x14ac:dyDescent="0.2"/>
    <row r="6796" hidden="1" x14ac:dyDescent="0.2"/>
    <row r="6797" hidden="1" x14ac:dyDescent="0.2"/>
    <row r="6798" hidden="1" x14ac:dyDescent="0.2"/>
    <row r="6799" hidden="1" x14ac:dyDescent="0.2"/>
    <row r="6800" hidden="1" x14ac:dyDescent="0.2"/>
    <row r="6801" hidden="1" x14ac:dyDescent="0.2"/>
    <row r="6802" hidden="1" x14ac:dyDescent="0.2"/>
    <row r="6803" hidden="1" x14ac:dyDescent="0.2"/>
    <row r="6804" hidden="1" x14ac:dyDescent="0.2"/>
    <row r="6805" hidden="1" x14ac:dyDescent="0.2"/>
    <row r="6806" hidden="1" x14ac:dyDescent="0.2"/>
    <row r="6807" hidden="1" x14ac:dyDescent="0.2"/>
    <row r="6808" hidden="1" x14ac:dyDescent="0.2"/>
    <row r="6809" hidden="1" x14ac:dyDescent="0.2"/>
    <row r="6810" hidden="1" x14ac:dyDescent="0.2"/>
    <row r="6811" hidden="1" x14ac:dyDescent="0.2"/>
    <row r="6812" hidden="1" x14ac:dyDescent="0.2"/>
    <row r="6813" hidden="1" x14ac:dyDescent="0.2"/>
    <row r="6814" hidden="1" x14ac:dyDescent="0.2"/>
    <row r="6815" hidden="1" x14ac:dyDescent="0.2"/>
    <row r="6816" hidden="1" x14ac:dyDescent="0.2"/>
    <row r="6817" hidden="1" x14ac:dyDescent="0.2"/>
    <row r="6818" hidden="1" x14ac:dyDescent="0.2"/>
    <row r="6819" hidden="1" x14ac:dyDescent="0.2"/>
    <row r="6820" hidden="1" x14ac:dyDescent="0.2"/>
    <row r="6821" hidden="1" x14ac:dyDescent="0.2"/>
    <row r="6822" hidden="1" x14ac:dyDescent="0.2"/>
    <row r="6823" hidden="1" x14ac:dyDescent="0.2"/>
    <row r="6824" hidden="1" x14ac:dyDescent="0.2"/>
    <row r="6825" hidden="1" x14ac:dyDescent="0.2"/>
    <row r="6826" hidden="1" x14ac:dyDescent="0.2"/>
    <row r="6827" hidden="1" x14ac:dyDescent="0.2"/>
    <row r="6828" hidden="1" x14ac:dyDescent="0.2"/>
    <row r="6829" hidden="1" x14ac:dyDescent="0.2"/>
    <row r="6830" hidden="1" x14ac:dyDescent="0.2"/>
    <row r="6831" hidden="1" x14ac:dyDescent="0.2"/>
    <row r="6832" hidden="1" x14ac:dyDescent="0.2"/>
    <row r="6833" hidden="1" x14ac:dyDescent="0.2"/>
    <row r="6834" hidden="1" x14ac:dyDescent="0.2"/>
    <row r="6835" hidden="1" x14ac:dyDescent="0.2"/>
    <row r="6836" hidden="1" x14ac:dyDescent="0.2"/>
    <row r="6837" hidden="1" x14ac:dyDescent="0.2"/>
    <row r="6838" hidden="1" x14ac:dyDescent="0.2"/>
    <row r="6839" hidden="1" x14ac:dyDescent="0.2"/>
    <row r="6840" hidden="1" x14ac:dyDescent="0.2"/>
    <row r="6841" hidden="1" x14ac:dyDescent="0.2"/>
    <row r="6842" hidden="1" x14ac:dyDescent="0.2"/>
    <row r="6843" hidden="1" x14ac:dyDescent="0.2"/>
    <row r="6844" hidden="1" x14ac:dyDescent="0.2"/>
    <row r="6845" hidden="1" x14ac:dyDescent="0.2"/>
    <row r="6846" hidden="1" x14ac:dyDescent="0.2"/>
    <row r="6847" hidden="1" x14ac:dyDescent="0.2"/>
    <row r="6848" hidden="1" x14ac:dyDescent="0.2"/>
    <row r="6849" hidden="1" x14ac:dyDescent="0.2"/>
    <row r="6850" hidden="1" x14ac:dyDescent="0.2"/>
    <row r="6851" hidden="1" x14ac:dyDescent="0.2"/>
    <row r="6852" hidden="1" x14ac:dyDescent="0.2"/>
    <row r="6853" hidden="1" x14ac:dyDescent="0.2"/>
    <row r="6854" hidden="1" x14ac:dyDescent="0.2"/>
    <row r="6855" hidden="1" x14ac:dyDescent="0.2"/>
    <row r="6856" hidden="1" x14ac:dyDescent="0.2"/>
    <row r="6857" hidden="1" x14ac:dyDescent="0.2"/>
    <row r="6858" hidden="1" x14ac:dyDescent="0.2"/>
    <row r="6859" hidden="1" x14ac:dyDescent="0.2"/>
    <row r="6860" hidden="1" x14ac:dyDescent="0.2"/>
    <row r="6861" hidden="1" x14ac:dyDescent="0.2"/>
    <row r="6862" hidden="1" x14ac:dyDescent="0.2"/>
    <row r="6863" hidden="1" x14ac:dyDescent="0.2"/>
    <row r="6864" hidden="1" x14ac:dyDescent="0.2"/>
    <row r="6865" hidden="1" x14ac:dyDescent="0.2"/>
    <row r="6866" hidden="1" x14ac:dyDescent="0.2"/>
    <row r="6867" hidden="1" x14ac:dyDescent="0.2"/>
    <row r="6868" hidden="1" x14ac:dyDescent="0.2"/>
    <row r="6869" hidden="1" x14ac:dyDescent="0.2"/>
    <row r="6870" hidden="1" x14ac:dyDescent="0.2"/>
    <row r="6871" hidden="1" x14ac:dyDescent="0.2"/>
    <row r="6872" hidden="1" x14ac:dyDescent="0.2"/>
    <row r="6873" hidden="1" x14ac:dyDescent="0.2"/>
    <row r="6874" hidden="1" x14ac:dyDescent="0.2"/>
    <row r="6875" hidden="1" x14ac:dyDescent="0.2"/>
    <row r="6876" hidden="1" x14ac:dyDescent="0.2"/>
    <row r="6877" hidden="1" x14ac:dyDescent="0.2"/>
    <row r="6878" hidden="1" x14ac:dyDescent="0.2"/>
    <row r="6879" hidden="1" x14ac:dyDescent="0.2"/>
    <row r="6880" hidden="1" x14ac:dyDescent="0.2"/>
    <row r="6881" hidden="1" x14ac:dyDescent="0.2"/>
    <row r="6882" hidden="1" x14ac:dyDescent="0.2"/>
    <row r="6883" hidden="1" x14ac:dyDescent="0.2"/>
    <row r="6884" hidden="1" x14ac:dyDescent="0.2"/>
    <row r="6885" hidden="1" x14ac:dyDescent="0.2"/>
    <row r="6886" hidden="1" x14ac:dyDescent="0.2"/>
    <row r="6887" hidden="1" x14ac:dyDescent="0.2"/>
    <row r="6888" hidden="1" x14ac:dyDescent="0.2"/>
    <row r="6889" hidden="1" x14ac:dyDescent="0.2"/>
    <row r="6890" hidden="1" x14ac:dyDescent="0.2"/>
    <row r="6891" hidden="1" x14ac:dyDescent="0.2"/>
    <row r="6892" hidden="1" x14ac:dyDescent="0.2"/>
    <row r="6893" hidden="1" x14ac:dyDescent="0.2"/>
    <row r="6894" hidden="1" x14ac:dyDescent="0.2"/>
    <row r="6895" hidden="1" x14ac:dyDescent="0.2"/>
    <row r="6896" hidden="1" x14ac:dyDescent="0.2"/>
    <row r="6897" hidden="1" x14ac:dyDescent="0.2"/>
    <row r="6898" hidden="1" x14ac:dyDescent="0.2"/>
    <row r="6899" hidden="1" x14ac:dyDescent="0.2"/>
    <row r="6900" hidden="1" x14ac:dyDescent="0.2"/>
    <row r="6901" hidden="1" x14ac:dyDescent="0.2"/>
    <row r="6902" hidden="1" x14ac:dyDescent="0.2"/>
    <row r="6903" hidden="1" x14ac:dyDescent="0.2"/>
    <row r="6904" hidden="1" x14ac:dyDescent="0.2"/>
    <row r="6905" hidden="1" x14ac:dyDescent="0.2"/>
    <row r="6906" hidden="1" x14ac:dyDescent="0.2"/>
    <row r="6907" hidden="1" x14ac:dyDescent="0.2"/>
    <row r="6908" hidden="1" x14ac:dyDescent="0.2"/>
    <row r="6909" hidden="1" x14ac:dyDescent="0.2"/>
    <row r="6910" hidden="1" x14ac:dyDescent="0.2"/>
    <row r="6911" hidden="1" x14ac:dyDescent="0.2"/>
    <row r="6912" hidden="1" x14ac:dyDescent="0.2"/>
    <row r="6913" hidden="1" x14ac:dyDescent="0.2"/>
    <row r="6914" hidden="1" x14ac:dyDescent="0.2"/>
    <row r="6915" hidden="1" x14ac:dyDescent="0.2"/>
    <row r="6916" hidden="1" x14ac:dyDescent="0.2"/>
    <row r="6917" hidden="1" x14ac:dyDescent="0.2"/>
    <row r="6918" hidden="1" x14ac:dyDescent="0.2"/>
    <row r="6919" hidden="1" x14ac:dyDescent="0.2"/>
    <row r="6920" hidden="1" x14ac:dyDescent="0.2"/>
    <row r="6921" hidden="1" x14ac:dyDescent="0.2"/>
    <row r="6922" hidden="1" x14ac:dyDescent="0.2"/>
    <row r="6923" hidden="1" x14ac:dyDescent="0.2"/>
    <row r="6924" hidden="1" x14ac:dyDescent="0.2"/>
    <row r="6925" hidden="1" x14ac:dyDescent="0.2"/>
    <row r="6926" hidden="1" x14ac:dyDescent="0.2"/>
    <row r="6927" hidden="1" x14ac:dyDescent="0.2"/>
    <row r="6928" hidden="1" x14ac:dyDescent="0.2"/>
    <row r="6929" hidden="1" x14ac:dyDescent="0.2"/>
    <row r="6930" hidden="1" x14ac:dyDescent="0.2"/>
    <row r="6931" hidden="1" x14ac:dyDescent="0.2"/>
    <row r="6932" hidden="1" x14ac:dyDescent="0.2"/>
    <row r="6933" hidden="1" x14ac:dyDescent="0.2"/>
    <row r="6934" hidden="1" x14ac:dyDescent="0.2"/>
    <row r="6935" hidden="1" x14ac:dyDescent="0.2"/>
    <row r="6936" hidden="1" x14ac:dyDescent="0.2"/>
    <row r="6937" hidden="1" x14ac:dyDescent="0.2"/>
    <row r="6938" hidden="1" x14ac:dyDescent="0.2"/>
    <row r="6939" hidden="1" x14ac:dyDescent="0.2"/>
    <row r="6940" hidden="1" x14ac:dyDescent="0.2"/>
    <row r="6941" hidden="1" x14ac:dyDescent="0.2"/>
    <row r="6942" hidden="1" x14ac:dyDescent="0.2"/>
    <row r="6943" hidden="1" x14ac:dyDescent="0.2"/>
    <row r="6944" hidden="1" x14ac:dyDescent="0.2"/>
    <row r="6945" hidden="1" x14ac:dyDescent="0.2"/>
    <row r="6946" hidden="1" x14ac:dyDescent="0.2"/>
    <row r="6947" hidden="1" x14ac:dyDescent="0.2"/>
    <row r="6948" hidden="1" x14ac:dyDescent="0.2"/>
    <row r="6949" hidden="1" x14ac:dyDescent="0.2"/>
    <row r="6950" hidden="1" x14ac:dyDescent="0.2"/>
    <row r="6951" hidden="1" x14ac:dyDescent="0.2"/>
    <row r="6952" hidden="1" x14ac:dyDescent="0.2"/>
    <row r="6953" hidden="1" x14ac:dyDescent="0.2"/>
    <row r="6954" hidden="1" x14ac:dyDescent="0.2"/>
    <row r="6955" hidden="1" x14ac:dyDescent="0.2"/>
    <row r="6956" hidden="1" x14ac:dyDescent="0.2"/>
    <row r="6957" hidden="1" x14ac:dyDescent="0.2"/>
    <row r="6958" hidden="1" x14ac:dyDescent="0.2"/>
    <row r="6959" hidden="1" x14ac:dyDescent="0.2"/>
    <row r="6960" hidden="1" x14ac:dyDescent="0.2"/>
    <row r="6961" hidden="1" x14ac:dyDescent="0.2"/>
    <row r="6962" hidden="1" x14ac:dyDescent="0.2"/>
    <row r="6963" hidden="1" x14ac:dyDescent="0.2"/>
    <row r="6964" hidden="1" x14ac:dyDescent="0.2"/>
    <row r="6965" hidden="1" x14ac:dyDescent="0.2"/>
    <row r="6966" hidden="1" x14ac:dyDescent="0.2"/>
    <row r="6967" hidden="1" x14ac:dyDescent="0.2"/>
    <row r="6968" hidden="1" x14ac:dyDescent="0.2"/>
    <row r="6969" hidden="1" x14ac:dyDescent="0.2"/>
    <row r="6970" hidden="1" x14ac:dyDescent="0.2"/>
    <row r="6971" hidden="1" x14ac:dyDescent="0.2"/>
    <row r="6972" hidden="1" x14ac:dyDescent="0.2"/>
    <row r="6973" hidden="1" x14ac:dyDescent="0.2"/>
    <row r="6974" hidden="1" x14ac:dyDescent="0.2"/>
    <row r="6975" hidden="1" x14ac:dyDescent="0.2"/>
    <row r="6976" hidden="1" x14ac:dyDescent="0.2"/>
    <row r="6977" hidden="1" x14ac:dyDescent="0.2"/>
    <row r="6978" hidden="1" x14ac:dyDescent="0.2"/>
    <row r="6979" hidden="1" x14ac:dyDescent="0.2"/>
    <row r="6980" hidden="1" x14ac:dyDescent="0.2"/>
    <row r="6981" hidden="1" x14ac:dyDescent="0.2"/>
    <row r="6982" hidden="1" x14ac:dyDescent="0.2"/>
    <row r="6983" hidden="1" x14ac:dyDescent="0.2"/>
    <row r="6984" hidden="1" x14ac:dyDescent="0.2"/>
    <row r="6985" hidden="1" x14ac:dyDescent="0.2"/>
    <row r="6986" hidden="1" x14ac:dyDescent="0.2"/>
    <row r="6987" hidden="1" x14ac:dyDescent="0.2"/>
    <row r="6988" hidden="1" x14ac:dyDescent="0.2"/>
    <row r="6989" hidden="1" x14ac:dyDescent="0.2"/>
    <row r="6990" hidden="1" x14ac:dyDescent="0.2"/>
    <row r="6991" hidden="1" x14ac:dyDescent="0.2"/>
    <row r="6992" hidden="1" x14ac:dyDescent="0.2"/>
    <row r="6993" hidden="1" x14ac:dyDescent="0.2"/>
    <row r="6994" hidden="1" x14ac:dyDescent="0.2"/>
    <row r="6995" hidden="1" x14ac:dyDescent="0.2"/>
    <row r="6996" hidden="1" x14ac:dyDescent="0.2"/>
    <row r="6997" hidden="1" x14ac:dyDescent="0.2"/>
    <row r="6998" hidden="1" x14ac:dyDescent="0.2"/>
    <row r="6999" hidden="1" x14ac:dyDescent="0.2"/>
    <row r="7000" hidden="1" x14ac:dyDescent="0.2"/>
    <row r="7001" hidden="1" x14ac:dyDescent="0.2"/>
    <row r="7002" hidden="1" x14ac:dyDescent="0.2"/>
    <row r="7003" hidden="1" x14ac:dyDescent="0.2"/>
    <row r="7004" hidden="1" x14ac:dyDescent="0.2"/>
    <row r="7005" hidden="1" x14ac:dyDescent="0.2"/>
    <row r="7006" hidden="1" x14ac:dyDescent="0.2"/>
    <row r="7007" hidden="1" x14ac:dyDescent="0.2"/>
    <row r="7008" hidden="1" x14ac:dyDescent="0.2"/>
    <row r="7009" hidden="1" x14ac:dyDescent="0.2"/>
    <row r="7010" hidden="1" x14ac:dyDescent="0.2"/>
    <row r="7011" hidden="1" x14ac:dyDescent="0.2"/>
    <row r="7012" hidden="1" x14ac:dyDescent="0.2"/>
    <row r="7013" hidden="1" x14ac:dyDescent="0.2"/>
    <row r="7014" hidden="1" x14ac:dyDescent="0.2"/>
    <row r="7015" hidden="1" x14ac:dyDescent="0.2"/>
    <row r="7016" hidden="1" x14ac:dyDescent="0.2"/>
    <row r="7017" hidden="1" x14ac:dyDescent="0.2"/>
    <row r="7018" hidden="1" x14ac:dyDescent="0.2"/>
    <row r="7019" hidden="1" x14ac:dyDescent="0.2"/>
    <row r="7020" hidden="1" x14ac:dyDescent="0.2"/>
    <row r="7021" hidden="1" x14ac:dyDescent="0.2"/>
    <row r="7022" hidden="1" x14ac:dyDescent="0.2"/>
    <row r="7023" hidden="1" x14ac:dyDescent="0.2"/>
    <row r="7024" hidden="1" x14ac:dyDescent="0.2"/>
    <row r="7025" hidden="1" x14ac:dyDescent="0.2"/>
    <row r="7026" hidden="1" x14ac:dyDescent="0.2"/>
    <row r="7027" hidden="1" x14ac:dyDescent="0.2"/>
    <row r="7028" hidden="1" x14ac:dyDescent="0.2"/>
    <row r="7029" hidden="1" x14ac:dyDescent="0.2"/>
    <row r="7030" hidden="1" x14ac:dyDescent="0.2"/>
    <row r="7031" hidden="1" x14ac:dyDescent="0.2"/>
    <row r="7032" hidden="1" x14ac:dyDescent="0.2"/>
    <row r="7033" hidden="1" x14ac:dyDescent="0.2"/>
    <row r="7034" hidden="1" x14ac:dyDescent="0.2"/>
    <row r="7035" hidden="1" x14ac:dyDescent="0.2"/>
    <row r="7036" hidden="1" x14ac:dyDescent="0.2"/>
    <row r="7037" hidden="1" x14ac:dyDescent="0.2"/>
    <row r="7038" hidden="1" x14ac:dyDescent="0.2"/>
    <row r="7039" hidden="1" x14ac:dyDescent="0.2"/>
    <row r="7040" hidden="1" x14ac:dyDescent="0.2"/>
    <row r="7041" hidden="1" x14ac:dyDescent="0.2"/>
    <row r="7042" hidden="1" x14ac:dyDescent="0.2"/>
    <row r="7043" hidden="1" x14ac:dyDescent="0.2"/>
    <row r="7044" hidden="1" x14ac:dyDescent="0.2"/>
    <row r="7045" hidden="1" x14ac:dyDescent="0.2"/>
    <row r="7046" hidden="1" x14ac:dyDescent="0.2"/>
    <row r="7047" hidden="1" x14ac:dyDescent="0.2"/>
    <row r="7048" hidden="1" x14ac:dyDescent="0.2"/>
    <row r="7049" hidden="1" x14ac:dyDescent="0.2"/>
    <row r="7050" hidden="1" x14ac:dyDescent="0.2"/>
    <row r="7051" hidden="1" x14ac:dyDescent="0.2"/>
    <row r="7052" hidden="1" x14ac:dyDescent="0.2"/>
    <row r="7053" hidden="1" x14ac:dyDescent="0.2"/>
    <row r="7054" hidden="1" x14ac:dyDescent="0.2"/>
    <row r="7055" hidden="1" x14ac:dyDescent="0.2"/>
    <row r="7056" hidden="1" x14ac:dyDescent="0.2"/>
    <row r="7057" hidden="1" x14ac:dyDescent="0.2"/>
    <row r="7058" hidden="1" x14ac:dyDescent="0.2"/>
    <row r="7059" hidden="1" x14ac:dyDescent="0.2"/>
    <row r="7060" hidden="1" x14ac:dyDescent="0.2"/>
    <row r="7061" hidden="1" x14ac:dyDescent="0.2"/>
    <row r="7062" hidden="1" x14ac:dyDescent="0.2"/>
    <row r="7063" hidden="1" x14ac:dyDescent="0.2"/>
    <row r="7064" hidden="1" x14ac:dyDescent="0.2"/>
    <row r="7065" hidden="1" x14ac:dyDescent="0.2"/>
    <row r="7066" hidden="1" x14ac:dyDescent="0.2"/>
    <row r="7067" hidden="1" x14ac:dyDescent="0.2"/>
    <row r="7068" hidden="1" x14ac:dyDescent="0.2"/>
    <row r="7069" hidden="1" x14ac:dyDescent="0.2"/>
    <row r="7070" hidden="1" x14ac:dyDescent="0.2"/>
    <row r="7071" hidden="1" x14ac:dyDescent="0.2"/>
    <row r="7072" hidden="1" x14ac:dyDescent="0.2"/>
    <row r="7073" hidden="1" x14ac:dyDescent="0.2"/>
    <row r="7074" hidden="1" x14ac:dyDescent="0.2"/>
    <row r="7075" hidden="1" x14ac:dyDescent="0.2"/>
    <row r="7076" hidden="1" x14ac:dyDescent="0.2"/>
    <row r="7077" hidden="1" x14ac:dyDescent="0.2"/>
    <row r="7078" hidden="1" x14ac:dyDescent="0.2"/>
    <row r="7079" hidden="1" x14ac:dyDescent="0.2"/>
    <row r="7080" hidden="1" x14ac:dyDescent="0.2"/>
    <row r="7081" hidden="1" x14ac:dyDescent="0.2"/>
    <row r="7082" hidden="1" x14ac:dyDescent="0.2"/>
    <row r="7083" hidden="1" x14ac:dyDescent="0.2"/>
    <row r="7084" hidden="1" x14ac:dyDescent="0.2"/>
    <row r="7085" hidden="1" x14ac:dyDescent="0.2"/>
    <row r="7086" hidden="1" x14ac:dyDescent="0.2"/>
    <row r="7087" hidden="1" x14ac:dyDescent="0.2"/>
    <row r="7088" hidden="1" x14ac:dyDescent="0.2"/>
    <row r="7089" hidden="1" x14ac:dyDescent="0.2"/>
    <row r="7090" hidden="1" x14ac:dyDescent="0.2"/>
    <row r="7091" hidden="1" x14ac:dyDescent="0.2"/>
    <row r="7092" hidden="1" x14ac:dyDescent="0.2"/>
    <row r="7093" hidden="1" x14ac:dyDescent="0.2"/>
    <row r="7094" hidden="1" x14ac:dyDescent="0.2"/>
    <row r="7095" hidden="1" x14ac:dyDescent="0.2"/>
    <row r="7096" hidden="1" x14ac:dyDescent="0.2"/>
    <row r="7097" hidden="1" x14ac:dyDescent="0.2"/>
    <row r="7098" hidden="1" x14ac:dyDescent="0.2"/>
    <row r="7099" hidden="1" x14ac:dyDescent="0.2"/>
    <row r="7100" hidden="1" x14ac:dyDescent="0.2"/>
    <row r="7101" hidden="1" x14ac:dyDescent="0.2"/>
    <row r="7102" hidden="1" x14ac:dyDescent="0.2"/>
    <row r="7103" hidden="1" x14ac:dyDescent="0.2"/>
    <row r="7104" hidden="1" x14ac:dyDescent="0.2"/>
    <row r="7105" hidden="1" x14ac:dyDescent="0.2"/>
    <row r="7106" hidden="1" x14ac:dyDescent="0.2"/>
    <row r="7107" hidden="1" x14ac:dyDescent="0.2"/>
    <row r="7108" hidden="1" x14ac:dyDescent="0.2"/>
    <row r="7109" hidden="1" x14ac:dyDescent="0.2"/>
    <row r="7110" hidden="1" x14ac:dyDescent="0.2"/>
    <row r="7111" hidden="1" x14ac:dyDescent="0.2"/>
    <row r="7112" hidden="1" x14ac:dyDescent="0.2"/>
    <row r="7113" hidden="1" x14ac:dyDescent="0.2"/>
    <row r="7114" hidden="1" x14ac:dyDescent="0.2"/>
    <row r="7115" hidden="1" x14ac:dyDescent="0.2"/>
    <row r="7116" hidden="1" x14ac:dyDescent="0.2"/>
    <row r="7117" hidden="1" x14ac:dyDescent="0.2"/>
    <row r="7118" hidden="1" x14ac:dyDescent="0.2"/>
    <row r="7119" hidden="1" x14ac:dyDescent="0.2"/>
    <row r="7120" hidden="1" x14ac:dyDescent="0.2"/>
    <row r="7121" hidden="1" x14ac:dyDescent="0.2"/>
    <row r="7122" hidden="1" x14ac:dyDescent="0.2"/>
    <row r="7123" hidden="1" x14ac:dyDescent="0.2"/>
    <row r="7124" hidden="1" x14ac:dyDescent="0.2"/>
    <row r="7125" hidden="1" x14ac:dyDescent="0.2"/>
    <row r="7126" hidden="1" x14ac:dyDescent="0.2"/>
    <row r="7127" hidden="1" x14ac:dyDescent="0.2"/>
    <row r="7128" hidden="1" x14ac:dyDescent="0.2"/>
    <row r="7129" hidden="1" x14ac:dyDescent="0.2"/>
    <row r="7130" hidden="1" x14ac:dyDescent="0.2"/>
    <row r="7131" hidden="1" x14ac:dyDescent="0.2"/>
    <row r="7132" hidden="1" x14ac:dyDescent="0.2"/>
    <row r="7133" hidden="1" x14ac:dyDescent="0.2"/>
    <row r="7134" hidden="1" x14ac:dyDescent="0.2"/>
    <row r="7135" hidden="1" x14ac:dyDescent="0.2"/>
    <row r="7136" hidden="1" x14ac:dyDescent="0.2"/>
    <row r="7137" hidden="1" x14ac:dyDescent="0.2"/>
    <row r="7138" hidden="1" x14ac:dyDescent="0.2"/>
    <row r="7139" hidden="1" x14ac:dyDescent="0.2"/>
    <row r="7140" hidden="1" x14ac:dyDescent="0.2"/>
    <row r="7141" hidden="1" x14ac:dyDescent="0.2"/>
    <row r="7142" hidden="1" x14ac:dyDescent="0.2"/>
    <row r="7143" hidden="1" x14ac:dyDescent="0.2"/>
    <row r="7144" hidden="1" x14ac:dyDescent="0.2"/>
    <row r="7145" hidden="1" x14ac:dyDescent="0.2"/>
    <row r="7146" hidden="1" x14ac:dyDescent="0.2"/>
    <row r="7147" hidden="1" x14ac:dyDescent="0.2"/>
    <row r="7148" hidden="1" x14ac:dyDescent="0.2"/>
    <row r="7149" hidden="1" x14ac:dyDescent="0.2"/>
    <row r="7150" hidden="1" x14ac:dyDescent="0.2"/>
    <row r="7151" hidden="1" x14ac:dyDescent="0.2"/>
    <row r="7152" hidden="1" x14ac:dyDescent="0.2"/>
    <row r="7153" hidden="1" x14ac:dyDescent="0.2"/>
    <row r="7154" hidden="1" x14ac:dyDescent="0.2"/>
    <row r="7155" hidden="1" x14ac:dyDescent="0.2"/>
    <row r="7156" hidden="1" x14ac:dyDescent="0.2"/>
    <row r="7157" hidden="1" x14ac:dyDescent="0.2"/>
    <row r="7158" hidden="1" x14ac:dyDescent="0.2"/>
    <row r="7159" hidden="1" x14ac:dyDescent="0.2"/>
    <row r="7160" hidden="1" x14ac:dyDescent="0.2"/>
    <row r="7161" hidden="1" x14ac:dyDescent="0.2"/>
    <row r="7162" hidden="1" x14ac:dyDescent="0.2"/>
    <row r="7163" hidden="1" x14ac:dyDescent="0.2"/>
    <row r="7164" hidden="1" x14ac:dyDescent="0.2"/>
    <row r="7165" hidden="1" x14ac:dyDescent="0.2"/>
    <row r="7166" hidden="1" x14ac:dyDescent="0.2"/>
    <row r="7167" hidden="1" x14ac:dyDescent="0.2"/>
    <row r="7168" hidden="1" x14ac:dyDescent="0.2"/>
    <row r="7169" hidden="1" x14ac:dyDescent="0.2"/>
    <row r="7170" hidden="1" x14ac:dyDescent="0.2"/>
    <row r="7171" hidden="1" x14ac:dyDescent="0.2"/>
    <row r="7172" hidden="1" x14ac:dyDescent="0.2"/>
    <row r="7173" hidden="1" x14ac:dyDescent="0.2"/>
    <row r="7174" hidden="1" x14ac:dyDescent="0.2"/>
    <row r="7175" hidden="1" x14ac:dyDescent="0.2"/>
    <row r="7176" hidden="1" x14ac:dyDescent="0.2"/>
    <row r="7177" hidden="1" x14ac:dyDescent="0.2"/>
    <row r="7178" hidden="1" x14ac:dyDescent="0.2"/>
    <row r="7179" hidden="1" x14ac:dyDescent="0.2"/>
    <row r="7180" hidden="1" x14ac:dyDescent="0.2"/>
    <row r="7181" hidden="1" x14ac:dyDescent="0.2"/>
    <row r="7182" hidden="1" x14ac:dyDescent="0.2"/>
    <row r="7183" hidden="1" x14ac:dyDescent="0.2"/>
    <row r="7184" hidden="1" x14ac:dyDescent="0.2"/>
    <row r="7185" hidden="1" x14ac:dyDescent="0.2"/>
    <row r="7186" hidden="1" x14ac:dyDescent="0.2"/>
    <row r="7187" hidden="1" x14ac:dyDescent="0.2"/>
    <row r="7188" hidden="1" x14ac:dyDescent="0.2"/>
    <row r="7189" hidden="1" x14ac:dyDescent="0.2"/>
    <row r="7190" hidden="1" x14ac:dyDescent="0.2"/>
    <row r="7191" hidden="1" x14ac:dyDescent="0.2"/>
    <row r="7192" hidden="1" x14ac:dyDescent="0.2"/>
    <row r="7193" hidden="1" x14ac:dyDescent="0.2"/>
    <row r="7194" hidden="1" x14ac:dyDescent="0.2"/>
    <row r="7195" hidden="1" x14ac:dyDescent="0.2"/>
    <row r="7196" hidden="1" x14ac:dyDescent="0.2"/>
    <row r="7197" hidden="1" x14ac:dyDescent="0.2"/>
    <row r="7198" hidden="1" x14ac:dyDescent="0.2"/>
    <row r="7199" hidden="1" x14ac:dyDescent="0.2"/>
    <row r="7200" hidden="1" x14ac:dyDescent="0.2"/>
    <row r="7201" hidden="1" x14ac:dyDescent="0.2"/>
    <row r="7202" hidden="1" x14ac:dyDescent="0.2"/>
    <row r="7203" hidden="1" x14ac:dyDescent="0.2"/>
    <row r="7204" hidden="1" x14ac:dyDescent="0.2"/>
    <row r="7205" hidden="1" x14ac:dyDescent="0.2"/>
    <row r="7206" hidden="1" x14ac:dyDescent="0.2"/>
    <row r="7207" hidden="1" x14ac:dyDescent="0.2"/>
    <row r="7208" hidden="1" x14ac:dyDescent="0.2"/>
    <row r="7209" hidden="1" x14ac:dyDescent="0.2"/>
    <row r="7210" hidden="1" x14ac:dyDescent="0.2"/>
    <row r="7211" hidden="1" x14ac:dyDescent="0.2"/>
    <row r="7212" hidden="1" x14ac:dyDescent="0.2"/>
    <row r="7213" hidden="1" x14ac:dyDescent="0.2"/>
    <row r="7214" hidden="1" x14ac:dyDescent="0.2"/>
    <row r="7215" hidden="1" x14ac:dyDescent="0.2"/>
    <row r="7216" hidden="1" x14ac:dyDescent="0.2"/>
    <row r="7217" hidden="1" x14ac:dyDescent="0.2"/>
    <row r="7218" hidden="1" x14ac:dyDescent="0.2"/>
    <row r="7219" hidden="1" x14ac:dyDescent="0.2"/>
    <row r="7220" hidden="1" x14ac:dyDescent="0.2"/>
    <row r="7221" hidden="1" x14ac:dyDescent="0.2"/>
    <row r="7222" hidden="1" x14ac:dyDescent="0.2"/>
    <row r="7223" hidden="1" x14ac:dyDescent="0.2"/>
    <row r="7224" hidden="1" x14ac:dyDescent="0.2"/>
    <row r="7225" hidden="1" x14ac:dyDescent="0.2"/>
    <row r="7226" hidden="1" x14ac:dyDescent="0.2"/>
    <row r="7227" hidden="1" x14ac:dyDescent="0.2"/>
    <row r="7228" hidden="1" x14ac:dyDescent="0.2"/>
    <row r="7229" hidden="1" x14ac:dyDescent="0.2"/>
    <row r="7230" hidden="1" x14ac:dyDescent="0.2"/>
    <row r="7231" hidden="1" x14ac:dyDescent="0.2"/>
    <row r="7232" hidden="1" x14ac:dyDescent="0.2"/>
    <row r="7233" hidden="1" x14ac:dyDescent="0.2"/>
    <row r="7234" hidden="1" x14ac:dyDescent="0.2"/>
    <row r="7235" hidden="1" x14ac:dyDescent="0.2"/>
    <row r="7236" hidden="1" x14ac:dyDescent="0.2"/>
    <row r="7237" hidden="1" x14ac:dyDescent="0.2"/>
    <row r="7238" hidden="1" x14ac:dyDescent="0.2"/>
    <row r="7239" hidden="1" x14ac:dyDescent="0.2"/>
    <row r="7240" hidden="1" x14ac:dyDescent="0.2"/>
    <row r="7241" hidden="1" x14ac:dyDescent="0.2"/>
    <row r="7242" hidden="1" x14ac:dyDescent="0.2"/>
    <row r="7243" hidden="1" x14ac:dyDescent="0.2"/>
    <row r="7244" hidden="1" x14ac:dyDescent="0.2"/>
    <row r="7245" hidden="1" x14ac:dyDescent="0.2"/>
    <row r="7246" hidden="1" x14ac:dyDescent="0.2"/>
    <row r="7247" hidden="1" x14ac:dyDescent="0.2"/>
    <row r="7248" hidden="1" x14ac:dyDescent="0.2"/>
    <row r="7249" hidden="1" x14ac:dyDescent="0.2"/>
    <row r="7250" hidden="1" x14ac:dyDescent="0.2"/>
    <row r="7251" hidden="1" x14ac:dyDescent="0.2"/>
    <row r="7252" hidden="1" x14ac:dyDescent="0.2"/>
    <row r="7253" hidden="1" x14ac:dyDescent="0.2"/>
    <row r="7254" hidden="1" x14ac:dyDescent="0.2"/>
    <row r="7255" hidden="1" x14ac:dyDescent="0.2"/>
    <row r="7256" hidden="1" x14ac:dyDescent="0.2"/>
    <row r="7257" hidden="1" x14ac:dyDescent="0.2"/>
    <row r="7258" hidden="1" x14ac:dyDescent="0.2"/>
    <row r="7259" hidden="1" x14ac:dyDescent="0.2"/>
    <row r="7260" hidden="1" x14ac:dyDescent="0.2"/>
    <row r="7261" hidden="1" x14ac:dyDescent="0.2"/>
    <row r="7262" hidden="1" x14ac:dyDescent="0.2"/>
    <row r="7263" hidden="1" x14ac:dyDescent="0.2"/>
    <row r="7264" hidden="1" x14ac:dyDescent="0.2"/>
    <row r="7265" hidden="1" x14ac:dyDescent="0.2"/>
    <row r="7266" hidden="1" x14ac:dyDescent="0.2"/>
    <row r="7267" hidden="1" x14ac:dyDescent="0.2"/>
    <row r="7268" hidden="1" x14ac:dyDescent="0.2"/>
    <row r="7269" hidden="1" x14ac:dyDescent="0.2"/>
    <row r="7270" hidden="1" x14ac:dyDescent="0.2"/>
    <row r="7271" hidden="1" x14ac:dyDescent="0.2"/>
    <row r="7272" hidden="1" x14ac:dyDescent="0.2"/>
    <row r="7273" hidden="1" x14ac:dyDescent="0.2"/>
    <row r="7274" hidden="1" x14ac:dyDescent="0.2"/>
    <row r="7275" hidden="1" x14ac:dyDescent="0.2"/>
    <row r="7276" hidden="1" x14ac:dyDescent="0.2"/>
    <row r="7277" hidden="1" x14ac:dyDescent="0.2"/>
    <row r="7278" hidden="1" x14ac:dyDescent="0.2"/>
    <row r="7279" hidden="1" x14ac:dyDescent="0.2"/>
    <row r="7280" hidden="1" x14ac:dyDescent="0.2"/>
    <row r="7281" hidden="1" x14ac:dyDescent="0.2"/>
    <row r="7282" hidden="1" x14ac:dyDescent="0.2"/>
    <row r="7283" hidden="1" x14ac:dyDescent="0.2"/>
    <row r="7284" hidden="1" x14ac:dyDescent="0.2"/>
    <row r="7285" hidden="1" x14ac:dyDescent="0.2"/>
    <row r="7286" hidden="1" x14ac:dyDescent="0.2"/>
    <row r="7287" hidden="1" x14ac:dyDescent="0.2"/>
    <row r="7288" hidden="1" x14ac:dyDescent="0.2"/>
    <row r="7289" hidden="1" x14ac:dyDescent="0.2"/>
    <row r="7290" hidden="1" x14ac:dyDescent="0.2"/>
    <row r="7291" hidden="1" x14ac:dyDescent="0.2"/>
    <row r="7292" hidden="1" x14ac:dyDescent="0.2"/>
    <row r="7293" hidden="1" x14ac:dyDescent="0.2"/>
    <row r="7294" hidden="1" x14ac:dyDescent="0.2"/>
    <row r="7295" hidden="1" x14ac:dyDescent="0.2"/>
    <row r="7296" hidden="1" x14ac:dyDescent="0.2"/>
    <row r="7297" hidden="1" x14ac:dyDescent="0.2"/>
    <row r="7298" hidden="1" x14ac:dyDescent="0.2"/>
    <row r="7299" hidden="1" x14ac:dyDescent="0.2"/>
    <row r="7300" hidden="1" x14ac:dyDescent="0.2"/>
    <row r="7301" hidden="1" x14ac:dyDescent="0.2"/>
    <row r="7302" hidden="1" x14ac:dyDescent="0.2"/>
    <row r="7303" hidden="1" x14ac:dyDescent="0.2"/>
    <row r="7304" hidden="1" x14ac:dyDescent="0.2"/>
    <row r="7305" hidden="1" x14ac:dyDescent="0.2"/>
    <row r="7306" hidden="1" x14ac:dyDescent="0.2"/>
    <row r="7307" hidden="1" x14ac:dyDescent="0.2"/>
    <row r="7308" hidden="1" x14ac:dyDescent="0.2"/>
    <row r="7309" hidden="1" x14ac:dyDescent="0.2"/>
    <row r="7310" hidden="1" x14ac:dyDescent="0.2"/>
    <row r="7311" hidden="1" x14ac:dyDescent="0.2"/>
    <row r="7312" hidden="1" x14ac:dyDescent="0.2"/>
    <row r="7313" hidden="1" x14ac:dyDescent="0.2"/>
    <row r="7314" hidden="1" x14ac:dyDescent="0.2"/>
    <row r="7315" hidden="1" x14ac:dyDescent="0.2"/>
    <row r="7316" hidden="1" x14ac:dyDescent="0.2"/>
    <row r="7317" hidden="1" x14ac:dyDescent="0.2"/>
    <row r="7318" hidden="1" x14ac:dyDescent="0.2"/>
    <row r="7319" hidden="1" x14ac:dyDescent="0.2"/>
    <row r="7320" hidden="1" x14ac:dyDescent="0.2"/>
    <row r="7321" hidden="1" x14ac:dyDescent="0.2"/>
    <row r="7322" hidden="1" x14ac:dyDescent="0.2"/>
    <row r="7323" hidden="1" x14ac:dyDescent="0.2"/>
    <row r="7324" hidden="1" x14ac:dyDescent="0.2"/>
    <row r="7325" hidden="1" x14ac:dyDescent="0.2"/>
    <row r="7326" hidden="1" x14ac:dyDescent="0.2"/>
    <row r="7327" hidden="1" x14ac:dyDescent="0.2"/>
    <row r="7328" hidden="1" x14ac:dyDescent="0.2"/>
    <row r="7329" hidden="1" x14ac:dyDescent="0.2"/>
    <row r="7330" hidden="1" x14ac:dyDescent="0.2"/>
    <row r="7331" hidden="1" x14ac:dyDescent="0.2"/>
    <row r="7332" hidden="1" x14ac:dyDescent="0.2"/>
    <row r="7333" hidden="1" x14ac:dyDescent="0.2"/>
    <row r="7334" hidden="1" x14ac:dyDescent="0.2"/>
    <row r="7335" hidden="1" x14ac:dyDescent="0.2"/>
    <row r="7336" hidden="1" x14ac:dyDescent="0.2"/>
    <row r="7337" hidden="1" x14ac:dyDescent="0.2"/>
    <row r="7338" hidden="1" x14ac:dyDescent="0.2"/>
    <row r="7339" hidden="1" x14ac:dyDescent="0.2"/>
    <row r="7340" hidden="1" x14ac:dyDescent="0.2"/>
    <row r="7341" hidden="1" x14ac:dyDescent="0.2"/>
    <row r="7342" hidden="1" x14ac:dyDescent="0.2"/>
    <row r="7343" hidden="1" x14ac:dyDescent="0.2"/>
    <row r="7344" hidden="1" x14ac:dyDescent="0.2"/>
    <row r="7345" hidden="1" x14ac:dyDescent="0.2"/>
    <row r="7346" hidden="1" x14ac:dyDescent="0.2"/>
    <row r="7347" hidden="1" x14ac:dyDescent="0.2"/>
    <row r="7348" hidden="1" x14ac:dyDescent="0.2"/>
    <row r="7349" hidden="1" x14ac:dyDescent="0.2"/>
    <row r="7350" hidden="1" x14ac:dyDescent="0.2"/>
    <row r="7351" hidden="1" x14ac:dyDescent="0.2"/>
    <row r="7352" hidden="1" x14ac:dyDescent="0.2"/>
    <row r="7353" hidden="1" x14ac:dyDescent="0.2"/>
    <row r="7354" hidden="1" x14ac:dyDescent="0.2"/>
    <row r="7355" hidden="1" x14ac:dyDescent="0.2"/>
    <row r="7356" hidden="1" x14ac:dyDescent="0.2"/>
    <row r="7357" hidden="1" x14ac:dyDescent="0.2"/>
    <row r="7358" hidden="1" x14ac:dyDescent="0.2"/>
    <row r="7359" hidden="1" x14ac:dyDescent="0.2"/>
    <row r="7360" hidden="1" x14ac:dyDescent="0.2"/>
    <row r="7361" hidden="1" x14ac:dyDescent="0.2"/>
    <row r="7362" hidden="1" x14ac:dyDescent="0.2"/>
    <row r="7363" hidden="1" x14ac:dyDescent="0.2"/>
    <row r="7364" hidden="1" x14ac:dyDescent="0.2"/>
    <row r="7365" hidden="1" x14ac:dyDescent="0.2"/>
    <row r="7366" hidden="1" x14ac:dyDescent="0.2"/>
    <row r="7367" hidden="1" x14ac:dyDescent="0.2"/>
    <row r="7368" hidden="1" x14ac:dyDescent="0.2"/>
    <row r="7369" hidden="1" x14ac:dyDescent="0.2"/>
    <row r="7370" hidden="1" x14ac:dyDescent="0.2"/>
    <row r="7371" hidden="1" x14ac:dyDescent="0.2"/>
    <row r="7372" hidden="1" x14ac:dyDescent="0.2"/>
    <row r="7373" hidden="1" x14ac:dyDescent="0.2"/>
    <row r="7374" hidden="1" x14ac:dyDescent="0.2"/>
    <row r="7375" hidden="1" x14ac:dyDescent="0.2"/>
    <row r="7376" hidden="1" x14ac:dyDescent="0.2"/>
    <row r="7377" hidden="1" x14ac:dyDescent="0.2"/>
    <row r="7378" hidden="1" x14ac:dyDescent="0.2"/>
    <row r="7379" hidden="1" x14ac:dyDescent="0.2"/>
    <row r="7380" hidden="1" x14ac:dyDescent="0.2"/>
    <row r="7381" hidden="1" x14ac:dyDescent="0.2"/>
    <row r="7382" hidden="1" x14ac:dyDescent="0.2"/>
    <row r="7383" hidden="1" x14ac:dyDescent="0.2"/>
    <row r="7384" hidden="1" x14ac:dyDescent="0.2"/>
    <row r="7385" hidden="1" x14ac:dyDescent="0.2"/>
    <row r="7386" hidden="1" x14ac:dyDescent="0.2"/>
    <row r="7387" hidden="1" x14ac:dyDescent="0.2"/>
    <row r="7388" hidden="1" x14ac:dyDescent="0.2"/>
    <row r="7389" hidden="1" x14ac:dyDescent="0.2"/>
    <row r="7390" hidden="1" x14ac:dyDescent="0.2"/>
    <row r="7391" hidden="1" x14ac:dyDescent="0.2"/>
    <row r="7392" hidden="1" x14ac:dyDescent="0.2"/>
    <row r="7393" hidden="1" x14ac:dyDescent="0.2"/>
    <row r="7394" hidden="1" x14ac:dyDescent="0.2"/>
    <row r="7395" hidden="1" x14ac:dyDescent="0.2"/>
    <row r="7396" hidden="1" x14ac:dyDescent="0.2"/>
    <row r="7397" hidden="1" x14ac:dyDescent="0.2"/>
    <row r="7398" hidden="1" x14ac:dyDescent="0.2"/>
    <row r="7399" hidden="1" x14ac:dyDescent="0.2"/>
    <row r="7400" hidden="1" x14ac:dyDescent="0.2"/>
    <row r="7401" hidden="1" x14ac:dyDescent="0.2"/>
    <row r="7402" hidden="1" x14ac:dyDescent="0.2"/>
    <row r="7403" hidden="1" x14ac:dyDescent="0.2"/>
    <row r="7404" hidden="1" x14ac:dyDescent="0.2"/>
    <row r="7405" hidden="1" x14ac:dyDescent="0.2"/>
    <row r="7406" hidden="1" x14ac:dyDescent="0.2"/>
    <row r="7407" hidden="1" x14ac:dyDescent="0.2"/>
    <row r="7408" hidden="1" x14ac:dyDescent="0.2"/>
    <row r="7409" hidden="1" x14ac:dyDescent="0.2"/>
    <row r="7410" hidden="1" x14ac:dyDescent="0.2"/>
    <row r="7411" hidden="1" x14ac:dyDescent="0.2"/>
    <row r="7412" hidden="1" x14ac:dyDescent="0.2"/>
    <row r="7413" hidden="1" x14ac:dyDescent="0.2"/>
    <row r="7414" hidden="1" x14ac:dyDescent="0.2"/>
    <row r="7415" hidden="1" x14ac:dyDescent="0.2"/>
    <row r="7416" hidden="1" x14ac:dyDescent="0.2"/>
    <row r="7417" hidden="1" x14ac:dyDescent="0.2"/>
    <row r="7418" hidden="1" x14ac:dyDescent="0.2"/>
    <row r="7419" hidden="1" x14ac:dyDescent="0.2"/>
    <row r="7420" hidden="1" x14ac:dyDescent="0.2"/>
    <row r="7421" hidden="1" x14ac:dyDescent="0.2"/>
    <row r="7422" hidden="1" x14ac:dyDescent="0.2"/>
    <row r="7423" hidden="1" x14ac:dyDescent="0.2"/>
    <row r="7424" hidden="1" x14ac:dyDescent="0.2"/>
    <row r="7425" hidden="1" x14ac:dyDescent="0.2"/>
    <row r="7426" hidden="1" x14ac:dyDescent="0.2"/>
    <row r="7427" hidden="1" x14ac:dyDescent="0.2"/>
    <row r="7428" hidden="1" x14ac:dyDescent="0.2"/>
    <row r="7429" hidden="1" x14ac:dyDescent="0.2"/>
    <row r="7430" hidden="1" x14ac:dyDescent="0.2"/>
    <row r="7431" hidden="1" x14ac:dyDescent="0.2"/>
    <row r="7432" hidden="1" x14ac:dyDescent="0.2"/>
    <row r="7433" hidden="1" x14ac:dyDescent="0.2"/>
    <row r="7434" hidden="1" x14ac:dyDescent="0.2"/>
    <row r="7435" hidden="1" x14ac:dyDescent="0.2"/>
    <row r="7436" hidden="1" x14ac:dyDescent="0.2"/>
    <row r="7437" hidden="1" x14ac:dyDescent="0.2"/>
    <row r="7438" hidden="1" x14ac:dyDescent="0.2"/>
    <row r="7439" hidden="1" x14ac:dyDescent="0.2"/>
    <row r="7440" hidden="1" x14ac:dyDescent="0.2"/>
    <row r="7441" hidden="1" x14ac:dyDescent="0.2"/>
    <row r="7442" hidden="1" x14ac:dyDescent="0.2"/>
    <row r="7443" hidden="1" x14ac:dyDescent="0.2"/>
    <row r="7444" hidden="1" x14ac:dyDescent="0.2"/>
    <row r="7445" hidden="1" x14ac:dyDescent="0.2"/>
    <row r="7446" hidden="1" x14ac:dyDescent="0.2"/>
    <row r="7447" hidden="1" x14ac:dyDescent="0.2"/>
    <row r="7448" hidden="1" x14ac:dyDescent="0.2"/>
    <row r="7449" hidden="1" x14ac:dyDescent="0.2"/>
    <row r="7450" hidden="1" x14ac:dyDescent="0.2"/>
    <row r="7451" hidden="1" x14ac:dyDescent="0.2"/>
    <row r="7452" hidden="1" x14ac:dyDescent="0.2"/>
    <row r="7453" hidden="1" x14ac:dyDescent="0.2"/>
    <row r="7454" hidden="1" x14ac:dyDescent="0.2"/>
    <row r="7455" hidden="1" x14ac:dyDescent="0.2"/>
    <row r="7456" hidden="1" x14ac:dyDescent="0.2"/>
    <row r="7457" hidden="1" x14ac:dyDescent="0.2"/>
    <row r="7458" hidden="1" x14ac:dyDescent="0.2"/>
    <row r="7459" hidden="1" x14ac:dyDescent="0.2"/>
    <row r="7460" hidden="1" x14ac:dyDescent="0.2"/>
    <row r="7461" hidden="1" x14ac:dyDescent="0.2"/>
    <row r="7462" hidden="1" x14ac:dyDescent="0.2"/>
    <row r="7463" hidden="1" x14ac:dyDescent="0.2"/>
    <row r="7464" hidden="1" x14ac:dyDescent="0.2"/>
    <row r="7465" hidden="1" x14ac:dyDescent="0.2"/>
    <row r="7466" hidden="1" x14ac:dyDescent="0.2"/>
    <row r="7467" hidden="1" x14ac:dyDescent="0.2"/>
    <row r="7468" hidden="1" x14ac:dyDescent="0.2"/>
    <row r="7469" hidden="1" x14ac:dyDescent="0.2"/>
    <row r="7470" hidden="1" x14ac:dyDescent="0.2"/>
    <row r="7471" hidden="1" x14ac:dyDescent="0.2"/>
    <row r="7472" hidden="1" x14ac:dyDescent="0.2"/>
    <row r="7473" hidden="1" x14ac:dyDescent="0.2"/>
    <row r="7474" hidden="1" x14ac:dyDescent="0.2"/>
    <row r="7475" hidden="1" x14ac:dyDescent="0.2"/>
    <row r="7476" hidden="1" x14ac:dyDescent="0.2"/>
    <row r="7477" hidden="1" x14ac:dyDescent="0.2"/>
    <row r="7478" hidden="1" x14ac:dyDescent="0.2"/>
    <row r="7479" hidden="1" x14ac:dyDescent="0.2"/>
    <row r="7480" hidden="1" x14ac:dyDescent="0.2"/>
    <row r="7481" hidden="1" x14ac:dyDescent="0.2"/>
    <row r="7482" hidden="1" x14ac:dyDescent="0.2"/>
    <row r="7483" hidden="1" x14ac:dyDescent="0.2"/>
    <row r="7484" hidden="1" x14ac:dyDescent="0.2"/>
    <row r="7485" hidden="1" x14ac:dyDescent="0.2"/>
    <row r="7486" hidden="1" x14ac:dyDescent="0.2"/>
    <row r="7487" hidden="1" x14ac:dyDescent="0.2"/>
    <row r="7488" hidden="1" x14ac:dyDescent="0.2"/>
    <row r="7489" hidden="1" x14ac:dyDescent="0.2"/>
    <row r="7490" hidden="1" x14ac:dyDescent="0.2"/>
    <row r="7491" hidden="1" x14ac:dyDescent="0.2"/>
    <row r="7492" hidden="1" x14ac:dyDescent="0.2"/>
    <row r="7493" hidden="1" x14ac:dyDescent="0.2"/>
    <row r="7494" hidden="1" x14ac:dyDescent="0.2"/>
    <row r="7495" hidden="1" x14ac:dyDescent="0.2"/>
    <row r="7496" hidden="1" x14ac:dyDescent="0.2"/>
    <row r="7497" hidden="1" x14ac:dyDescent="0.2"/>
    <row r="7498" hidden="1" x14ac:dyDescent="0.2"/>
    <row r="7499" hidden="1" x14ac:dyDescent="0.2"/>
    <row r="7500" hidden="1" x14ac:dyDescent="0.2"/>
    <row r="7501" hidden="1" x14ac:dyDescent="0.2"/>
    <row r="7502" hidden="1" x14ac:dyDescent="0.2"/>
    <row r="7503" hidden="1" x14ac:dyDescent="0.2"/>
    <row r="7504" hidden="1" x14ac:dyDescent="0.2"/>
    <row r="7505" hidden="1" x14ac:dyDescent="0.2"/>
    <row r="7506" hidden="1" x14ac:dyDescent="0.2"/>
    <row r="7507" hidden="1" x14ac:dyDescent="0.2"/>
    <row r="7508" hidden="1" x14ac:dyDescent="0.2"/>
    <row r="7509" hidden="1" x14ac:dyDescent="0.2"/>
    <row r="7510" hidden="1" x14ac:dyDescent="0.2"/>
    <row r="7511" hidden="1" x14ac:dyDescent="0.2"/>
    <row r="7512" hidden="1" x14ac:dyDescent="0.2"/>
    <row r="7513" hidden="1" x14ac:dyDescent="0.2"/>
    <row r="7514" hidden="1" x14ac:dyDescent="0.2"/>
    <row r="7515" hidden="1" x14ac:dyDescent="0.2"/>
    <row r="7516" hidden="1" x14ac:dyDescent="0.2"/>
    <row r="7517" hidden="1" x14ac:dyDescent="0.2"/>
    <row r="7518" hidden="1" x14ac:dyDescent="0.2"/>
    <row r="7519" hidden="1" x14ac:dyDescent="0.2"/>
    <row r="7520" hidden="1" x14ac:dyDescent="0.2"/>
    <row r="7521" hidden="1" x14ac:dyDescent="0.2"/>
    <row r="7522" hidden="1" x14ac:dyDescent="0.2"/>
    <row r="7523" hidden="1" x14ac:dyDescent="0.2"/>
    <row r="7524" hidden="1" x14ac:dyDescent="0.2"/>
    <row r="7525" hidden="1" x14ac:dyDescent="0.2"/>
    <row r="7526" hidden="1" x14ac:dyDescent="0.2"/>
    <row r="7527" hidden="1" x14ac:dyDescent="0.2"/>
    <row r="7528" hidden="1" x14ac:dyDescent="0.2"/>
    <row r="7529" hidden="1" x14ac:dyDescent="0.2"/>
    <row r="7530" hidden="1" x14ac:dyDescent="0.2"/>
    <row r="7531" hidden="1" x14ac:dyDescent="0.2"/>
    <row r="7532" hidden="1" x14ac:dyDescent="0.2"/>
    <row r="7533" hidden="1" x14ac:dyDescent="0.2"/>
    <row r="7534" hidden="1" x14ac:dyDescent="0.2"/>
    <row r="7535" hidden="1" x14ac:dyDescent="0.2"/>
    <row r="7536" hidden="1" x14ac:dyDescent="0.2"/>
    <row r="7537" hidden="1" x14ac:dyDescent="0.2"/>
    <row r="7538" hidden="1" x14ac:dyDescent="0.2"/>
    <row r="7539" hidden="1" x14ac:dyDescent="0.2"/>
    <row r="7540" hidden="1" x14ac:dyDescent="0.2"/>
    <row r="7541" hidden="1" x14ac:dyDescent="0.2"/>
    <row r="7542" hidden="1" x14ac:dyDescent="0.2"/>
    <row r="7543" hidden="1" x14ac:dyDescent="0.2"/>
    <row r="7544" hidden="1" x14ac:dyDescent="0.2"/>
    <row r="7545" hidden="1" x14ac:dyDescent="0.2"/>
    <row r="7546" hidden="1" x14ac:dyDescent="0.2"/>
    <row r="7547" hidden="1" x14ac:dyDescent="0.2"/>
    <row r="7548" hidden="1" x14ac:dyDescent="0.2"/>
    <row r="7549" hidden="1" x14ac:dyDescent="0.2"/>
    <row r="7550" hidden="1" x14ac:dyDescent="0.2"/>
    <row r="7551" hidden="1" x14ac:dyDescent="0.2"/>
    <row r="7552" hidden="1" x14ac:dyDescent="0.2"/>
    <row r="7553" hidden="1" x14ac:dyDescent="0.2"/>
    <row r="7554" hidden="1" x14ac:dyDescent="0.2"/>
    <row r="7555" hidden="1" x14ac:dyDescent="0.2"/>
    <row r="7556" hidden="1" x14ac:dyDescent="0.2"/>
    <row r="7557" hidden="1" x14ac:dyDescent="0.2"/>
    <row r="7558" hidden="1" x14ac:dyDescent="0.2"/>
    <row r="7559" hidden="1" x14ac:dyDescent="0.2"/>
    <row r="7560" hidden="1" x14ac:dyDescent="0.2"/>
    <row r="7561" hidden="1" x14ac:dyDescent="0.2"/>
    <row r="7562" hidden="1" x14ac:dyDescent="0.2"/>
    <row r="7563" hidden="1" x14ac:dyDescent="0.2"/>
    <row r="7564" hidden="1" x14ac:dyDescent="0.2"/>
    <row r="7565" hidden="1" x14ac:dyDescent="0.2"/>
    <row r="7566" hidden="1" x14ac:dyDescent="0.2"/>
    <row r="7567" hidden="1" x14ac:dyDescent="0.2"/>
    <row r="7568" hidden="1" x14ac:dyDescent="0.2"/>
    <row r="7569" hidden="1" x14ac:dyDescent="0.2"/>
    <row r="7570" hidden="1" x14ac:dyDescent="0.2"/>
    <row r="7571" hidden="1" x14ac:dyDescent="0.2"/>
    <row r="7572" hidden="1" x14ac:dyDescent="0.2"/>
    <row r="7573" hidden="1" x14ac:dyDescent="0.2"/>
    <row r="7574" hidden="1" x14ac:dyDescent="0.2"/>
    <row r="7575" hidden="1" x14ac:dyDescent="0.2"/>
    <row r="7576" hidden="1" x14ac:dyDescent="0.2"/>
    <row r="7577" hidden="1" x14ac:dyDescent="0.2"/>
    <row r="7578" hidden="1" x14ac:dyDescent="0.2"/>
    <row r="7579" hidden="1" x14ac:dyDescent="0.2"/>
    <row r="7580" hidden="1" x14ac:dyDescent="0.2"/>
    <row r="7581" hidden="1" x14ac:dyDescent="0.2"/>
    <row r="7582" hidden="1" x14ac:dyDescent="0.2"/>
    <row r="7583" hidden="1" x14ac:dyDescent="0.2"/>
    <row r="7584" hidden="1" x14ac:dyDescent="0.2"/>
    <row r="7585" hidden="1" x14ac:dyDescent="0.2"/>
    <row r="7586" hidden="1" x14ac:dyDescent="0.2"/>
    <row r="7587" hidden="1" x14ac:dyDescent="0.2"/>
    <row r="7588" hidden="1" x14ac:dyDescent="0.2"/>
    <row r="7589" hidden="1" x14ac:dyDescent="0.2"/>
    <row r="7590" hidden="1" x14ac:dyDescent="0.2"/>
    <row r="7591" hidden="1" x14ac:dyDescent="0.2"/>
    <row r="7592" hidden="1" x14ac:dyDescent="0.2"/>
    <row r="7593" hidden="1" x14ac:dyDescent="0.2"/>
    <row r="7594" hidden="1" x14ac:dyDescent="0.2"/>
    <row r="7595" hidden="1" x14ac:dyDescent="0.2"/>
    <row r="7596" hidden="1" x14ac:dyDescent="0.2"/>
    <row r="7597" hidden="1" x14ac:dyDescent="0.2"/>
    <row r="7598" hidden="1" x14ac:dyDescent="0.2"/>
    <row r="7599" hidden="1" x14ac:dyDescent="0.2"/>
    <row r="7600" hidden="1" x14ac:dyDescent="0.2"/>
    <row r="7601" hidden="1" x14ac:dyDescent="0.2"/>
    <row r="7602" hidden="1" x14ac:dyDescent="0.2"/>
    <row r="7603" hidden="1" x14ac:dyDescent="0.2"/>
    <row r="7604" hidden="1" x14ac:dyDescent="0.2"/>
    <row r="7605" hidden="1" x14ac:dyDescent="0.2"/>
    <row r="7606" hidden="1" x14ac:dyDescent="0.2"/>
    <row r="7607" hidden="1" x14ac:dyDescent="0.2"/>
    <row r="7608" hidden="1" x14ac:dyDescent="0.2"/>
    <row r="7609" hidden="1" x14ac:dyDescent="0.2"/>
    <row r="7610" hidden="1" x14ac:dyDescent="0.2"/>
    <row r="7611" hidden="1" x14ac:dyDescent="0.2"/>
    <row r="7612" hidden="1" x14ac:dyDescent="0.2"/>
    <row r="7613" hidden="1" x14ac:dyDescent="0.2"/>
    <row r="7614" hidden="1" x14ac:dyDescent="0.2"/>
    <row r="7615" hidden="1" x14ac:dyDescent="0.2"/>
    <row r="7616" hidden="1" x14ac:dyDescent="0.2"/>
    <row r="7617" hidden="1" x14ac:dyDescent="0.2"/>
    <row r="7618" hidden="1" x14ac:dyDescent="0.2"/>
    <row r="7619" hidden="1" x14ac:dyDescent="0.2"/>
    <row r="7620" hidden="1" x14ac:dyDescent="0.2"/>
    <row r="7621" hidden="1" x14ac:dyDescent="0.2"/>
    <row r="7622" hidden="1" x14ac:dyDescent="0.2"/>
    <row r="7623" hidden="1" x14ac:dyDescent="0.2"/>
    <row r="7624" hidden="1" x14ac:dyDescent="0.2"/>
    <row r="7625" hidden="1" x14ac:dyDescent="0.2"/>
    <row r="7626" hidden="1" x14ac:dyDescent="0.2"/>
    <row r="7627" hidden="1" x14ac:dyDescent="0.2"/>
    <row r="7628" hidden="1" x14ac:dyDescent="0.2"/>
    <row r="7629" hidden="1" x14ac:dyDescent="0.2"/>
    <row r="7630" hidden="1" x14ac:dyDescent="0.2"/>
    <row r="7631" hidden="1" x14ac:dyDescent="0.2"/>
    <row r="7632" hidden="1" x14ac:dyDescent="0.2"/>
    <row r="7633" hidden="1" x14ac:dyDescent="0.2"/>
    <row r="7634" hidden="1" x14ac:dyDescent="0.2"/>
    <row r="7635" hidden="1" x14ac:dyDescent="0.2"/>
    <row r="7636" hidden="1" x14ac:dyDescent="0.2"/>
    <row r="7637" hidden="1" x14ac:dyDescent="0.2"/>
    <row r="7638" hidden="1" x14ac:dyDescent="0.2"/>
    <row r="7639" hidden="1" x14ac:dyDescent="0.2"/>
    <row r="7640" hidden="1" x14ac:dyDescent="0.2"/>
    <row r="7641" hidden="1" x14ac:dyDescent="0.2"/>
    <row r="7642" hidden="1" x14ac:dyDescent="0.2"/>
    <row r="7643" hidden="1" x14ac:dyDescent="0.2"/>
    <row r="7644" hidden="1" x14ac:dyDescent="0.2"/>
    <row r="7645" hidden="1" x14ac:dyDescent="0.2"/>
    <row r="7646" hidden="1" x14ac:dyDescent="0.2"/>
    <row r="7647" hidden="1" x14ac:dyDescent="0.2"/>
    <row r="7648" hidden="1" x14ac:dyDescent="0.2"/>
    <row r="7649" hidden="1" x14ac:dyDescent="0.2"/>
    <row r="7650" hidden="1" x14ac:dyDescent="0.2"/>
    <row r="7651" hidden="1" x14ac:dyDescent="0.2"/>
    <row r="7652" hidden="1" x14ac:dyDescent="0.2"/>
    <row r="7653" hidden="1" x14ac:dyDescent="0.2"/>
    <row r="7654" hidden="1" x14ac:dyDescent="0.2"/>
    <row r="7655" hidden="1" x14ac:dyDescent="0.2"/>
    <row r="7656" hidden="1" x14ac:dyDescent="0.2"/>
    <row r="7657" hidden="1" x14ac:dyDescent="0.2"/>
    <row r="7658" hidden="1" x14ac:dyDescent="0.2"/>
    <row r="7659" hidden="1" x14ac:dyDescent="0.2"/>
    <row r="7660" hidden="1" x14ac:dyDescent="0.2"/>
    <row r="7661" hidden="1" x14ac:dyDescent="0.2"/>
    <row r="7662" hidden="1" x14ac:dyDescent="0.2"/>
    <row r="7663" hidden="1" x14ac:dyDescent="0.2"/>
    <row r="7664" hidden="1" x14ac:dyDescent="0.2"/>
    <row r="7665" hidden="1" x14ac:dyDescent="0.2"/>
    <row r="7666" hidden="1" x14ac:dyDescent="0.2"/>
    <row r="7667" hidden="1" x14ac:dyDescent="0.2"/>
    <row r="7668" hidden="1" x14ac:dyDescent="0.2"/>
    <row r="7669" hidden="1" x14ac:dyDescent="0.2"/>
    <row r="7670" hidden="1" x14ac:dyDescent="0.2"/>
    <row r="7671" hidden="1" x14ac:dyDescent="0.2"/>
    <row r="7672" hidden="1" x14ac:dyDescent="0.2"/>
    <row r="7673" hidden="1" x14ac:dyDescent="0.2"/>
    <row r="7674" hidden="1" x14ac:dyDescent="0.2"/>
    <row r="7675" hidden="1" x14ac:dyDescent="0.2"/>
    <row r="7676" hidden="1" x14ac:dyDescent="0.2"/>
    <row r="7677" hidden="1" x14ac:dyDescent="0.2"/>
    <row r="7678" hidden="1" x14ac:dyDescent="0.2"/>
    <row r="7679" hidden="1" x14ac:dyDescent="0.2"/>
    <row r="7680" hidden="1" x14ac:dyDescent="0.2"/>
    <row r="7681" hidden="1" x14ac:dyDescent="0.2"/>
    <row r="7682" hidden="1" x14ac:dyDescent="0.2"/>
    <row r="7683" hidden="1" x14ac:dyDescent="0.2"/>
    <row r="7684" hidden="1" x14ac:dyDescent="0.2"/>
    <row r="7685" hidden="1" x14ac:dyDescent="0.2"/>
    <row r="7686" hidden="1" x14ac:dyDescent="0.2"/>
    <row r="7687" hidden="1" x14ac:dyDescent="0.2"/>
    <row r="7688" hidden="1" x14ac:dyDescent="0.2"/>
    <row r="7689" hidden="1" x14ac:dyDescent="0.2"/>
    <row r="7690" hidden="1" x14ac:dyDescent="0.2"/>
    <row r="7691" hidden="1" x14ac:dyDescent="0.2"/>
    <row r="7692" hidden="1" x14ac:dyDescent="0.2"/>
    <row r="7693" hidden="1" x14ac:dyDescent="0.2"/>
    <row r="7694" hidden="1" x14ac:dyDescent="0.2"/>
    <row r="7695" hidden="1" x14ac:dyDescent="0.2"/>
    <row r="7696" hidden="1" x14ac:dyDescent="0.2"/>
    <row r="7697" hidden="1" x14ac:dyDescent="0.2"/>
    <row r="7698" hidden="1" x14ac:dyDescent="0.2"/>
    <row r="7699" hidden="1" x14ac:dyDescent="0.2"/>
    <row r="7700" hidden="1" x14ac:dyDescent="0.2"/>
    <row r="7701" hidden="1" x14ac:dyDescent="0.2"/>
    <row r="7702" hidden="1" x14ac:dyDescent="0.2"/>
    <row r="7703" hidden="1" x14ac:dyDescent="0.2"/>
    <row r="7704" hidden="1" x14ac:dyDescent="0.2"/>
    <row r="7705" hidden="1" x14ac:dyDescent="0.2"/>
    <row r="7706" hidden="1" x14ac:dyDescent="0.2"/>
    <row r="7707" hidden="1" x14ac:dyDescent="0.2"/>
    <row r="7708" hidden="1" x14ac:dyDescent="0.2"/>
    <row r="7709" hidden="1" x14ac:dyDescent="0.2"/>
    <row r="7710" hidden="1" x14ac:dyDescent="0.2"/>
    <row r="7711" hidden="1" x14ac:dyDescent="0.2"/>
    <row r="7712" hidden="1" x14ac:dyDescent="0.2"/>
    <row r="7713" hidden="1" x14ac:dyDescent="0.2"/>
    <row r="7714" hidden="1" x14ac:dyDescent="0.2"/>
    <row r="7715" hidden="1" x14ac:dyDescent="0.2"/>
    <row r="7716" hidden="1" x14ac:dyDescent="0.2"/>
    <row r="7717" hidden="1" x14ac:dyDescent="0.2"/>
    <row r="7718" hidden="1" x14ac:dyDescent="0.2"/>
    <row r="7719" hidden="1" x14ac:dyDescent="0.2"/>
    <row r="7720" hidden="1" x14ac:dyDescent="0.2"/>
    <row r="7721" hidden="1" x14ac:dyDescent="0.2"/>
    <row r="7722" hidden="1" x14ac:dyDescent="0.2"/>
    <row r="7723" hidden="1" x14ac:dyDescent="0.2"/>
    <row r="7724" hidden="1" x14ac:dyDescent="0.2"/>
    <row r="7725" hidden="1" x14ac:dyDescent="0.2"/>
    <row r="7726" hidden="1" x14ac:dyDescent="0.2"/>
    <row r="7727" hidden="1" x14ac:dyDescent="0.2"/>
    <row r="7728" hidden="1" x14ac:dyDescent="0.2"/>
    <row r="7729" hidden="1" x14ac:dyDescent="0.2"/>
    <row r="7730" hidden="1" x14ac:dyDescent="0.2"/>
    <row r="7731" hidden="1" x14ac:dyDescent="0.2"/>
    <row r="7732" hidden="1" x14ac:dyDescent="0.2"/>
    <row r="7733" hidden="1" x14ac:dyDescent="0.2"/>
    <row r="7734" hidden="1" x14ac:dyDescent="0.2"/>
    <row r="7735" hidden="1" x14ac:dyDescent="0.2"/>
    <row r="7736" hidden="1" x14ac:dyDescent="0.2"/>
    <row r="7737" hidden="1" x14ac:dyDescent="0.2"/>
    <row r="7738" hidden="1" x14ac:dyDescent="0.2"/>
    <row r="7739" hidden="1" x14ac:dyDescent="0.2"/>
    <row r="7740" hidden="1" x14ac:dyDescent="0.2"/>
    <row r="7741" hidden="1" x14ac:dyDescent="0.2"/>
    <row r="7742" hidden="1" x14ac:dyDescent="0.2"/>
    <row r="7743" hidden="1" x14ac:dyDescent="0.2"/>
    <row r="7744" hidden="1" x14ac:dyDescent="0.2"/>
    <row r="7745" hidden="1" x14ac:dyDescent="0.2"/>
    <row r="7746" hidden="1" x14ac:dyDescent="0.2"/>
    <row r="7747" hidden="1" x14ac:dyDescent="0.2"/>
    <row r="7748" hidden="1" x14ac:dyDescent="0.2"/>
    <row r="7749" hidden="1" x14ac:dyDescent="0.2"/>
    <row r="7750" hidden="1" x14ac:dyDescent="0.2"/>
    <row r="7751" hidden="1" x14ac:dyDescent="0.2"/>
    <row r="7752" hidden="1" x14ac:dyDescent="0.2"/>
    <row r="7753" hidden="1" x14ac:dyDescent="0.2"/>
    <row r="7754" hidden="1" x14ac:dyDescent="0.2"/>
    <row r="7755" hidden="1" x14ac:dyDescent="0.2"/>
    <row r="7756" hidden="1" x14ac:dyDescent="0.2"/>
    <row r="7757" hidden="1" x14ac:dyDescent="0.2"/>
    <row r="7758" hidden="1" x14ac:dyDescent="0.2"/>
    <row r="7759" hidden="1" x14ac:dyDescent="0.2"/>
    <row r="7760" hidden="1" x14ac:dyDescent="0.2"/>
    <row r="7761" hidden="1" x14ac:dyDescent="0.2"/>
    <row r="7762" hidden="1" x14ac:dyDescent="0.2"/>
    <row r="7763" hidden="1" x14ac:dyDescent="0.2"/>
    <row r="7764" hidden="1" x14ac:dyDescent="0.2"/>
    <row r="7765" hidden="1" x14ac:dyDescent="0.2"/>
    <row r="7766" hidden="1" x14ac:dyDescent="0.2"/>
    <row r="7767" hidden="1" x14ac:dyDescent="0.2"/>
    <row r="7768" hidden="1" x14ac:dyDescent="0.2"/>
    <row r="7769" hidden="1" x14ac:dyDescent="0.2"/>
    <row r="7770" hidden="1" x14ac:dyDescent="0.2"/>
    <row r="7771" hidden="1" x14ac:dyDescent="0.2"/>
    <row r="7772" hidden="1" x14ac:dyDescent="0.2"/>
    <row r="7773" hidden="1" x14ac:dyDescent="0.2"/>
    <row r="7774" hidden="1" x14ac:dyDescent="0.2"/>
    <row r="7775" hidden="1" x14ac:dyDescent="0.2"/>
    <row r="7776" hidden="1" x14ac:dyDescent="0.2"/>
    <row r="7777" hidden="1" x14ac:dyDescent="0.2"/>
    <row r="7778" hidden="1" x14ac:dyDescent="0.2"/>
    <row r="7779" hidden="1" x14ac:dyDescent="0.2"/>
    <row r="7780" hidden="1" x14ac:dyDescent="0.2"/>
    <row r="7781" hidden="1" x14ac:dyDescent="0.2"/>
    <row r="7782" hidden="1" x14ac:dyDescent="0.2"/>
    <row r="7783" hidden="1" x14ac:dyDescent="0.2"/>
    <row r="7784" hidden="1" x14ac:dyDescent="0.2"/>
    <row r="7785" hidden="1" x14ac:dyDescent="0.2"/>
    <row r="7786" hidden="1" x14ac:dyDescent="0.2"/>
    <row r="7787" hidden="1" x14ac:dyDescent="0.2"/>
    <row r="7788" hidden="1" x14ac:dyDescent="0.2"/>
    <row r="7789" hidden="1" x14ac:dyDescent="0.2"/>
    <row r="7790" hidden="1" x14ac:dyDescent="0.2"/>
    <row r="7791" hidden="1" x14ac:dyDescent="0.2"/>
    <row r="7792" hidden="1" x14ac:dyDescent="0.2"/>
    <row r="7793" hidden="1" x14ac:dyDescent="0.2"/>
    <row r="7794" hidden="1" x14ac:dyDescent="0.2"/>
    <row r="7795" hidden="1" x14ac:dyDescent="0.2"/>
    <row r="7796" hidden="1" x14ac:dyDescent="0.2"/>
    <row r="7797" hidden="1" x14ac:dyDescent="0.2"/>
    <row r="7798" hidden="1" x14ac:dyDescent="0.2"/>
    <row r="7799" hidden="1" x14ac:dyDescent="0.2"/>
    <row r="7800" hidden="1" x14ac:dyDescent="0.2"/>
    <row r="7801" hidden="1" x14ac:dyDescent="0.2"/>
    <row r="7802" hidden="1" x14ac:dyDescent="0.2"/>
    <row r="7803" hidden="1" x14ac:dyDescent="0.2"/>
    <row r="7804" hidden="1" x14ac:dyDescent="0.2"/>
    <row r="7805" hidden="1" x14ac:dyDescent="0.2"/>
    <row r="7806" hidden="1" x14ac:dyDescent="0.2"/>
    <row r="7807" hidden="1" x14ac:dyDescent="0.2"/>
    <row r="7808" hidden="1" x14ac:dyDescent="0.2"/>
    <row r="7809" hidden="1" x14ac:dyDescent="0.2"/>
    <row r="7810" hidden="1" x14ac:dyDescent="0.2"/>
    <row r="7811" hidden="1" x14ac:dyDescent="0.2"/>
    <row r="7812" hidden="1" x14ac:dyDescent="0.2"/>
    <row r="7813" hidden="1" x14ac:dyDescent="0.2"/>
    <row r="7814" hidden="1" x14ac:dyDescent="0.2"/>
    <row r="7815" hidden="1" x14ac:dyDescent="0.2"/>
    <row r="7816" hidden="1" x14ac:dyDescent="0.2"/>
    <row r="7817" hidden="1" x14ac:dyDescent="0.2"/>
    <row r="7818" hidden="1" x14ac:dyDescent="0.2"/>
    <row r="7819" hidden="1" x14ac:dyDescent="0.2"/>
    <row r="7820" hidden="1" x14ac:dyDescent="0.2"/>
    <row r="7821" hidden="1" x14ac:dyDescent="0.2"/>
    <row r="7822" hidden="1" x14ac:dyDescent="0.2"/>
    <row r="7823" hidden="1" x14ac:dyDescent="0.2"/>
    <row r="7824" hidden="1" x14ac:dyDescent="0.2"/>
    <row r="7825" hidden="1" x14ac:dyDescent="0.2"/>
    <row r="7826" hidden="1" x14ac:dyDescent="0.2"/>
    <row r="7827" hidden="1" x14ac:dyDescent="0.2"/>
    <row r="7828" hidden="1" x14ac:dyDescent="0.2"/>
    <row r="7829" hidden="1" x14ac:dyDescent="0.2"/>
    <row r="7830" hidden="1" x14ac:dyDescent="0.2"/>
    <row r="7831" hidden="1" x14ac:dyDescent="0.2"/>
    <row r="7832" hidden="1" x14ac:dyDescent="0.2"/>
    <row r="7833" hidden="1" x14ac:dyDescent="0.2"/>
    <row r="7834" hidden="1" x14ac:dyDescent="0.2"/>
    <row r="7835" hidden="1" x14ac:dyDescent="0.2"/>
    <row r="7836" hidden="1" x14ac:dyDescent="0.2"/>
    <row r="7837" hidden="1" x14ac:dyDescent="0.2"/>
    <row r="7838" hidden="1" x14ac:dyDescent="0.2"/>
    <row r="7839" hidden="1" x14ac:dyDescent="0.2"/>
    <row r="7840" hidden="1" x14ac:dyDescent="0.2"/>
    <row r="7841" hidden="1" x14ac:dyDescent="0.2"/>
    <row r="7842" hidden="1" x14ac:dyDescent="0.2"/>
    <row r="7843" hidden="1" x14ac:dyDescent="0.2"/>
    <row r="7844" hidden="1" x14ac:dyDescent="0.2"/>
    <row r="7845" hidden="1" x14ac:dyDescent="0.2"/>
    <row r="7846" hidden="1" x14ac:dyDescent="0.2"/>
    <row r="7847" hidden="1" x14ac:dyDescent="0.2"/>
    <row r="7848" hidden="1" x14ac:dyDescent="0.2"/>
    <row r="7849" hidden="1" x14ac:dyDescent="0.2"/>
    <row r="7850" hidden="1" x14ac:dyDescent="0.2"/>
    <row r="7851" hidden="1" x14ac:dyDescent="0.2"/>
    <row r="7852" hidden="1" x14ac:dyDescent="0.2"/>
    <row r="7853" hidden="1" x14ac:dyDescent="0.2"/>
    <row r="7854" hidden="1" x14ac:dyDescent="0.2"/>
    <row r="7855" hidden="1" x14ac:dyDescent="0.2"/>
    <row r="7856" hidden="1" x14ac:dyDescent="0.2"/>
    <row r="7857" hidden="1" x14ac:dyDescent="0.2"/>
    <row r="7858" hidden="1" x14ac:dyDescent="0.2"/>
    <row r="7859" hidden="1" x14ac:dyDescent="0.2"/>
    <row r="7860" hidden="1" x14ac:dyDescent="0.2"/>
    <row r="7861" hidden="1" x14ac:dyDescent="0.2"/>
    <row r="7862" hidden="1" x14ac:dyDescent="0.2"/>
    <row r="7863" hidden="1" x14ac:dyDescent="0.2"/>
    <row r="7864" hidden="1" x14ac:dyDescent="0.2"/>
    <row r="7865" hidden="1" x14ac:dyDescent="0.2"/>
    <row r="7866" hidden="1" x14ac:dyDescent="0.2"/>
    <row r="7867" hidden="1" x14ac:dyDescent="0.2"/>
    <row r="7868" hidden="1" x14ac:dyDescent="0.2"/>
    <row r="7869" hidden="1" x14ac:dyDescent="0.2"/>
    <row r="7870" hidden="1" x14ac:dyDescent="0.2"/>
    <row r="7871" hidden="1" x14ac:dyDescent="0.2"/>
    <row r="7872" hidden="1" x14ac:dyDescent="0.2"/>
    <row r="7873" hidden="1" x14ac:dyDescent="0.2"/>
    <row r="7874" hidden="1" x14ac:dyDescent="0.2"/>
    <row r="7875" hidden="1" x14ac:dyDescent="0.2"/>
    <row r="7876" hidden="1" x14ac:dyDescent="0.2"/>
    <row r="7877" hidden="1" x14ac:dyDescent="0.2"/>
    <row r="7878" hidden="1" x14ac:dyDescent="0.2"/>
    <row r="7879" hidden="1" x14ac:dyDescent="0.2"/>
    <row r="7880" hidden="1" x14ac:dyDescent="0.2"/>
    <row r="7881" hidden="1" x14ac:dyDescent="0.2"/>
    <row r="7882" hidden="1" x14ac:dyDescent="0.2"/>
    <row r="7883" hidden="1" x14ac:dyDescent="0.2"/>
    <row r="7884" hidden="1" x14ac:dyDescent="0.2"/>
    <row r="7885" hidden="1" x14ac:dyDescent="0.2"/>
    <row r="7886" hidden="1" x14ac:dyDescent="0.2"/>
    <row r="7887" hidden="1" x14ac:dyDescent="0.2"/>
    <row r="7888" hidden="1" x14ac:dyDescent="0.2"/>
    <row r="7889" hidden="1" x14ac:dyDescent="0.2"/>
    <row r="7890" hidden="1" x14ac:dyDescent="0.2"/>
    <row r="7891" hidden="1" x14ac:dyDescent="0.2"/>
    <row r="7892" hidden="1" x14ac:dyDescent="0.2"/>
    <row r="7893" hidden="1" x14ac:dyDescent="0.2"/>
    <row r="7894" hidden="1" x14ac:dyDescent="0.2"/>
    <row r="7895" hidden="1" x14ac:dyDescent="0.2"/>
    <row r="7896" hidden="1" x14ac:dyDescent="0.2"/>
    <row r="7897" hidden="1" x14ac:dyDescent="0.2"/>
    <row r="7898" hidden="1" x14ac:dyDescent="0.2"/>
    <row r="7899" hidden="1" x14ac:dyDescent="0.2"/>
    <row r="7900" hidden="1" x14ac:dyDescent="0.2"/>
    <row r="7901" hidden="1" x14ac:dyDescent="0.2"/>
    <row r="7902" hidden="1" x14ac:dyDescent="0.2"/>
    <row r="7903" hidden="1" x14ac:dyDescent="0.2"/>
    <row r="7904" hidden="1" x14ac:dyDescent="0.2"/>
    <row r="7905" hidden="1" x14ac:dyDescent="0.2"/>
    <row r="7906" hidden="1" x14ac:dyDescent="0.2"/>
    <row r="7907" hidden="1" x14ac:dyDescent="0.2"/>
    <row r="7908" hidden="1" x14ac:dyDescent="0.2"/>
    <row r="7909" hidden="1" x14ac:dyDescent="0.2"/>
    <row r="7910" hidden="1" x14ac:dyDescent="0.2"/>
    <row r="7911" hidden="1" x14ac:dyDescent="0.2"/>
    <row r="7912" hidden="1" x14ac:dyDescent="0.2"/>
    <row r="7913" hidden="1" x14ac:dyDescent="0.2"/>
    <row r="7914" hidden="1" x14ac:dyDescent="0.2"/>
    <row r="7915" hidden="1" x14ac:dyDescent="0.2"/>
    <row r="7916" hidden="1" x14ac:dyDescent="0.2"/>
    <row r="7917" hidden="1" x14ac:dyDescent="0.2"/>
    <row r="7918" hidden="1" x14ac:dyDescent="0.2"/>
    <row r="7919" hidden="1" x14ac:dyDescent="0.2"/>
    <row r="7920" hidden="1" x14ac:dyDescent="0.2"/>
    <row r="7921" hidden="1" x14ac:dyDescent="0.2"/>
    <row r="7922" hidden="1" x14ac:dyDescent="0.2"/>
    <row r="7923" hidden="1" x14ac:dyDescent="0.2"/>
    <row r="7924" hidden="1" x14ac:dyDescent="0.2"/>
    <row r="7925" hidden="1" x14ac:dyDescent="0.2"/>
    <row r="7926" hidden="1" x14ac:dyDescent="0.2"/>
    <row r="7927" hidden="1" x14ac:dyDescent="0.2"/>
    <row r="7928" hidden="1" x14ac:dyDescent="0.2"/>
    <row r="7929" hidden="1" x14ac:dyDescent="0.2"/>
    <row r="7930" hidden="1" x14ac:dyDescent="0.2"/>
    <row r="7931" hidden="1" x14ac:dyDescent="0.2"/>
    <row r="7932" hidden="1" x14ac:dyDescent="0.2"/>
    <row r="7933" hidden="1" x14ac:dyDescent="0.2"/>
    <row r="7934" hidden="1" x14ac:dyDescent="0.2"/>
    <row r="7935" hidden="1" x14ac:dyDescent="0.2"/>
    <row r="7936" hidden="1" x14ac:dyDescent="0.2"/>
    <row r="7937" hidden="1" x14ac:dyDescent="0.2"/>
    <row r="7938" hidden="1" x14ac:dyDescent="0.2"/>
    <row r="7939" hidden="1" x14ac:dyDescent="0.2"/>
    <row r="7940" hidden="1" x14ac:dyDescent="0.2"/>
    <row r="7941" hidden="1" x14ac:dyDescent="0.2"/>
    <row r="7942" hidden="1" x14ac:dyDescent="0.2"/>
    <row r="7943" hidden="1" x14ac:dyDescent="0.2"/>
    <row r="7944" hidden="1" x14ac:dyDescent="0.2"/>
    <row r="7945" hidden="1" x14ac:dyDescent="0.2"/>
    <row r="7946" hidden="1" x14ac:dyDescent="0.2"/>
    <row r="7947" hidden="1" x14ac:dyDescent="0.2"/>
    <row r="7948" hidden="1" x14ac:dyDescent="0.2"/>
    <row r="7949" hidden="1" x14ac:dyDescent="0.2"/>
    <row r="7950" hidden="1" x14ac:dyDescent="0.2"/>
    <row r="7951" hidden="1" x14ac:dyDescent="0.2"/>
    <row r="7952" hidden="1" x14ac:dyDescent="0.2"/>
    <row r="7953" hidden="1" x14ac:dyDescent="0.2"/>
    <row r="7954" hidden="1" x14ac:dyDescent="0.2"/>
    <row r="7955" hidden="1" x14ac:dyDescent="0.2"/>
    <row r="7956" hidden="1" x14ac:dyDescent="0.2"/>
    <row r="7957" hidden="1" x14ac:dyDescent="0.2"/>
    <row r="7958" hidden="1" x14ac:dyDescent="0.2"/>
    <row r="7959" hidden="1" x14ac:dyDescent="0.2"/>
    <row r="7960" hidden="1" x14ac:dyDescent="0.2"/>
    <row r="7961" hidden="1" x14ac:dyDescent="0.2"/>
    <row r="7962" hidden="1" x14ac:dyDescent="0.2"/>
    <row r="7963" hidden="1" x14ac:dyDescent="0.2"/>
    <row r="7964" hidden="1" x14ac:dyDescent="0.2"/>
    <row r="7965" hidden="1" x14ac:dyDescent="0.2"/>
    <row r="7966" hidden="1" x14ac:dyDescent="0.2"/>
    <row r="7967" hidden="1" x14ac:dyDescent="0.2"/>
    <row r="7968" hidden="1" x14ac:dyDescent="0.2"/>
    <row r="7969" hidden="1" x14ac:dyDescent="0.2"/>
    <row r="7970" hidden="1" x14ac:dyDescent="0.2"/>
    <row r="7971" hidden="1" x14ac:dyDescent="0.2"/>
    <row r="7972" hidden="1" x14ac:dyDescent="0.2"/>
    <row r="7973" hidden="1" x14ac:dyDescent="0.2"/>
    <row r="7974" hidden="1" x14ac:dyDescent="0.2"/>
    <row r="7975" hidden="1" x14ac:dyDescent="0.2"/>
    <row r="7976" hidden="1" x14ac:dyDescent="0.2"/>
    <row r="7977" hidden="1" x14ac:dyDescent="0.2"/>
    <row r="7978" hidden="1" x14ac:dyDescent="0.2"/>
    <row r="7979" hidden="1" x14ac:dyDescent="0.2"/>
    <row r="7980" hidden="1" x14ac:dyDescent="0.2"/>
    <row r="7981" hidden="1" x14ac:dyDescent="0.2"/>
    <row r="7982" hidden="1" x14ac:dyDescent="0.2"/>
    <row r="7983" hidden="1" x14ac:dyDescent="0.2"/>
    <row r="7984" hidden="1" x14ac:dyDescent="0.2"/>
    <row r="7985" hidden="1" x14ac:dyDescent="0.2"/>
    <row r="7986" hidden="1" x14ac:dyDescent="0.2"/>
    <row r="7987" hidden="1" x14ac:dyDescent="0.2"/>
    <row r="7988" hidden="1" x14ac:dyDescent="0.2"/>
    <row r="7989" hidden="1" x14ac:dyDescent="0.2"/>
    <row r="7990" hidden="1" x14ac:dyDescent="0.2"/>
    <row r="7991" hidden="1" x14ac:dyDescent="0.2"/>
    <row r="7992" hidden="1" x14ac:dyDescent="0.2"/>
    <row r="7993" hidden="1" x14ac:dyDescent="0.2"/>
    <row r="7994" hidden="1" x14ac:dyDescent="0.2"/>
    <row r="7995" hidden="1" x14ac:dyDescent="0.2"/>
    <row r="7996" hidden="1" x14ac:dyDescent="0.2"/>
    <row r="7997" hidden="1" x14ac:dyDescent="0.2"/>
    <row r="7998" hidden="1" x14ac:dyDescent="0.2"/>
    <row r="7999" hidden="1" x14ac:dyDescent="0.2"/>
    <row r="8000" hidden="1" x14ac:dyDescent="0.2"/>
    <row r="8001" hidden="1" x14ac:dyDescent="0.2"/>
    <row r="8002" hidden="1" x14ac:dyDescent="0.2"/>
    <row r="8003" hidden="1" x14ac:dyDescent="0.2"/>
    <row r="8004" hidden="1" x14ac:dyDescent="0.2"/>
    <row r="8005" hidden="1" x14ac:dyDescent="0.2"/>
    <row r="8006" hidden="1" x14ac:dyDescent="0.2"/>
    <row r="8007" hidden="1" x14ac:dyDescent="0.2"/>
    <row r="8008" hidden="1" x14ac:dyDescent="0.2"/>
    <row r="8009" hidden="1" x14ac:dyDescent="0.2"/>
    <row r="8010" hidden="1" x14ac:dyDescent="0.2"/>
    <row r="8011" hidden="1" x14ac:dyDescent="0.2"/>
    <row r="8012" hidden="1" x14ac:dyDescent="0.2"/>
    <row r="8013" hidden="1" x14ac:dyDescent="0.2"/>
    <row r="8014" hidden="1" x14ac:dyDescent="0.2"/>
    <row r="8015" hidden="1" x14ac:dyDescent="0.2"/>
    <row r="8016" hidden="1" x14ac:dyDescent="0.2"/>
    <row r="8017" hidden="1" x14ac:dyDescent="0.2"/>
    <row r="8018" hidden="1" x14ac:dyDescent="0.2"/>
    <row r="8019" hidden="1" x14ac:dyDescent="0.2"/>
    <row r="8020" hidden="1" x14ac:dyDescent="0.2"/>
    <row r="8021" hidden="1" x14ac:dyDescent="0.2"/>
    <row r="8022" hidden="1" x14ac:dyDescent="0.2"/>
    <row r="8023" hidden="1" x14ac:dyDescent="0.2"/>
    <row r="8024" hidden="1" x14ac:dyDescent="0.2"/>
    <row r="8025" hidden="1" x14ac:dyDescent="0.2"/>
    <row r="8026" hidden="1" x14ac:dyDescent="0.2"/>
    <row r="8027" hidden="1" x14ac:dyDescent="0.2"/>
    <row r="8028" hidden="1" x14ac:dyDescent="0.2"/>
    <row r="8029" hidden="1" x14ac:dyDescent="0.2"/>
    <row r="8030" hidden="1" x14ac:dyDescent="0.2"/>
    <row r="8031" hidden="1" x14ac:dyDescent="0.2"/>
    <row r="8032" hidden="1" x14ac:dyDescent="0.2"/>
    <row r="8033" hidden="1" x14ac:dyDescent="0.2"/>
    <row r="8034" hidden="1" x14ac:dyDescent="0.2"/>
    <row r="8035" hidden="1" x14ac:dyDescent="0.2"/>
    <row r="8036" hidden="1" x14ac:dyDescent="0.2"/>
    <row r="8037" hidden="1" x14ac:dyDescent="0.2"/>
    <row r="8038" hidden="1" x14ac:dyDescent="0.2"/>
    <row r="8039" hidden="1" x14ac:dyDescent="0.2"/>
    <row r="8040" hidden="1" x14ac:dyDescent="0.2"/>
    <row r="8041" hidden="1" x14ac:dyDescent="0.2"/>
    <row r="8042" hidden="1" x14ac:dyDescent="0.2"/>
    <row r="8043" hidden="1" x14ac:dyDescent="0.2"/>
    <row r="8044" hidden="1" x14ac:dyDescent="0.2"/>
    <row r="8045" hidden="1" x14ac:dyDescent="0.2"/>
    <row r="8046" hidden="1" x14ac:dyDescent="0.2"/>
    <row r="8047" hidden="1" x14ac:dyDescent="0.2"/>
    <row r="8048" hidden="1" x14ac:dyDescent="0.2"/>
    <row r="8049" hidden="1" x14ac:dyDescent="0.2"/>
    <row r="8050" hidden="1" x14ac:dyDescent="0.2"/>
    <row r="8051" hidden="1" x14ac:dyDescent="0.2"/>
    <row r="8052" hidden="1" x14ac:dyDescent="0.2"/>
    <row r="8053" hidden="1" x14ac:dyDescent="0.2"/>
    <row r="8054" hidden="1" x14ac:dyDescent="0.2"/>
    <row r="8055" hidden="1" x14ac:dyDescent="0.2"/>
    <row r="8056" hidden="1" x14ac:dyDescent="0.2"/>
    <row r="8057" hidden="1" x14ac:dyDescent="0.2"/>
    <row r="8058" hidden="1" x14ac:dyDescent="0.2"/>
    <row r="8059" hidden="1" x14ac:dyDescent="0.2"/>
    <row r="8060" hidden="1" x14ac:dyDescent="0.2"/>
    <row r="8061" hidden="1" x14ac:dyDescent="0.2"/>
    <row r="8062" hidden="1" x14ac:dyDescent="0.2"/>
    <row r="8063" hidden="1" x14ac:dyDescent="0.2"/>
    <row r="8064" hidden="1" x14ac:dyDescent="0.2"/>
    <row r="8065" hidden="1" x14ac:dyDescent="0.2"/>
    <row r="8066" hidden="1" x14ac:dyDescent="0.2"/>
    <row r="8067" hidden="1" x14ac:dyDescent="0.2"/>
    <row r="8068" hidden="1" x14ac:dyDescent="0.2"/>
    <row r="8069" hidden="1" x14ac:dyDescent="0.2"/>
    <row r="8070" hidden="1" x14ac:dyDescent="0.2"/>
    <row r="8071" hidden="1" x14ac:dyDescent="0.2"/>
    <row r="8072" hidden="1" x14ac:dyDescent="0.2"/>
    <row r="8073" hidden="1" x14ac:dyDescent="0.2"/>
    <row r="8074" hidden="1" x14ac:dyDescent="0.2"/>
    <row r="8075" hidden="1" x14ac:dyDescent="0.2"/>
    <row r="8076" hidden="1" x14ac:dyDescent="0.2"/>
    <row r="8077" hidden="1" x14ac:dyDescent="0.2"/>
    <row r="8078" hidden="1" x14ac:dyDescent="0.2"/>
    <row r="8079" hidden="1" x14ac:dyDescent="0.2"/>
    <row r="8080" hidden="1" x14ac:dyDescent="0.2"/>
    <row r="8081" hidden="1" x14ac:dyDescent="0.2"/>
    <row r="8082" hidden="1" x14ac:dyDescent="0.2"/>
    <row r="8083" hidden="1" x14ac:dyDescent="0.2"/>
    <row r="8084" hidden="1" x14ac:dyDescent="0.2"/>
    <row r="8085" hidden="1" x14ac:dyDescent="0.2"/>
    <row r="8086" hidden="1" x14ac:dyDescent="0.2"/>
    <row r="8087" hidden="1" x14ac:dyDescent="0.2"/>
    <row r="8088" hidden="1" x14ac:dyDescent="0.2"/>
    <row r="8089" hidden="1" x14ac:dyDescent="0.2"/>
    <row r="8090" hidden="1" x14ac:dyDescent="0.2"/>
    <row r="8091" hidden="1" x14ac:dyDescent="0.2"/>
    <row r="8092" hidden="1" x14ac:dyDescent="0.2"/>
    <row r="8093" hidden="1" x14ac:dyDescent="0.2"/>
    <row r="8094" hidden="1" x14ac:dyDescent="0.2"/>
    <row r="8095" hidden="1" x14ac:dyDescent="0.2"/>
    <row r="8096" hidden="1" x14ac:dyDescent="0.2"/>
    <row r="8097" hidden="1" x14ac:dyDescent="0.2"/>
    <row r="8098" hidden="1" x14ac:dyDescent="0.2"/>
    <row r="8099" hidden="1" x14ac:dyDescent="0.2"/>
    <row r="8100" hidden="1" x14ac:dyDescent="0.2"/>
    <row r="8101" hidden="1" x14ac:dyDescent="0.2"/>
    <row r="8102" hidden="1" x14ac:dyDescent="0.2"/>
    <row r="8103" hidden="1" x14ac:dyDescent="0.2"/>
    <row r="8104" hidden="1" x14ac:dyDescent="0.2"/>
    <row r="8105" hidden="1" x14ac:dyDescent="0.2"/>
    <row r="8106" hidden="1" x14ac:dyDescent="0.2"/>
    <row r="8107" hidden="1" x14ac:dyDescent="0.2"/>
    <row r="8108" hidden="1" x14ac:dyDescent="0.2"/>
    <row r="8109" hidden="1" x14ac:dyDescent="0.2"/>
    <row r="8110" hidden="1" x14ac:dyDescent="0.2"/>
    <row r="8111" hidden="1" x14ac:dyDescent="0.2"/>
    <row r="8112" hidden="1" x14ac:dyDescent="0.2"/>
    <row r="8113" hidden="1" x14ac:dyDescent="0.2"/>
    <row r="8114" hidden="1" x14ac:dyDescent="0.2"/>
    <row r="8115" hidden="1" x14ac:dyDescent="0.2"/>
    <row r="8116" hidden="1" x14ac:dyDescent="0.2"/>
    <row r="8117" hidden="1" x14ac:dyDescent="0.2"/>
    <row r="8118" hidden="1" x14ac:dyDescent="0.2"/>
    <row r="8119" hidden="1" x14ac:dyDescent="0.2"/>
    <row r="8120" hidden="1" x14ac:dyDescent="0.2"/>
    <row r="8121" hidden="1" x14ac:dyDescent="0.2"/>
    <row r="8122" hidden="1" x14ac:dyDescent="0.2"/>
    <row r="8123" hidden="1" x14ac:dyDescent="0.2"/>
    <row r="8124" hidden="1" x14ac:dyDescent="0.2"/>
    <row r="8125" hidden="1" x14ac:dyDescent="0.2"/>
    <row r="8126" hidden="1" x14ac:dyDescent="0.2"/>
    <row r="8127" hidden="1" x14ac:dyDescent="0.2"/>
    <row r="8128" hidden="1" x14ac:dyDescent="0.2"/>
    <row r="8129" hidden="1" x14ac:dyDescent="0.2"/>
    <row r="8130" hidden="1" x14ac:dyDescent="0.2"/>
    <row r="8131" hidden="1" x14ac:dyDescent="0.2"/>
    <row r="8132" hidden="1" x14ac:dyDescent="0.2"/>
    <row r="8133" hidden="1" x14ac:dyDescent="0.2"/>
    <row r="8134" hidden="1" x14ac:dyDescent="0.2"/>
    <row r="8135" hidden="1" x14ac:dyDescent="0.2"/>
    <row r="8136" hidden="1" x14ac:dyDescent="0.2"/>
    <row r="8137" hidden="1" x14ac:dyDescent="0.2"/>
    <row r="8138" hidden="1" x14ac:dyDescent="0.2"/>
    <row r="8139" hidden="1" x14ac:dyDescent="0.2"/>
    <row r="8140" hidden="1" x14ac:dyDescent="0.2"/>
    <row r="8141" hidden="1" x14ac:dyDescent="0.2"/>
    <row r="8142" hidden="1" x14ac:dyDescent="0.2"/>
    <row r="8143" hidden="1" x14ac:dyDescent="0.2"/>
    <row r="8144" hidden="1" x14ac:dyDescent="0.2"/>
    <row r="8145" hidden="1" x14ac:dyDescent="0.2"/>
    <row r="8146" hidden="1" x14ac:dyDescent="0.2"/>
    <row r="8147" hidden="1" x14ac:dyDescent="0.2"/>
    <row r="8148" hidden="1" x14ac:dyDescent="0.2"/>
    <row r="8149" hidden="1" x14ac:dyDescent="0.2"/>
    <row r="8150" hidden="1" x14ac:dyDescent="0.2"/>
    <row r="8151" hidden="1" x14ac:dyDescent="0.2"/>
    <row r="8152" hidden="1" x14ac:dyDescent="0.2"/>
    <row r="8153" hidden="1" x14ac:dyDescent="0.2"/>
    <row r="8154" hidden="1" x14ac:dyDescent="0.2"/>
    <row r="8155" hidden="1" x14ac:dyDescent="0.2"/>
    <row r="8156" hidden="1" x14ac:dyDescent="0.2"/>
    <row r="8157" hidden="1" x14ac:dyDescent="0.2"/>
    <row r="8158" hidden="1" x14ac:dyDescent="0.2"/>
    <row r="8159" hidden="1" x14ac:dyDescent="0.2"/>
    <row r="8160" hidden="1" x14ac:dyDescent="0.2"/>
    <row r="8161" hidden="1" x14ac:dyDescent="0.2"/>
    <row r="8162" hidden="1" x14ac:dyDescent="0.2"/>
    <row r="8163" hidden="1" x14ac:dyDescent="0.2"/>
    <row r="8164" hidden="1" x14ac:dyDescent="0.2"/>
    <row r="8165" hidden="1" x14ac:dyDescent="0.2"/>
    <row r="8166" hidden="1" x14ac:dyDescent="0.2"/>
    <row r="8167" hidden="1" x14ac:dyDescent="0.2"/>
    <row r="8168" hidden="1" x14ac:dyDescent="0.2"/>
    <row r="8169" hidden="1" x14ac:dyDescent="0.2"/>
    <row r="8170" hidden="1" x14ac:dyDescent="0.2"/>
    <row r="8171" hidden="1" x14ac:dyDescent="0.2"/>
    <row r="8172" hidden="1" x14ac:dyDescent="0.2"/>
    <row r="8173" hidden="1" x14ac:dyDescent="0.2"/>
    <row r="8174" hidden="1" x14ac:dyDescent="0.2"/>
    <row r="8175" hidden="1" x14ac:dyDescent="0.2"/>
    <row r="8176" hidden="1" x14ac:dyDescent="0.2"/>
    <row r="8177" hidden="1" x14ac:dyDescent="0.2"/>
    <row r="8178" hidden="1" x14ac:dyDescent="0.2"/>
    <row r="8179" hidden="1" x14ac:dyDescent="0.2"/>
    <row r="8180" hidden="1" x14ac:dyDescent="0.2"/>
    <row r="8181" hidden="1" x14ac:dyDescent="0.2"/>
    <row r="8182" hidden="1" x14ac:dyDescent="0.2"/>
    <row r="8183" hidden="1" x14ac:dyDescent="0.2"/>
    <row r="8184" hidden="1" x14ac:dyDescent="0.2"/>
    <row r="8185" hidden="1" x14ac:dyDescent="0.2"/>
    <row r="8186" hidden="1" x14ac:dyDescent="0.2"/>
    <row r="8187" hidden="1" x14ac:dyDescent="0.2"/>
    <row r="8188" hidden="1" x14ac:dyDescent="0.2"/>
    <row r="8189" hidden="1" x14ac:dyDescent="0.2"/>
    <row r="8190" hidden="1" x14ac:dyDescent="0.2"/>
    <row r="8191" hidden="1" x14ac:dyDescent="0.2"/>
    <row r="8192" hidden="1" x14ac:dyDescent="0.2"/>
    <row r="8193" hidden="1" x14ac:dyDescent="0.2"/>
    <row r="8194" hidden="1" x14ac:dyDescent="0.2"/>
    <row r="8195" hidden="1" x14ac:dyDescent="0.2"/>
    <row r="8196" hidden="1" x14ac:dyDescent="0.2"/>
    <row r="8197" hidden="1" x14ac:dyDescent="0.2"/>
    <row r="8198" hidden="1" x14ac:dyDescent="0.2"/>
    <row r="8199" hidden="1" x14ac:dyDescent="0.2"/>
    <row r="8200" hidden="1" x14ac:dyDescent="0.2"/>
    <row r="8201" hidden="1" x14ac:dyDescent="0.2"/>
    <row r="8202" hidden="1" x14ac:dyDescent="0.2"/>
    <row r="8203" hidden="1" x14ac:dyDescent="0.2"/>
    <row r="8204" hidden="1" x14ac:dyDescent="0.2"/>
    <row r="8205" hidden="1" x14ac:dyDescent="0.2"/>
    <row r="8206" hidden="1" x14ac:dyDescent="0.2"/>
    <row r="8207" hidden="1" x14ac:dyDescent="0.2"/>
    <row r="8208" hidden="1" x14ac:dyDescent="0.2"/>
    <row r="8209" hidden="1" x14ac:dyDescent="0.2"/>
    <row r="8210" hidden="1" x14ac:dyDescent="0.2"/>
    <row r="8211" hidden="1" x14ac:dyDescent="0.2"/>
    <row r="8212" hidden="1" x14ac:dyDescent="0.2"/>
    <row r="8213" hidden="1" x14ac:dyDescent="0.2"/>
    <row r="8214" hidden="1" x14ac:dyDescent="0.2"/>
    <row r="8215" hidden="1" x14ac:dyDescent="0.2"/>
    <row r="8216" hidden="1" x14ac:dyDescent="0.2"/>
    <row r="8217" hidden="1" x14ac:dyDescent="0.2"/>
    <row r="8218" hidden="1" x14ac:dyDescent="0.2"/>
    <row r="8219" hidden="1" x14ac:dyDescent="0.2"/>
    <row r="8220" hidden="1" x14ac:dyDescent="0.2"/>
    <row r="8221" hidden="1" x14ac:dyDescent="0.2"/>
    <row r="8222" hidden="1" x14ac:dyDescent="0.2"/>
    <row r="8223" hidden="1" x14ac:dyDescent="0.2"/>
    <row r="8224" hidden="1" x14ac:dyDescent="0.2"/>
    <row r="8225" hidden="1" x14ac:dyDescent="0.2"/>
    <row r="8226" hidden="1" x14ac:dyDescent="0.2"/>
    <row r="8227" hidden="1" x14ac:dyDescent="0.2"/>
    <row r="8228" hidden="1" x14ac:dyDescent="0.2"/>
    <row r="8229" hidden="1" x14ac:dyDescent="0.2"/>
    <row r="8230" hidden="1" x14ac:dyDescent="0.2"/>
    <row r="8231" hidden="1" x14ac:dyDescent="0.2"/>
    <row r="8232" hidden="1" x14ac:dyDescent="0.2"/>
    <row r="8233" hidden="1" x14ac:dyDescent="0.2"/>
    <row r="8234" hidden="1" x14ac:dyDescent="0.2"/>
    <row r="8235" hidden="1" x14ac:dyDescent="0.2"/>
    <row r="8236" hidden="1" x14ac:dyDescent="0.2"/>
    <row r="8237" hidden="1" x14ac:dyDescent="0.2"/>
    <row r="8238" hidden="1" x14ac:dyDescent="0.2"/>
    <row r="8239" hidden="1" x14ac:dyDescent="0.2"/>
    <row r="8240" hidden="1" x14ac:dyDescent="0.2"/>
    <row r="8241" hidden="1" x14ac:dyDescent="0.2"/>
    <row r="8242" hidden="1" x14ac:dyDescent="0.2"/>
    <row r="8243" hidden="1" x14ac:dyDescent="0.2"/>
    <row r="8244" hidden="1" x14ac:dyDescent="0.2"/>
    <row r="8245" hidden="1" x14ac:dyDescent="0.2"/>
    <row r="8246" hidden="1" x14ac:dyDescent="0.2"/>
    <row r="8247" hidden="1" x14ac:dyDescent="0.2"/>
    <row r="8248" hidden="1" x14ac:dyDescent="0.2"/>
    <row r="8249" hidden="1" x14ac:dyDescent="0.2"/>
    <row r="8250" hidden="1" x14ac:dyDescent="0.2"/>
    <row r="8251" hidden="1" x14ac:dyDescent="0.2"/>
    <row r="8252" hidden="1" x14ac:dyDescent="0.2"/>
    <row r="8253" hidden="1" x14ac:dyDescent="0.2"/>
    <row r="8254" hidden="1" x14ac:dyDescent="0.2"/>
    <row r="8255" hidden="1" x14ac:dyDescent="0.2"/>
    <row r="8256" hidden="1" x14ac:dyDescent="0.2"/>
    <row r="8257" hidden="1" x14ac:dyDescent="0.2"/>
    <row r="8258" hidden="1" x14ac:dyDescent="0.2"/>
    <row r="8259" hidden="1" x14ac:dyDescent="0.2"/>
    <row r="8260" hidden="1" x14ac:dyDescent="0.2"/>
    <row r="8261" hidden="1" x14ac:dyDescent="0.2"/>
    <row r="8262" hidden="1" x14ac:dyDescent="0.2"/>
    <row r="8263" hidden="1" x14ac:dyDescent="0.2"/>
    <row r="8264" hidden="1" x14ac:dyDescent="0.2"/>
    <row r="8265" hidden="1" x14ac:dyDescent="0.2"/>
    <row r="8266" hidden="1" x14ac:dyDescent="0.2"/>
    <row r="8267" hidden="1" x14ac:dyDescent="0.2"/>
    <row r="8268" hidden="1" x14ac:dyDescent="0.2"/>
    <row r="8269" hidden="1" x14ac:dyDescent="0.2"/>
    <row r="8270" hidden="1" x14ac:dyDescent="0.2"/>
    <row r="8271" hidden="1" x14ac:dyDescent="0.2"/>
    <row r="8272" hidden="1" x14ac:dyDescent="0.2"/>
    <row r="8273" hidden="1" x14ac:dyDescent="0.2"/>
    <row r="8274" hidden="1" x14ac:dyDescent="0.2"/>
    <row r="8275" hidden="1" x14ac:dyDescent="0.2"/>
    <row r="8276" hidden="1" x14ac:dyDescent="0.2"/>
    <row r="8277" hidden="1" x14ac:dyDescent="0.2"/>
    <row r="8278" hidden="1" x14ac:dyDescent="0.2"/>
    <row r="8279" hidden="1" x14ac:dyDescent="0.2"/>
    <row r="8280" hidden="1" x14ac:dyDescent="0.2"/>
    <row r="8281" hidden="1" x14ac:dyDescent="0.2"/>
    <row r="8282" hidden="1" x14ac:dyDescent="0.2"/>
    <row r="8283" hidden="1" x14ac:dyDescent="0.2"/>
    <row r="8284" hidden="1" x14ac:dyDescent="0.2"/>
    <row r="8285" hidden="1" x14ac:dyDescent="0.2"/>
    <row r="8286" hidden="1" x14ac:dyDescent="0.2"/>
    <row r="8287" hidden="1" x14ac:dyDescent="0.2"/>
    <row r="8288" hidden="1" x14ac:dyDescent="0.2"/>
    <row r="8289" hidden="1" x14ac:dyDescent="0.2"/>
    <row r="8290" hidden="1" x14ac:dyDescent="0.2"/>
    <row r="8291" hidden="1" x14ac:dyDescent="0.2"/>
    <row r="8292" hidden="1" x14ac:dyDescent="0.2"/>
    <row r="8293" hidden="1" x14ac:dyDescent="0.2"/>
    <row r="8294" hidden="1" x14ac:dyDescent="0.2"/>
    <row r="8295" hidden="1" x14ac:dyDescent="0.2"/>
    <row r="8296" hidden="1" x14ac:dyDescent="0.2"/>
    <row r="8297" hidden="1" x14ac:dyDescent="0.2"/>
    <row r="8298" hidden="1" x14ac:dyDescent="0.2"/>
    <row r="8299" hidden="1" x14ac:dyDescent="0.2"/>
    <row r="8300" hidden="1" x14ac:dyDescent="0.2"/>
    <row r="8301" hidden="1" x14ac:dyDescent="0.2"/>
    <row r="8302" hidden="1" x14ac:dyDescent="0.2"/>
    <row r="8303" hidden="1" x14ac:dyDescent="0.2"/>
    <row r="8304" hidden="1" x14ac:dyDescent="0.2"/>
    <row r="8305" hidden="1" x14ac:dyDescent="0.2"/>
    <row r="8306" hidden="1" x14ac:dyDescent="0.2"/>
    <row r="8307" hidden="1" x14ac:dyDescent="0.2"/>
    <row r="8308" hidden="1" x14ac:dyDescent="0.2"/>
    <row r="8309" hidden="1" x14ac:dyDescent="0.2"/>
    <row r="8310" hidden="1" x14ac:dyDescent="0.2"/>
    <row r="8311" hidden="1" x14ac:dyDescent="0.2"/>
    <row r="8312" hidden="1" x14ac:dyDescent="0.2"/>
    <row r="8313" hidden="1" x14ac:dyDescent="0.2"/>
    <row r="8314" hidden="1" x14ac:dyDescent="0.2"/>
    <row r="8315" hidden="1" x14ac:dyDescent="0.2"/>
    <row r="8316" hidden="1" x14ac:dyDescent="0.2"/>
    <row r="8317" hidden="1" x14ac:dyDescent="0.2"/>
    <row r="8318" hidden="1" x14ac:dyDescent="0.2"/>
    <row r="8319" hidden="1" x14ac:dyDescent="0.2"/>
    <row r="8320" hidden="1" x14ac:dyDescent="0.2"/>
    <row r="8321" hidden="1" x14ac:dyDescent="0.2"/>
    <row r="8322" hidden="1" x14ac:dyDescent="0.2"/>
    <row r="8323" hidden="1" x14ac:dyDescent="0.2"/>
    <row r="8324" hidden="1" x14ac:dyDescent="0.2"/>
    <row r="8325" hidden="1" x14ac:dyDescent="0.2"/>
    <row r="8326" hidden="1" x14ac:dyDescent="0.2"/>
    <row r="8327" hidden="1" x14ac:dyDescent="0.2"/>
    <row r="8328" hidden="1" x14ac:dyDescent="0.2"/>
    <row r="8329" hidden="1" x14ac:dyDescent="0.2"/>
    <row r="8330" hidden="1" x14ac:dyDescent="0.2"/>
    <row r="8331" hidden="1" x14ac:dyDescent="0.2"/>
    <row r="8332" hidden="1" x14ac:dyDescent="0.2"/>
    <row r="8333" hidden="1" x14ac:dyDescent="0.2"/>
    <row r="8334" hidden="1" x14ac:dyDescent="0.2"/>
    <row r="8335" hidden="1" x14ac:dyDescent="0.2"/>
    <row r="8336" hidden="1" x14ac:dyDescent="0.2"/>
    <row r="8337" hidden="1" x14ac:dyDescent="0.2"/>
    <row r="8338" hidden="1" x14ac:dyDescent="0.2"/>
    <row r="8339" hidden="1" x14ac:dyDescent="0.2"/>
    <row r="8340" hidden="1" x14ac:dyDescent="0.2"/>
    <row r="8341" hidden="1" x14ac:dyDescent="0.2"/>
    <row r="8342" hidden="1" x14ac:dyDescent="0.2"/>
    <row r="8343" hidden="1" x14ac:dyDescent="0.2"/>
    <row r="8344" hidden="1" x14ac:dyDescent="0.2"/>
    <row r="8345" hidden="1" x14ac:dyDescent="0.2"/>
    <row r="8346" hidden="1" x14ac:dyDescent="0.2"/>
    <row r="8347" hidden="1" x14ac:dyDescent="0.2"/>
    <row r="8348" hidden="1" x14ac:dyDescent="0.2"/>
    <row r="8349" hidden="1" x14ac:dyDescent="0.2"/>
    <row r="8350" hidden="1" x14ac:dyDescent="0.2"/>
    <row r="8351" hidden="1" x14ac:dyDescent="0.2"/>
    <row r="8352" hidden="1" x14ac:dyDescent="0.2"/>
    <row r="8353" hidden="1" x14ac:dyDescent="0.2"/>
    <row r="8354" hidden="1" x14ac:dyDescent="0.2"/>
    <row r="8355" hidden="1" x14ac:dyDescent="0.2"/>
    <row r="8356" hidden="1" x14ac:dyDescent="0.2"/>
    <row r="8357" hidden="1" x14ac:dyDescent="0.2"/>
    <row r="8358" hidden="1" x14ac:dyDescent="0.2"/>
    <row r="8359" hidden="1" x14ac:dyDescent="0.2"/>
    <row r="8360" hidden="1" x14ac:dyDescent="0.2"/>
    <row r="8361" hidden="1" x14ac:dyDescent="0.2"/>
    <row r="8362" hidden="1" x14ac:dyDescent="0.2"/>
    <row r="8363" hidden="1" x14ac:dyDescent="0.2"/>
    <row r="8364" hidden="1" x14ac:dyDescent="0.2"/>
    <row r="8365" hidden="1" x14ac:dyDescent="0.2"/>
    <row r="8366" hidden="1" x14ac:dyDescent="0.2"/>
    <row r="8367" hidden="1" x14ac:dyDescent="0.2"/>
    <row r="8368" hidden="1" x14ac:dyDescent="0.2"/>
    <row r="8369" hidden="1" x14ac:dyDescent="0.2"/>
    <row r="8370" hidden="1" x14ac:dyDescent="0.2"/>
    <row r="8371" hidden="1" x14ac:dyDescent="0.2"/>
    <row r="8372" hidden="1" x14ac:dyDescent="0.2"/>
    <row r="8373" hidden="1" x14ac:dyDescent="0.2"/>
    <row r="8374" hidden="1" x14ac:dyDescent="0.2"/>
    <row r="8375" hidden="1" x14ac:dyDescent="0.2"/>
    <row r="8376" hidden="1" x14ac:dyDescent="0.2"/>
    <row r="8377" hidden="1" x14ac:dyDescent="0.2"/>
    <row r="8378" hidden="1" x14ac:dyDescent="0.2"/>
    <row r="8379" hidden="1" x14ac:dyDescent="0.2"/>
    <row r="8380" hidden="1" x14ac:dyDescent="0.2"/>
    <row r="8381" hidden="1" x14ac:dyDescent="0.2"/>
    <row r="8382" hidden="1" x14ac:dyDescent="0.2"/>
    <row r="8383" hidden="1" x14ac:dyDescent="0.2"/>
    <row r="8384" hidden="1" x14ac:dyDescent="0.2"/>
    <row r="8385" hidden="1" x14ac:dyDescent="0.2"/>
    <row r="8386" hidden="1" x14ac:dyDescent="0.2"/>
    <row r="8387" hidden="1" x14ac:dyDescent="0.2"/>
    <row r="8388" hidden="1" x14ac:dyDescent="0.2"/>
    <row r="8389" hidden="1" x14ac:dyDescent="0.2"/>
    <row r="8390" hidden="1" x14ac:dyDescent="0.2"/>
    <row r="8391" hidden="1" x14ac:dyDescent="0.2"/>
    <row r="8392" hidden="1" x14ac:dyDescent="0.2"/>
    <row r="8393" hidden="1" x14ac:dyDescent="0.2"/>
    <row r="8394" hidden="1" x14ac:dyDescent="0.2"/>
    <row r="8395" hidden="1" x14ac:dyDescent="0.2"/>
    <row r="8396" hidden="1" x14ac:dyDescent="0.2"/>
    <row r="8397" hidden="1" x14ac:dyDescent="0.2"/>
    <row r="8398" hidden="1" x14ac:dyDescent="0.2"/>
    <row r="8399" hidden="1" x14ac:dyDescent="0.2"/>
    <row r="8400" hidden="1" x14ac:dyDescent="0.2"/>
    <row r="8401" hidden="1" x14ac:dyDescent="0.2"/>
    <row r="8402" hidden="1" x14ac:dyDescent="0.2"/>
    <row r="8403" hidden="1" x14ac:dyDescent="0.2"/>
    <row r="8404" hidden="1" x14ac:dyDescent="0.2"/>
    <row r="8405" hidden="1" x14ac:dyDescent="0.2"/>
    <row r="8406" hidden="1" x14ac:dyDescent="0.2"/>
    <row r="8407" hidden="1" x14ac:dyDescent="0.2"/>
    <row r="8408" hidden="1" x14ac:dyDescent="0.2"/>
    <row r="8409" hidden="1" x14ac:dyDescent="0.2"/>
    <row r="8410" hidden="1" x14ac:dyDescent="0.2"/>
    <row r="8411" hidden="1" x14ac:dyDescent="0.2"/>
    <row r="8412" hidden="1" x14ac:dyDescent="0.2"/>
    <row r="8413" hidden="1" x14ac:dyDescent="0.2"/>
    <row r="8414" hidden="1" x14ac:dyDescent="0.2"/>
    <row r="8415" hidden="1" x14ac:dyDescent="0.2"/>
    <row r="8416" hidden="1" x14ac:dyDescent="0.2"/>
    <row r="8417" hidden="1" x14ac:dyDescent="0.2"/>
    <row r="8418" hidden="1" x14ac:dyDescent="0.2"/>
    <row r="8419" hidden="1" x14ac:dyDescent="0.2"/>
    <row r="8420" hidden="1" x14ac:dyDescent="0.2"/>
    <row r="8421" hidden="1" x14ac:dyDescent="0.2"/>
    <row r="8422" hidden="1" x14ac:dyDescent="0.2"/>
    <row r="8423" hidden="1" x14ac:dyDescent="0.2"/>
    <row r="8424" hidden="1" x14ac:dyDescent="0.2"/>
    <row r="8425" hidden="1" x14ac:dyDescent="0.2"/>
    <row r="8426" hidden="1" x14ac:dyDescent="0.2"/>
    <row r="8427" hidden="1" x14ac:dyDescent="0.2"/>
    <row r="8428" hidden="1" x14ac:dyDescent="0.2"/>
    <row r="8429" hidden="1" x14ac:dyDescent="0.2"/>
    <row r="8430" hidden="1" x14ac:dyDescent="0.2"/>
    <row r="8431" hidden="1" x14ac:dyDescent="0.2"/>
    <row r="8432" hidden="1" x14ac:dyDescent="0.2"/>
    <row r="8433" hidden="1" x14ac:dyDescent="0.2"/>
    <row r="8434" hidden="1" x14ac:dyDescent="0.2"/>
    <row r="8435" hidden="1" x14ac:dyDescent="0.2"/>
    <row r="8436" hidden="1" x14ac:dyDescent="0.2"/>
    <row r="8437" hidden="1" x14ac:dyDescent="0.2"/>
    <row r="8438" hidden="1" x14ac:dyDescent="0.2"/>
    <row r="8439" hidden="1" x14ac:dyDescent="0.2"/>
    <row r="8440" hidden="1" x14ac:dyDescent="0.2"/>
    <row r="8441" hidden="1" x14ac:dyDescent="0.2"/>
    <row r="8442" hidden="1" x14ac:dyDescent="0.2"/>
    <row r="8443" hidden="1" x14ac:dyDescent="0.2"/>
    <row r="8444" hidden="1" x14ac:dyDescent="0.2"/>
    <row r="8445" hidden="1" x14ac:dyDescent="0.2"/>
    <row r="8446" hidden="1" x14ac:dyDescent="0.2"/>
    <row r="8447" hidden="1" x14ac:dyDescent="0.2"/>
    <row r="8448" hidden="1" x14ac:dyDescent="0.2"/>
    <row r="8449" hidden="1" x14ac:dyDescent="0.2"/>
    <row r="8450" hidden="1" x14ac:dyDescent="0.2"/>
    <row r="8451" hidden="1" x14ac:dyDescent="0.2"/>
    <row r="8452" hidden="1" x14ac:dyDescent="0.2"/>
    <row r="8453" hidden="1" x14ac:dyDescent="0.2"/>
    <row r="8454" hidden="1" x14ac:dyDescent="0.2"/>
    <row r="8455" hidden="1" x14ac:dyDescent="0.2"/>
    <row r="8456" hidden="1" x14ac:dyDescent="0.2"/>
    <row r="8457" hidden="1" x14ac:dyDescent="0.2"/>
    <row r="8458" hidden="1" x14ac:dyDescent="0.2"/>
    <row r="8459" hidden="1" x14ac:dyDescent="0.2"/>
    <row r="8460" hidden="1" x14ac:dyDescent="0.2"/>
    <row r="8461" hidden="1" x14ac:dyDescent="0.2"/>
    <row r="8462" hidden="1" x14ac:dyDescent="0.2"/>
    <row r="8463" hidden="1" x14ac:dyDescent="0.2"/>
    <row r="8464" hidden="1" x14ac:dyDescent="0.2"/>
    <row r="8465" hidden="1" x14ac:dyDescent="0.2"/>
    <row r="8466" hidden="1" x14ac:dyDescent="0.2"/>
    <row r="8467" hidden="1" x14ac:dyDescent="0.2"/>
    <row r="8468" hidden="1" x14ac:dyDescent="0.2"/>
    <row r="8469" hidden="1" x14ac:dyDescent="0.2"/>
    <row r="8470" hidden="1" x14ac:dyDescent="0.2"/>
    <row r="8471" hidden="1" x14ac:dyDescent="0.2"/>
    <row r="8472" hidden="1" x14ac:dyDescent="0.2"/>
    <row r="8473" hidden="1" x14ac:dyDescent="0.2"/>
    <row r="8474" hidden="1" x14ac:dyDescent="0.2"/>
    <row r="8475" hidden="1" x14ac:dyDescent="0.2"/>
    <row r="8476" hidden="1" x14ac:dyDescent="0.2"/>
    <row r="8477" hidden="1" x14ac:dyDescent="0.2"/>
    <row r="8478" hidden="1" x14ac:dyDescent="0.2"/>
    <row r="8479" hidden="1" x14ac:dyDescent="0.2"/>
    <row r="8480" hidden="1" x14ac:dyDescent="0.2"/>
    <row r="8481" hidden="1" x14ac:dyDescent="0.2"/>
    <row r="8482" hidden="1" x14ac:dyDescent="0.2"/>
    <row r="8483" hidden="1" x14ac:dyDescent="0.2"/>
    <row r="8484" hidden="1" x14ac:dyDescent="0.2"/>
    <row r="8485" hidden="1" x14ac:dyDescent="0.2"/>
    <row r="8486" hidden="1" x14ac:dyDescent="0.2"/>
    <row r="8487" hidden="1" x14ac:dyDescent="0.2"/>
    <row r="8488" hidden="1" x14ac:dyDescent="0.2"/>
    <row r="8489" hidden="1" x14ac:dyDescent="0.2"/>
    <row r="8490" hidden="1" x14ac:dyDescent="0.2"/>
    <row r="8491" hidden="1" x14ac:dyDescent="0.2"/>
    <row r="8492" hidden="1" x14ac:dyDescent="0.2"/>
    <row r="8493" hidden="1" x14ac:dyDescent="0.2"/>
    <row r="8494" hidden="1" x14ac:dyDescent="0.2"/>
    <row r="8495" hidden="1" x14ac:dyDescent="0.2"/>
    <row r="8496" hidden="1" x14ac:dyDescent="0.2"/>
    <row r="8497" hidden="1" x14ac:dyDescent="0.2"/>
    <row r="8498" hidden="1" x14ac:dyDescent="0.2"/>
    <row r="8499" hidden="1" x14ac:dyDescent="0.2"/>
    <row r="8500" hidden="1" x14ac:dyDescent="0.2"/>
    <row r="8501" hidden="1" x14ac:dyDescent="0.2"/>
    <row r="8502" hidden="1" x14ac:dyDescent="0.2"/>
    <row r="8503" hidden="1" x14ac:dyDescent="0.2"/>
    <row r="8504" hidden="1" x14ac:dyDescent="0.2"/>
    <row r="8505" hidden="1" x14ac:dyDescent="0.2"/>
    <row r="8506" hidden="1" x14ac:dyDescent="0.2"/>
    <row r="8507" hidden="1" x14ac:dyDescent="0.2"/>
    <row r="8508" hidden="1" x14ac:dyDescent="0.2"/>
    <row r="8509" hidden="1" x14ac:dyDescent="0.2"/>
    <row r="8510" hidden="1" x14ac:dyDescent="0.2"/>
    <row r="8511" hidden="1" x14ac:dyDescent="0.2"/>
    <row r="8512" hidden="1" x14ac:dyDescent="0.2"/>
    <row r="8513" hidden="1" x14ac:dyDescent="0.2"/>
    <row r="8514" hidden="1" x14ac:dyDescent="0.2"/>
    <row r="8515" hidden="1" x14ac:dyDescent="0.2"/>
    <row r="8516" hidden="1" x14ac:dyDescent="0.2"/>
    <row r="8517" hidden="1" x14ac:dyDescent="0.2"/>
    <row r="8518" hidden="1" x14ac:dyDescent="0.2"/>
    <row r="8519" hidden="1" x14ac:dyDescent="0.2"/>
    <row r="8520" hidden="1" x14ac:dyDescent="0.2"/>
    <row r="8521" hidden="1" x14ac:dyDescent="0.2"/>
    <row r="8522" hidden="1" x14ac:dyDescent="0.2"/>
    <row r="8523" hidden="1" x14ac:dyDescent="0.2"/>
    <row r="8524" hidden="1" x14ac:dyDescent="0.2"/>
    <row r="8525" hidden="1" x14ac:dyDescent="0.2"/>
    <row r="8526" hidden="1" x14ac:dyDescent="0.2"/>
    <row r="8527" hidden="1" x14ac:dyDescent="0.2"/>
    <row r="8528" hidden="1" x14ac:dyDescent="0.2"/>
    <row r="8529" hidden="1" x14ac:dyDescent="0.2"/>
    <row r="8530" hidden="1" x14ac:dyDescent="0.2"/>
    <row r="8531" hidden="1" x14ac:dyDescent="0.2"/>
    <row r="8532" hidden="1" x14ac:dyDescent="0.2"/>
    <row r="8533" hidden="1" x14ac:dyDescent="0.2"/>
    <row r="8534" hidden="1" x14ac:dyDescent="0.2"/>
    <row r="8535" hidden="1" x14ac:dyDescent="0.2"/>
    <row r="8536" hidden="1" x14ac:dyDescent="0.2"/>
    <row r="8537" hidden="1" x14ac:dyDescent="0.2"/>
    <row r="8538" hidden="1" x14ac:dyDescent="0.2"/>
    <row r="8539" hidden="1" x14ac:dyDescent="0.2"/>
    <row r="8540" hidden="1" x14ac:dyDescent="0.2"/>
    <row r="8541" hidden="1" x14ac:dyDescent="0.2"/>
    <row r="8542" hidden="1" x14ac:dyDescent="0.2"/>
    <row r="8543" hidden="1" x14ac:dyDescent="0.2"/>
    <row r="8544" hidden="1" x14ac:dyDescent="0.2"/>
    <row r="8545" hidden="1" x14ac:dyDescent="0.2"/>
    <row r="8546" hidden="1" x14ac:dyDescent="0.2"/>
    <row r="8547" hidden="1" x14ac:dyDescent="0.2"/>
    <row r="8548" hidden="1" x14ac:dyDescent="0.2"/>
    <row r="8549" hidden="1" x14ac:dyDescent="0.2"/>
    <row r="8550" hidden="1" x14ac:dyDescent="0.2"/>
    <row r="8551" hidden="1" x14ac:dyDescent="0.2"/>
    <row r="8552" hidden="1" x14ac:dyDescent="0.2"/>
    <row r="8553" hidden="1" x14ac:dyDescent="0.2"/>
    <row r="8554" hidden="1" x14ac:dyDescent="0.2"/>
    <row r="8555" hidden="1" x14ac:dyDescent="0.2"/>
    <row r="8556" hidden="1" x14ac:dyDescent="0.2"/>
    <row r="8557" hidden="1" x14ac:dyDescent="0.2"/>
    <row r="8558" hidden="1" x14ac:dyDescent="0.2"/>
    <row r="8559" hidden="1" x14ac:dyDescent="0.2"/>
    <row r="8560" hidden="1" x14ac:dyDescent="0.2"/>
    <row r="8561" hidden="1" x14ac:dyDescent="0.2"/>
    <row r="8562" hidden="1" x14ac:dyDescent="0.2"/>
    <row r="8563" hidden="1" x14ac:dyDescent="0.2"/>
    <row r="8564" hidden="1" x14ac:dyDescent="0.2"/>
    <row r="8565" hidden="1" x14ac:dyDescent="0.2"/>
    <row r="8566" hidden="1" x14ac:dyDescent="0.2"/>
    <row r="8567" hidden="1" x14ac:dyDescent="0.2"/>
    <row r="8568" hidden="1" x14ac:dyDescent="0.2"/>
    <row r="8569" hidden="1" x14ac:dyDescent="0.2"/>
    <row r="8570" hidden="1" x14ac:dyDescent="0.2"/>
    <row r="8571" hidden="1" x14ac:dyDescent="0.2"/>
    <row r="8572" hidden="1" x14ac:dyDescent="0.2"/>
    <row r="8573" hidden="1" x14ac:dyDescent="0.2"/>
    <row r="8574" hidden="1" x14ac:dyDescent="0.2"/>
    <row r="8575" hidden="1" x14ac:dyDescent="0.2"/>
    <row r="8576" hidden="1" x14ac:dyDescent="0.2"/>
    <row r="8577" hidden="1" x14ac:dyDescent="0.2"/>
    <row r="8578" hidden="1" x14ac:dyDescent="0.2"/>
    <row r="8579" hidden="1" x14ac:dyDescent="0.2"/>
    <row r="8580" hidden="1" x14ac:dyDescent="0.2"/>
    <row r="8581" hidden="1" x14ac:dyDescent="0.2"/>
    <row r="8582" hidden="1" x14ac:dyDescent="0.2"/>
    <row r="8583" hidden="1" x14ac:dyDescent="0.2"/>
    <row r="8584" hidden="1" x14ac:dyDescent="0.2"/>
    <row r="8585" hidden="1" x14ac:dyDescent="0.2"/>
    <row r="8586" hidden="1" x14ac:dyDescent="0.2"/>
    <row r="8587" hidden="1" x14ac:dyDescent="0.2"/>
    <row r="8588" hidden="1" x14ac:dyDescent="0.2"/>
    <row r="8589" hidden="1" x14ac:dyDescent="0.2"/>
    <row r="8590" hidden="1" x14ac:dyDescent="0.2"/>
    <row r="8591" hidden="1" x14ac:dyDescent="0.2"/>
    <row r="8592" hidden="1" x14ac:dyDescent="0.2"/>
    <row r="8593" hidden="1" x14ac:dyDescent="0.2"/>
    <row r="8594" hidden="1" x14ac:dyDescent="0.2"/>
    <row r="8595" hidden="1" x14ac:dyDescent="0.2"/>
    <row r="8596" hidden="1" x14ac:dyDescent="0.2"/>
    <row r="8597" hidden="1" x14ac:dyDescent="0.2"/>
    <row r="8598" hidden="1" x14ac:dyDescent="0.2"/>
    <row r="8599" hidden="1" x14ac:dyDescent="0.2"/>
    <row r="8600" hidden="1" x14ac:dyDescent="0.2"/>
    <row r="8601" hidden="1" x14ac:dyDescent="0.2"/>
    <row r="8602" hidden="1" x14ac:dyDescent="0.2"/>
    <row r="8603" hidden="1" x14ac:dyDescent="0.2"/>
    <row r="8604" hidden="1" x14ac:dyDescent="0.2"/>
    <row r="8605" hidden="1" x14ac:dyDescent="0.2"/>
    <row r="8606" hidden="1" x14ac:dyDescent="0.2"/>
    <row r="8607" hidden="1" x14ac:dyDescent="0.2"/>
    <row r="8608" hidden="1" x14ac:dyDescent="0.2"/>
    <row r="8609" hidden="1" x14ac:dyDescent="0.2"/>
    <row r="8610" hidden="1" x14ac:dyDescent="0.2"/>
    <row r="8611" hidden="1" x14ac:dyDescent="0.2"/>
    <row r="8612" hidden="1" x14ac:dyDescent="0.2"/>
    <row r="8613" hidden="1" x14ac:dyDescent="0.2"/>
    <row r="8614" hidden="1" x14ac:dyDescent="0.2"/>
    <row r="8615" hidden="1" x14ac:dyDescent="0.2"/>
    <row r="8616" hidden="1" x14ac:dyDescent="0.2"/>
    <row r="8617" hidden="1" x14ac:dyDescent="0.2"/>
    <row r="8618" hidden="1" x14ac:dyDescent="0.2"/>
    <row r="8619" hidden="1" x14ac:dyDescent="0.2"/>
    <row r="8620" hidden="1" x14ac:dyDescent="0.2"/>
    <row r="8621" hidden="1" x14ac:dyDescent="0.2"/>
    <row r="8622" hidden="1" x14ac:dyDescent="0.2"/>
    <row r="8623" hidden="1" x14ac:dyDescent="0.2"/>
    <row r="8624" hidden="1" x14ac:dyDescent="0.2"/>
    <row r="8625" hidden="1" x14ac:dyDescent="0.2"/>
    <row r="8626" hidden="1" x14ac:dyDescent="0.2"/>
    <row r="8627" hidden="1" x14ac:dyDescent="0.2"/>
    <row r="8628" hidden="1" x14ac:dyDescent="0.2"/>
    <row r="8629" hidden="1" x14ac:dyDescent="0.2"/>
    <row r="8630" hidden="1" x14ac:dyDescent="0.2"/>
    <row r="8631" hidden="1" x14ac:dyDescent="0.2"/>
    <row r="8632" hidden="1" x14ac:dyDescent="0.2"/>
    <row r="8633" hidden="1" x14ac:dyDescent="0.2"/>
    <row r="8634" hidden="1" x14ac:dyDescent="0.2"/>
    <row r="8635" hidden="1" x14ac:dyDescent="0.2"/>
    <row r="8636" hidden="1" x14ac:dyDescent="0.2"/>
    <row r="8637" hidden="1" x14ac:dyDescent="0.2"/>
    <row r="8638" hidden="1" x14ac:dyDescent="0.2"/>
    <row r="8639" hidden="1" x14ac:dyDescent="0.2"/>
    <row r="8640" hidden="1" x14ac:dyDescent="0.2"/>
    <row r="8641" hidden="1" x14ac:dyDescent="0.2"/>
    <row r="8642" hidden="1" x14ac:dyDescent="0.2"/>
    <row r="8643" hidden="1" x14ac:dyDescent="0.2"/>
    <row r="8644" hidden="1" x14ac:dyDescent="0.2"/>
    <row r="8645" hidden="1" x14ac:dyDescent="0.2"/>
    <row r="8646" hidden="1" x14ac:dyDescent="0.2"/>
    <row r="8647" hidden="1" x14ac:dyDescent="0.2"/>
    <row r="8648" hidden="1" x14ac:dyDescent="0.2"/>
    <row r="8649" hidden="1" x14ac:dyDescent="0.2"/>
    <row r="8650" hidden="1" x14ac:dyDescent="0.2"/>
    <row r="8651" hidden="1" x14ac:dyDescent="0.2"/>
    <row r="8652" hidden="1" x14ac:dyDescent="0.2"/>
    <row r="8653" hidden="1" x14ac:dyDescent="0.2"/>
    <row r="8654" hidden="1" x14ac:dyDescent="0.2"/>
    <row r="8655" hidden="1" x14ac:dyDescent="0.2"/>
    <row r="8656" hidden="1" x14ac:dyDescent="0.2"/>
    <row r="8657" hidden="1" x14ac:dyDescent="0.2"/>
    <row r="8658" hidden="1" x14ac:dyDescent="0.2"/>
    <row r="8659" hidden="1" x14ac:dyDescent="0.2"/>
    <row r="8660" hidden="1" x14ac:dyDescent="0.2"/>
    <row r="8661" hidden="1" x14ac:dyDescent="0.2"/>
    <row r="8662" hidden="1" x14ac:dyDescent="0.2"/>
    <row r="8663" hidden="1" x14ac:dyDescent="0.2"/>
    <row r="8664" hidden="1" x14ac:dyDescent="0.2"/>
    <row r="8665" hidden="1" x14ac:dyDescent="0.2"/>
    <row r="8666" hidden="1" x14ac:dyDescent="0.2"/>
    <row r="8667" hidden="1" x14ac:dyDescent="0.2"/>
    <row r="8668" hidden="1" x14ac:dyDescent="0.2"/>
    <row r="8669" hidden="1" x14ac:dyDescent="0.2"/>
    <row r="8670" hidden="1" x14ac:dyDescent="0.2"/>
    <row r="8671" hidden="1" x14ac:dyDescent="0.2"/>
    <row r="8672" hidden="1" x14ac:dyDescent="0.2"/>
    <row r="8673" hidden="1" x14ac:dyDescent="0.2"/>
    <row r="8674" hidden="1" x14ac:dyDescent="0.2"/>
    <row r="8675" hidden="1" x14ac:dyDescent="0.2"/>
    <row r="8676" hidden="1" x14ac:dyDescent="0.2"/>
    <row r="8677" hidden="1" x14ac:dyDescent="0.2"/>
    <row r="8678" hidden="1" x14ac:dyDescent="0.2"/>
    <row r="8679" hidden="1" x14ac:dyDescent="0.2"/>
    <row r="8680" hidden="1" x14ac:dyDescent="0.2"/>
    <row r="8681" hidden="1" x14ac:dyDescent="0.2"/>
    <row r="8682" hidden="1" x14ac:dyDescent="0.2"/>
    <row r="8683" hidden="1" x14ac:dyDescent="0.2"/>
    <row r="8684" hidden="1" x14ac:dyDescent="0.2"/>
    <row r="8685" hidden="1" x14ac:dyDescent="0.2"/>
    <row r="8686" hidden="1" x14ac:dyDescent="0.2"/>
    <row r="8687" hidden="1" x14ac:dyDescent="0.2"/>
    <row r="8688" hidden="1" x14ac:dyDescent="0.2"/>
    <row r="8689" hidden="1" x14ac:dyDescent="0.2"/>
    <row r="8690" hidden="1" x14ac:dyDescent="0.2"/>
    <row r="8691" hidden="1" x14ac:dyDescent="0.2"/>
    <row r="8692" hidden="1" x14ac:dyDescent="0.2"/>
    <row r="8693" hidden="1" x14ac:dyDescent="0.2"/>
    <row r="8694" hidden="1" x14ac:dyDescent="0.2"/>
    <row r="8695" hidden="1" x14ac:dyDescent="0.2"/>
    <row r="8696" hidden="1" x14ac:dyDescent="0.2"/>
    <row r="8697" hidden="1" x14ac:dyDescent="0.2"/>
    <row r="8698" hidden="1" x14ac:dyDescent="0.2"/>
    <row r="8699" hidden="1" x14ac:dyDescent="0.2"/>
    <row r="8700" hidden="1" x14ac:dyDescent="0.2"/>
    <row r="8701" hidden="1" x14ac:dyDescent="0.2"/>
    <row r="8702" hidden="1" x14ac:dyDescent="0.2"/>
    <row r="8703" hidden="1" x14ac:dyDescent="0.2"/>
    <row r="8704" hidden="1" x14ac:dyDescent="0.2"/>
    <row r="8705" hidden="1" x14ac:dyDescent="0.2"/>
    <row r="8706" hidden="1" x14ac:dyDescent="0.2"/>
    <row r="8707" hidden="1" x14ac:dyDescent="0.2"/>
    <row r="8708" hidden="1" x14ac:dyDescent="0.2"/>
    <row r="8709" hidden="1" x14ac:dyDescent="0.2"/>
    <row r="8710" hidden="1" x14ac:dyDescent="0.2"/>
    <row r="8711" hidden="1" x14ac:dyDescent="0.2"/>
    <row r="8712" hidden="1" x14ac:dyDescent="0.2"/>
    <row r="8713" hidden="1" x14ac:dyDescent="0.2"/>
    <row r="8714" hidden="1" x14ac:dyDescent="0.2"/>
    <row r="8715" hidden="1" x14ac:dyDescent="0.2"/>
    <row r="8716" hidden="1" x14ac:dyDescent="0.2"/>
    <row r="8717" hidden="1" x14ac:dyDescent="0.2"/>
    <row r="8718" hidden="1" x14ac:dyDescent="0.2"/>
    <row r="8719" hidden="1" x14ac:dyDescent="0.2"/>
    <row r="8720" hidden="1" x14ac:dyDescent="0.2"/>
    <row r="8721" hidden="1" x14ac:dyDescent="0.2"/>
    <row r="8722" hidden="1" x14ac:dyDescent="0.2"/>
    <row r="8723" hidden="1" x14ac:dyDescent="0.2"/>
    <row r="8724" hidden="1" x14ac:dyDescent="0.2"/>
    <row r="8725" hidden="1" x14ac:dyDescent="0.2"/>
    <row r="8726" hidden="1" x14ac:dyDescent="0.2"/>
    <row r="8727" hidden="1" x14ac:dyDescent="0.2"/>
    <row r="8728" hidden="1" x14ac:dyDescent="0.2"/>
    <row r="8729" hidden="1" x14ac:dyDescent="0.2"/>
    <row r="8730" hidden="1" x14ac:dyDescent="0.2"/>
    <row r="8731" hidden="1" x14ac:dyDescent="0.2"/>
    <row r="8732" hidden="1" x14ac:dyDescent="0.2"/>
    <row r="8733" hidden="1" x14ac:dyDescent="0.2"/>
    <row r="8734" hidden="1" x14ac:dyDescent="0.2"/>
    <row r="8735" hidden="1" x14ac:dyDescent="0.2"/>
    <row r="8736" hidden="1" x14ac:dyDescent="0.2"/>
    <row r="8737" hidden="1" x14ac:dyDescent="0.2"/>
    <row r="8738" hidden="1" x14ac:dyDescent="0.2"/>
    <row r="8739" hidden="1" x14ac:dyDescent="0.2"/>
    <row r="8740" hidden="1" x14ac:dyDescent="0.2"/>
    <row r="8741" hidden="1" x14ac:dyDescent="0.2"/>
    <row r="8742" hidden="1" x14ac:dyDescent="0.2"/>
    <row r="8743" hidden="1" x14ac:dyDescent="0.2"/>
    <row r="8744" hidden="1" x14ac:dyDescent="0.2"/>
    <row r="8745" hidden="1" x14ac:dyDescent="0.2"/>
    <row r="8746" hidden="1" x14ac:dyDescent="0.2"/>
    <row r="8747" hidden="1" x14ac:dyDescent="0.2"/>
    <row r="8748" hidden="1" x14ac:dyDescent="0.2"/>
    <row r="8749" hidden="1" x14ac:dyDescent="0.2"/>
    <row r="8750" hidden="1" x14ac:dyDescent="0.2"/>
    <row r="8751" hidden="1" x14ac:dyDescent="0.2"/>
    <row r="8752" hidden="1" x14ac:dyDescent="0.2"/>
    <row r="8753" hidden="1" x14ac:dyDescent="0.2"/>
    <row r="8754" hidden="1" x14ac:dyDescent="0.2"/>
    <row r="8755" hidden="1" x14ac:dyDescent="0.2"/>
    <row r="8756" hidden="1" x14ac:dyDescent="0.2"/>
    <row r="8757" hidden="1" x14ac:dyDescent="0.2"/>
    <row r="8758" hidden="1" x14ac:dyDescent="0.2"/>
    <row r="8759" hidden="1" x14ac:dyDescent="0.2"/>
    <row r="8760" hidden="1" x14ac:dyDescent="0.2"/>
    <row r="8761" hidden="1" x14ac:dyDescent="0.2"/>
    <row r="8762" hidden="1" x14ac:dyDescent="0.2"/>
    <row r="8763" hidden="1" x14ac:dyDescent="0.2"/>
    <row r="8764" hidden="1" x14ac:dyDescent="0.2"/>
    <row r="8765" hidden="1" x14ac:dyDescent="0.2"/>
    <row r="8766" hidden="1" x14ac:dyDescent="0.2"/>
    <row r="8767" hidden="1" x14ac:dyDescent="0.2"/>
    <row r="8768" hidden="1" x14ac:dyDescent="0.2"/>
    <row r="8769" hidden="1" x14ac:dyDescent="0.2"/>
    <row r="8770" hidden="1" x14ac:dyDescent="0.2"/>
    <row r="8771" hidden="1" x14ac:dyDescent="0.2"/>
    <row r="8772" hidden="1" x14ac:dyDescent="0.2"/>
    <row r="8773" hidden="1" x14ac:dyDescent="0.2"/>
    <row r="8774" hidden="1" x14ac:dyDescent="0.2"/>
    <row r="8775" hidden="1" x14ac:dyDescent="0.2"/>
    <row r="8776" hidden="1" x14ac:dyDescent="0.2"/>
    <row r="8777" hidden="1" x14ac:dyDescent="0.2"/>
    <row r="8778" hidden="1" x14ac:dyDescent="0.2"/>
    <row r="8779" hidden="1" x14ac:dyDescent="0.2"/>
    <row r="8780" hidden="1" x14ac:dyDescent="0.2"/>
    <row r="8781" hidden="1" x14ac:dyDescent="0.2"/>
    <row r="8782" hidden="1" x14ac:dyDescent="0.2"/>
    <row r="8783" hidden="1" x14ac:dyDescent="0.2"/>
    <row r="8784" hidden="1" x14ac:dyDescent="0.2"/>
    <row r="8785" hidden="1" x14ac:dyDescent="0.2"/>
    <row r="8786" hidden="1" x14ac:dyDescent="0.2"/>
    <row r="8787" hidden="1" x14ac:dyDescent="0.2"/>
    <row r="8788" hidden="1" x14ac:dyDescent="0.2"/>
    <row r="8789" hidden="1" x14ac:dyDescent="0.2"/>
    <row r="8790" hidden="1" x14ac:dyDescent="0.2"/>
    <row r="8791" hidden="1" x14ac:dyDescent="0.2"/>
    <row r="8792" hidden="1" x14ac:dyDescent="0.2"/>
    <row r="8793" hidden="1" x14ac:dyDescent="0.2"/>
    <row r="8794" hidden="1" x14ac:dyDescent="0.2"/>
    <row r="8795" hidden="1" x14ac:dyDescent="0.2"/>
    <row r="8796" hidden="1" x14ac:dyDescent="0.2"/>
    <row r="8797" hidden="1" x14ac:dyDescent="0.2"/>
    <row r="8798" hidden="1" x14ac:dyDescent="0.2"/>
    <row r="8799" hidden="1" x14ac:dyDescent="0.2"/>
    <row r="8800" hidden="1" x14ac:dyDescent="0.2"/>
    <row r="8801" hidden="1" x14ac:dyDescent="0.2"/>
    <row r="8802" hidden="1" x14ac:dyDescent="0.2"/>
    <row r="8803" hidden="1" x14ac:dyDescent="0.2"/>
    <row r="8804" hidden="1" x14ac:dyDescent="0.2"/>
    <row r="8805" hidden="1" x14ac:dyDescent="0.2"/>
    <row r="8806" hidden="1" x14ac:dyDescent="0.2"/>
    <row r="8807" hidden="1" x14ac:dyDescent="0.2"/>
    <row r="8808" hidden="1" x14ac:dyDescent="0.2"/>
    <row r="8809" hidden="1" x14ac:dyDescent="0.2"/>
    <row r="8810" hidden="1" x14ac:dyDescent="0.2"/>
    <row r="8811" hidden="1" x14ac:dyDescent="0.2"/>
    <row r="8812" hidden="1" x14ac:dyDescent="0.2"/>
    <row r="8813" hidden="1" x14ac:dyDescent="0.2"/>
    <row r="8814" hidden="1" x14ac:dyDescent="0.2"/>
    <row r="8815" hidden="1" x14ac:dyDescent="0.2"/>
    <row r="8816" hidden="1" x14ac:dyDescent="0.2"/>
    <row r="8817" hidden="1" x14ac:dyDescent="0.2"/>
    <row r="8818" hidden="1" x14ac:dyDescent="0.2"/>
    <row r="8819" hidden="1" x14ac:dyDescent="0.2"/>
    <row r="8820" hidden="1" x14ac:dyDescent="0.2"/>
    <row r="8821" hidden="1" x14ac:dyDescent="0.2"/>
    <row r="8822" hidden="1" x14ac:dyDescent="0.2"/>
    <row r="8823" hidden="1" x14ac:dyDescent="0.2"/>
    <row r="8824" hidden="1" x14ac:dyDescent="0.2"/>
    <row r="8825" hidden="1" x14ac:dyDescent="0.2"/>
    <row r="8826" hidden="1" x14ac:dyDescent="0.2"/>
    <row r="8827" hidden="1" x14ac:dyDescent="0.2"/>
    <row r="8828" hidden="1" x14ac:dyDescent="0.2"/>
    <row r="8829" hidden="1" x14ac:dyDescent="0.2"/>
    <row r="8830" hidden="1" x14ac:dyDescent="0.2"/>
    <row r="8831" hidden="1" x14ac:dyDescent="0.2"/>
    <row r="8832" hidden="1" x14ac:dyDescent="0.2"/>
    <row r="8833" hidden="1" x14ac:dyDescent="0.2"/>
    <row r="8834" hidden="1" x14ac:dyDescent="0.2"/>
    <row r="8835" hidden="1" x14ac:dyDescent="0.2"/>
    <row r="8836" hidden="1" x14ac:dyDescent="0.2"/>
    <row r="8837" hidden="1" x14ac:dyDescent="0.2"/>
    <row r="8838" hidden="1" x14ac:dyDescent="0.2"/>
    <row r="8839" hidden="1" x14ac:dyDescent="0.2"/>
    <row r="8840" hidden="1" x14ac:dyDescent="0.2"/>
    <row r="8841" hidden="1" x14ac:dyDescent="0.2"/>
    <row r="8842" hidden="1" x14ac:dyDescent="0.2"/>
    <row r="8843" hidden="1" x14ac:dyDescent="0.2"/>
    <row r="8844" hidden="1" x14ac:dyDescent="0.2"/>
    <row r="8845" hidden="1" x14ac:dyDescent="0.2"/>
    <row r="8846" hidden="1" x14ac:dyDescent="0.2"/>
    <row r="8847" hidden="1" x14ac:dyDescent="0.2"/>
    <row r="8848" hidden="1" x14ac:dyDescent="0.2"/>
    <row r="8849" hidden="1" x14ac:dyDescent="0.2"/>
    <row r="8850" hidden="1" x14ac:dyDescent="0.2"/>
    <row r="8851" hidden="1" x14ac:dyDescent="0.2"/>
    <row r="8852" hidden="1" x14ac:dyDescent="0.2"/>
    <row r="8853" hidden="1" x14ac:dyDescent="0.2"/>
    <row r="8854" hidden="1" x14ac:dyDescent="0.2"/>
    <row r="8855" hidden="1" x14ac:dyDescent="0.2"/>
    <row r="8856" hidden="1" x14ac:dyDescent="0.2"/>
    <row r="8857" hidden="1" x14ac:dyDescent="0.2"/>
    <row r="8858" hidden="1" x14ac:dyDescent="0.2"/>
    <row r="8859" hidden="1" x14ac:dyDescent="0.2"/>
    <row r="8860" hidden="1" x14ac:dyDescent="0.2"/>
    <row r="8861" hidden="1" x14ac:dyDescent="0.2"/>
    <row r="8862" hidden="1" x14ac:dyDescent="0.2"/>
    <row r="8863" hidden="1" x14ac:dyDescent="0.2"/>
    <row r="8864" hidden="1" x14ac:dyDescent="0.2"/>
    <row r="8865" hidden="1" x14ac:dyDescent="0.2"/>
    <row r="8866" hidden="1" x14ac:dyDescent="0.2"/>
    <row r="8867" hidden="1" x14ac:dyDescent="0.2"/>
    <row r="8868" hidden="1" x14ac:dyDescent="0.2"/>
    <row r="8869" hidden="1" x14ac:dyDescent="0.2"/>
    <row r="8870" hidden="1" x14ac:dyDescent="0.2"/>
    <row r="8871" hidden="1" x14ac:dyDescent="0.2"/>
    <row r="8872" hidden="1" x14ac:dyDescent="0.2"/>
    <row r="8873" hidden="1" x14ac:dyDescent="0.2"/>
    <row r="8874" hidden="1" x14ac:dyDescent="0.2"/>
    <row r="8875" hidden="1" x14ac:dyDescent="0.2"/>
    <row r="8876" hidden="1" x14ac:dyDescent="0.2"/>
    <row r="8877" hidden="1" x14ac:dyDescent="0.2"/>
    <row r="8878" hidden="1" x14ac:dyDescent="0.2"/>
    <row r="8879" hidden="1" x14ac:dyDescent="0.2"/>
    <row r="8880" hidden="1" x14ac:dyDescent="0.2"/>
    <row r="8881" hidden="1" x14ac:dyDescent="0.2"/>
    <row r="8882" hidden="1" x14ac:dyDescent="0.2"/>
    <row r="8883" hidden="1" x14ac:dyDescent="0.2"/>
    <row r="8884" hidden="1" x14ac:dyDescent="0.2"/>
    <row r="8885" hidden="1" x14ac:dyDescent="0.2"/>
    <row r="8886" hidden="1" x14ac:dyDescent="0.2"/>
    <row r="8887" hidden="1" x14ac:dyDescent="0.2"/>
    <row r="8888" hidden="1" x14ac:dyDescent="0.2"/>
    <row r="8889" hidden="1" x14ac:dyDescent="0.2"/>
    <row r="8890" hidden="1" x14ac:dyDescent="0.2"/>
    <row r="8891" hidden="1" x14ac:dyDescent="0.2"/>
    <row r="8892" hidden="1" x14ac:dyDescent="0.2"/>
    <row r="8893" hidden="1" x14ac:dyDescent="0.2"/>
    <row r="8894" hidden="1" x14ac:dyDescent="0.2"/>
    <row r="8895" hidden="1" x14ac:dyDescent="0.2"/>
    <row r="8896" hidden="1" x14ac:dyDescent="0.2"/>
    <row r="8897" hidden="1" x14ac:dyDescent="0.2"/>
    <row r="8898" hidden="1" x14ac:dyDescent="0.2"/>
    <row r="8899" hidden="1" x14ac:dyDescent="0.2"/>
    <row r="8900" hidden="1" x14ac:dyDescent="0.2"/>
    <row r="8901" hidden="1" x14ac:dyDescent="0.2"/>
    <row r="8902" hidden="1" x14ac:dyDescent="0.2"/>
    <row r="8903" hidden="1" x14ac:dyDescent="0.2"/>
    <row r="8904" hidden="1" x14ac:dyDescent="0.2"/>
    <row r="8905" hidden="1" x14ac:dyDescent="0.2"/>
    <row r="8906" hidden="1" x14ac:dyDescent="0.2"/>
    <row r="8907" hidden="1" x14ac:dyDescent="0.2"/>
    <row r="8908" hidden="1" x14ac:dyDescent="0.2"/>
    <row r="8909" hidden="1" x14ac:dyDescent="0.2"/>
    <row r="8910" hidden="1" x14ac:dyDescent="0.2"/>
    <row r="8911" hidden="1" x14ac:dyDescent="0.2"/>
    <row r="8912" hidden="1" x14ac:dyDescent="0.2"/>
    <row r="8913" hidden="1" x14ac:dyDescent="0.2"/>
    <row r="8914" hidden="1" x14ac:dyDescent="0.2"/>
    <row r="8915" hidden="1" x14ac:dyDescent="0.2"/>
    <row r="8916" hidden="1" x14ac:dyDescent="0.2"/>
    <row r="8917" hidden="1" x14ac:dyDescent="0.2"/>
    <row r="8918" hidden="1" x14ac:dyDescent="0.2"/>
    <row r="8919" hidden="1" x14ac:dyDescent="0.2"/>
    <row r="8920" hidden="1" x14ac:dyDescent="0.2"/>
    <row r="8921" hidden="1" x14ac:dyDescent="0.2"/>
    <row r="8922" hidden="1" x14ac:dyDescent="0.2"/>
    <row r="8923" hidden="1" x14ac:dyDescent="0.2"/>
    <row r="8924" hidden="1" x14ac:dyDescent="0.2"/>
    <row r="8925" hidden="1" x14ac:dyDescent="0.2"/>
    <row r="8926" hidden="1" x14ac:dyDescent="0.2"/>
    <row r="8927" hidden="1" x14ac:dyDescent="0.2"/>
    <row r="8928" hidden="1" x14ac:dyDescent="0.2"/>
    <row r="8929" hidden="1" x14ac:dyDescent="0.2"/>
    <row r="8930" hidden="1" x14ac:dyDescent="0.2"/>
    <row r="8931" hidden="1" x14ac:dyDescent="0.2"/>
    <row r="8932" hidden="1" x14ac:dyDescent="0.2"/>
    <row r="8933" hidden="1" x14ac:dyDescent="0.2"/>
    <row r="8934" hidden="1" x14ac:dyDescent="0.2"/>
    <row r="8935" hidden="1" x14ac:dyDescent="0.2"/>
    <row r="8936" hidden="1" x14ac:dyDescent="0.2"/>
    <row r="8937" hidden="1" x14ac:dyDescent="0.2"/>
    <row r="8938" hidden="1" x14ac:dyDescent="0.2"/>
    <row r="8939" hidden="1" x14ac:dyDescent="0.2"/>
    <row r="8940" hidden="1" x14ac:dyDescent="0.2"/>
    <row r="8941" hidden="1" x14ac:dyDescent="0.2"/>
    <row r="8942" hidden="1" x14ac:dyDescent="0.2"/>
    <row r="8943" hidden="1" x14ac:dyDescent="0.2"/>
    <row r="8944" hidden="1" x14ac:dyDescent="0.2"/>
    <row r="8945" hidden="1" x14ac:dyDescent="0.2"/>
    <row r="8946" hidden="1" x14ac:dyDescent="0.2"/>
    <row r="8947" hidden="1" x14ac:dyDescent="0.2"/>
    <row r="8948" hidden="1" x14ac:dyDescent="0.2"/>
    <row r="8949" hidden="1" x14ac:dyDescent="0.2"/>
    <row r="8950" hidden="1" x14ac:dyDescent="0.2"/>
    <row r="8951" hidden="1" x14ac:dyDescent="0.2"/>
    <row r="8952" hidden="1" x14ac:dyDescent="0.2"/>
    <row r="8953" hidden="1" x14ac:dyDescent="0.2"/>
    <row r="8954" hidden="1" x14ac:dyDescent="0.2"/>
    <row r="8955" hidden="1" x14ac:dyDescent="0.2"/>
    <row r="8956" hidden="1" x14ac:dyDescent="0.2"/>
    <row r="8957" hidden="1" x14ac:dyDescent="0.2"/>
    <row r="8958" hidden="1" x14ac:dyDescent="0.2"/>
    <row r="8959" hidden="1" x14ac:dyDescent="0.2"/>
    <row r="8960" hidden="1" x14ac:dyDescent="0.2"/>
    <row r="8961" hidden="1" x14ac:dyDescent="0.2"/>
    <row r="8962" hidden="1" x14ac:dyDescent="0.2"/>
    <row r="8963" hidden="1" x14ac:dyDescent="0.2"/>
    <row r="8964" hidden="1" x14ac:dyDescent="0.2"/>
    <row r="8965" hidden="1" x14ac:dyDescent="0.2"/>
    <row r="8966" hidden="1" x14ac:dyDescent="0.2"/>
    <row r="8967" hidden="1" x14ac:dyDescent="0.2"/>
    <row r="8968" hidden="1" x14ac:dyDescent="0.2"/>
    <row r="8969" hidden="1" x14ac:dyDescent="0.2"/>
    <row r="8970" hidden="1" x14ac:dyDescent="0.2"/>
    <row r="8971" hidden="1" x14ac:dyDescent="0.2"/>
    <row r="8972" hidden="1" x14ac:dyDescent="0.2"/>
    <row r="8973" hidden="1" x14ac:dyDescent="0.2"/>
    <row r="8974" hidden="1" x14ac:dyDescent="0.2"/>
    <row r="8975" hidden="1" x14ac:dyDescent="0.2"/>
    <row r="8976" hidden="1" x14ac:dyDescent="0.2"/>
    <row r="8977" hidden="1" x14ac:dyDescent="0.2"/>
    <row r="8978" hidden="1" x14ac:dyDescent="0.2"/>
    <row r="8979" hidden="1" x14ac:dyDescent="0.2"/>
    <row r="8980" hidden="1" x14ac:dyDescent="0.2"/>
    <row r="8981" hidden="1" x14ac:dyDescent="0.2"/>
    <row r="8982" hidden="1" x14ac:dyDescent="0.2"/>
    <row r="8983" hidden="1" x14ac:dyDescent="0.2"/>
    <row r="8984" hidden="1" x14ac:dyDescent="0.2"/>
    <row r="8985" hidden="1" x14ac:dyDescent="0.2"/>
    <row r="8986" hidden="1" x14ac:dyDescent="0.2"/>
    <row r="8987" hidden="1" x14ac:dyDescent="0.2"/>
    <row r="8988" hidden="1" x14ac:dyDescent="0.2"/>
    <row r="8989" hidden="1" x14ac:dyDescent="0.2"/>
    <row r="8990" hidden="1" x14ac:dyDescent="0.2"/>
    <row r="8991" hidden="1" x14ac:dyDescent="0.2"/>
    <row r="8992" hidden="1" x14ac:dyDescent="0.2"/>
    <row r="8993" hidden="1" x14ac:dyDescent="0.2"/>
    <row r="8994" hidden="1" x14ac:dyDescent="0.2"/>
    <row r="8995" hidden="1" x14ac:dyDescent="0.2"/>
    <row r="8996" hidden="1" x14ac:dyDescent="0.2"/>
    <row r="8997" hidden="1" x14ac:dyDescent="0.2"/>
    <row r="8998" hidden="1" x14ac:dyDescent="0.2"/>
    <row r="8999" hidden="1" x14ac:dyDescent="0.2"/>
    <row r="9000" hidden="1" x14ac:dyDescent="0.2"/>
    <row r="9001" hidden="1" x14ac:dyDescent="0.2"/>
    <row r="9002" hidden="1" x14ac:dyDescent="0.2"/>
    <row r="9003" hidden="1" x14ac:dyDescent="0.2"/>
    <row r="9004" hidden="1" x14ac:dyDescent="0.2"/>
    <row r="9005" hidden="1" x14ac:dyDescent="0.2"/>
    <row r="9006" hidden="1" x14ac:dyDescent="0.2"/>
    <row r="9007" hidden="1" x14ac:dyDescent="0.2"/>
    <row r="9008" hidden="1" x14ac:dyDescent="0.2"/>
    <row r="9009" hidden="1" x14ac:dyDescent="0.2"/>
    <row r="9010" hidden="1" x14ac:dyDescent="0.2"/>
    <row r="9011" hidden="1" x14ac:dyDescent="0.2"/>
    <row r="9012" hidden="1" x14ac:dyDescent="0.2"/>
    <row r="9013" hidden="1" x14ac:dyDescent="0.2"/>
    <row r="9014" hidden="1" x14ac:dyDescent="0.2"/>
    <row r="9015" hidden="1" x14ac:dyDescent="0.2"/>
    <row r="9016" hidden="1" x14ac:dyDescent="0.2"/>
    <row r="9017" hidden="1" x14ac:dyDescent="0.2"/>
    <row r="9018" hidden="1" x14ac:dyDescent="0.2"/>
    <row r="9019" hidden="1" x14ac:dyDescent="0.2"/>
    <row r="9020" hidden="1" x14ac:dyDescent="0.2"/>
    <row r="9021" hidden="1" x14ac:dyDescent="0.2"/>
    <row r="9022" hidden="1" x14ac:dyDescent="0.2"/>
    <row r="9023" hidden="1" x14ac:dyDescent="0.2"/>
    <row r="9024" hidden="1" x14ac:dyDescent="0.2"/>
    <row r="9025" hidden="1" x14ac:dyDescent="0.2"/>
    <row r="9026" hidden="1" x14ac:dyDescent="0.2"/>
    <row r="9027" hidden="1" x14ac:dyDescent="0.2"/>
    <row r="9028" hidden="1" x14ac:dyDescent="0.2"/>
    <row r="9029" hidden="1" x14ac:dyDescent="0.2"/>
    <row r="9030" hidden="1" x14ac:dyDescent="0.2"/>
    <row r="9031" hidden="1" x14ac:dyDescent="0.2"/>
    <row r="9032" hidden="1" x14ac:dyDescent="0.2"/>
    <row r="9033" hidden="1" x14ac:dyDescent="0.2"/>
    <row r="9034" hidden="1" x14ac:dyDescent="0.2"/>
    <row r="9035" hidden="1" x14ac:dyDescent="0.2"/>
    <row r="9036" hidden="1" x14ac:dyDescent="0.2"/>
    <row r="9037" hidden="1" x14ac:dyDescent="0.2"/>
    <row r="9038" hidden="1" x14ac:dyDescent="0.2"/>
    <row r="9039" hidden="1" x14ac:dyDescent="0.2"/>
    <row r="9040" hidden="1" x14ac:dyDescent="0.2"/>
    <row r="9041" hidden="1" x14ac:dyDescent="0.2"/>
    <row r="9042" hidden="1" x14ac:dyDescent="0.2"/>
    <row r="9043" hidden="1" x14ac:dyDescent="0.2"/>
    <row r="9044" hidden="1" x14ac:dyDescent="0.2"/>
    <row r="9045" hidden="1" x14ac:dyDescent="0.2"/>
    <row r="9046" hidden="1" x14ac:dyDescent="0.2"/>
    <row r="9047" hidden="1" x14ac:dyDescent="0.2"/>
    <row r="9048" hidden="1" x14ac:dyDescent="0.2"/>
    <row r="9049" hidden="1" x14ac:dyDescent="0.2"/>
    <row r="9050" hidden="1" x14ac:dyDescent="0.2"/>
    <row r="9051" hidden="1" x14ac:dyDescent="0.2"/>
    <row r="9052" hidden="1" x14ac:dyDescent="0.2"/>
    <row r="9053" hidden="1" x14ac:dyDescent="0.2"/>
    <row r="9054" hidden="1" x14ac:dyDescent="0.2"/>
    <row r="9055" hidden="1" x14ac:dyDescent="0.2"/>
    <row r="9056" hidden="1" x14ac:dyDescent="0.2"/>
    <row r="9057" hidden="1" x14ac:dyDescent="0.2"/>
    <row r="9058" hidden="1" x14ac:dyDescent="0.2"/>
    <row r="9059" hidden="1" x14ac:dyDescent="0.2"/>
    <row r="9060" hidden="1" x14ac:dyDescent="0.2"/>
    <row r="9061" hidden="1" x14ac:dyDescent="0.2"/>
    <row r="9062" hidden="1" x14ac:dyDescent="0.2"/>
    <row r="9063" hidden="1" x14ac:dyDescent="0.2"/>
    <row r="9064" hidden="1" x14ac:dyDescent="0.2"/>
    <row r="9065" hidden="1" x14ac:dyDescent="0.2"/>
    <row r="9066" hidden="1" x14ac:dyDescent="0.2"/>
    <row r="9067" hidden="1" x14ac:dyDescent="0.2"/>
    <row r="9068" hidden="1" x14ac:dyDescent="0.2"/>
    <row r="9069" hidden="1" x14ac:dyDescent="0.2"/>
    <row r="9070" hidden="1" x14ac:dyDescent="0.2"/>
    <row r="9071" hidden="1" x14ac:dyDescent="0.2"/>
    <row r="9072" hidden="1" x14ac:dyDescent="0.2"/>
    <row r="9073" hidden="1" x14ac:dyDescent="0.2"/>
    <row r="9074" hidden="1" x14ac:dyDescent="0.2"/>
    <row r="9075" hidden="1" x14ac:dyDescent="0.2"/>
    <row r="9076" hidden="1" x14ac:dyDescent="0.2"/>
    <row r="9077" hidden="1" x14ac:dyDescent="0.2"/>
    <row r="9078" hidden="1" x14ac:dyDescent="0.2"/>
    <row r="9079" hidden="1" x14ac:dyDescent="0.2"/>
    <row r="9080" hidden="1" x14ac:dyDescent="0.2"/>
    <row r="9081" hidden="1" x14ac:dyDescent="0.2"/>
    <row r="9082" hidden="1" x14ac:dyDescent="0.2"/>
    <row r="9083" hidden="1" x14ac:dyDescent="0.2"/>
    <row r="9084" hidden="1" x14ac:dyDescent="0.2"/>
    <row r="9085" hidden="1" x14ac:dyDescent="0.2"/>
    <row r="9086" hidden="1" x14ac:dyDescent="0.2"/>
    <row r="9087" hidden="1" x14ac:dyDescent="0.2"/>
    <row r="9088" hidden="1" x14ac:dyDescent="0.2"/>
    <row r="9089" hidden="1" x14ac:dyDescent="0.2"/>
    <row r="9090" hidden="1" x14ac:dyDescent="0.2"/>
    <row r="9091" hidden="1" x14ac:dyDescent="0.2"/>
    <row r="9092" hidden="1" x14ac:dyDescent="0.2"/>
    <row r="9093" hidden="1" x14ac:dyDescent="0.2"/>
    <row r="9094" hidden="1" x14ac:dyDescent="0.2"/>
    <row r="9095" hidden="1" x14ac:dyDescent="0.2"/>
    <row r="9096" hidden="1" x14ac:dyDescent="0.2"/>
    <row r="9097" hidden="1" x14ac:dyDescent="0.2"/>
    <row r="9098" hidden="1" x14ac:dyDescent="0.2"/>
    <row r="9099" hidden="1" x14ac:dyDescent="0.2"/>
    <row r="9100" hidden="1" x14ac:dyDescent="0.2"/>
    <row r="9101" hidden="1" x14ac:dyDescent="0.2"/>
    <row r="9102" hidden="1" x14ac:dyDescent="0.2"/>
    <row r="9103" hidden="1" x14ac:dyDescent="0.2"/>
    <row r="9104" hidden="1" x14ac:dyDescent="0.2"/>
    <row r="9105" hidden="1" x14ac:dyDescent="0.2"/>
    <row r="9106" hidden="1" x14ac:dyDescent="0.2"/>
    <row r="9107" hidden="1" x14ac:dyDescent="0.2"/>
    <row r="9108" hidden="1" x14ac:dyDescent="0.2"/>
    <row r="9109" hidden="1" x14ac:dyDescent="0.2"/>
    <row r="9110" hidden="1" x14ac:dyDescent="0.2"/>
    <row r="9111" hidden="1" x14ac:dyDescent="0.2"/>
    <row r="9112" hidden="1" x14ac:dyDescent="0.2"/>
    <row r="9113" hidden="1" x14ac:dyDescent="0.2"/>
    <row r="9114" hidden="1" x14ac:dyDescent="0.2"/>
    <row r="9115" hidden="1" x14ac:dyDescent="0.2"/>
    <row r="9116" hidden="1" x14ac:dyDescent="0.2"/>
    <row r="9117" hidden="1" x14ac:dyDescent="0.2"/>
    <row r="9118" hidden="1" x14ac:dyDescent="0.2"/>
    <row r="9119" hidden="1" x14ac:dyDescent="0.2"/>
    <row r="9120" hidden="1" x14ac:dyDescent="0.2"/>
    <row r="9121" hidden="1" x14ac:dyDescent="0.2"/>
    <row r="9122" hidden="1" x14ac:dyDescent="0.2"/>
    <row r="9123" hidden="1" x14ac:dyDescent="0.2"/>
    <row r="9124" hidden="1" x14ac:dyDescent="0.2"/>
    <row r="9125" hidden="1" x14ac:dyDescent="0.2"/>
    <row r="9126" hidden="1" x14ac:dyDescent="0.2"/>
    <row r="9127" hidden="1" x14ac:dyDescent="0.2"/>
    <row r="9128" hidden="1" x14ac:dyDescent="0.2"/>
    <row r="9129" hidden="1" x14ac:dyDescent="0.2"/>
    <row r="9130" hidden="1" x14ac:dyDescent="0.2"/>
    <row r="9131" hidden="1" x14ac:dyDescent="0.2"/>
    <row r="9132" hidden="1" x14ac:dyDescent="0.2"/>
    <row r="9133" hidden="1" x14ac:dyDescent="0.2"/>
    <row r="9134" hidden="1" x14ac:dyDescent="0.2"/>
    <row r="9135" hidden="1" x14ac:dyDescent="0.2"/>
    <row r="9136" hidden="1" x14ac:dyDescent="0.2"/>
    <row r="9137" hidden="1" x14ac:dyDescent="0.2"/>
    <row r="9138" hidden="1" x14ac:dyDescent="0.2"/>
    <row r="9139" hidden="1" x14ac:dyDescent="0.2"/>
    <row r="9140" hidden="1" x14ac:dyDescent="0.2"/>
    <row r="9141" hidden="1" x14ac:dyDescent="0.2"/>
    <row r="9142" hidden="1" x14ac:dyDescent="0.2"/>
    <row r="9143" hidden="1" x14ac:dyDescent="0.2"/>
    <row r="9144" hidden="1" x14ac:dyDescent="0.2"/>
    <row r="9145" hidden="1" x14ac:dyDescent="0.2"/>
    <row r="9146" hidden="1" x14ac:dyDescent="0.2"/>
    <row r="9147" hidden="1" x14ac:dyDescent="0.2"/>
    <row r="9148" hidden="1" x14ac:dyDescent="0.2"/>
    <row r="9149" hidden="1" x14ac:dyDescent="0.2"/>
    <row r="9150" hidden="1" x14ac:dyDescent="0.2"/>
    <row r="9151" hidden="1" x14ac:dyDescent="0.2"/>
    <row r="9152" hidden="1" x14ac:dyDescent="0.2"/>
    <row r="9153" hidden="1" x14ac:dyDescent="0.2"/>
    <row r="9154" hidden="1" x14ac:dyDescent="0.2"/>
    <row r="9155" hidden="1" x14ac:dyDescent="0.2"/>
    <row r="9156" hidden="1" x14ac:dyDescent="0.2"/>
    <row r="9157" hidden="1" x14ac:dyDescent="0.2"/>
    <row r="9158" hidden="1" x14ac:dyDescent="0.2"/>
    <row r="9159" hidden="1" x14ac:dyDescent="0.2"/>
    <row r="9160" hidden="1" x14ac:dyDescent="0.2"/>
    <row r="9161" hidden="1" x14ac:dyDescent="0.2"/>
    <row r="9162" hidden="1" x14ac:dyDescent="0.2"/>
    <row r="9163" hidden="1" x14ac:dyDescent="0.2"/>
    <row r="9164" hidden="1" x14ac:dyDescent="0.2"/>
    <row r="9165" hidden="1" x14ac:dyDescent="0.2"/>
    <row r="9166" hidden="1" x14ac:dyDescent="0.2"/>
    <row r="9167" hidden="1" x14ac:dyDescent="0.2"/>
    <row r="9168" hidden="1" x14ac:dyDescent="0.2"/>
    <row r="9169" hidden="1" x14ac:dyDescent="0.2"/>
    <row r="9170" hidden="1" x14ac:dyDescent="0.2"/>
    <row r="9171" hidden="1" x14ac:dyDescent="0.2"/>
    <row r="9172" hidden="1" x14ac:dyDescent="0.2"/>
    <row r="9173" hidden="1" x14ac:dyDescent="0.2"/>
    <row r="9174" hidden="1" x14ac:dyDescent="0.2"/>
    <row r="9175" hidden="1" x14ac:dyDescent="0.2"/>
    <row r="9176" hidden="1" x14ac:dyDescent="0.2"/>
    <row r="9177" hidden="1" x14ac:dyDescent="0.2"/>
    <row r="9178" hidden="1" x14ac:dyDescent="0.2"/>
    <row r="9179" hidden="1" x14ac:dyDescent="0.2"/>
    <row r="9180" hidden="1" x14ac:dyDescent="0.2"/>
    <row r="9181" hidden="1" x14ac:dyDescent="0.2"/>
    <row r="9182" hidden="1" x14ac:dyDescent="0.2"/>
    <row r="9183" hidden="1" x14ac:dyDescent="0.2"/>
    <row r="9184" hidden="1" x14ac:dyDescent="0.2"/>
    <row r="9185" hidden="1" x14ac:dyDescent="0.2"/>
    <row r="9186" hidden="1" x14ac:dyDescent="0.2"/>
    <row r="9187" hidden="1" x14ac:dyDescent="0.2"/>
    <row r="9188" hidden="1" x14ac:dyDescent="0.2"/>
    <row r="9189" hidden="1" x14ac:dyDescent="0.2"/>
    <row r="9190" hidden="1" x14ac:dyDescent="0.2"/>
    <row r="9191" hidden="1" x14ac:dyDescent="0.2"/>
    <row r="9192" hidden="1" x14ac:dyDescent="0.2"/>
    <row r="9193" hidden="1" x14ac:dyDescent="0.2"/>
    <row r="9194" hidden="1" x14ac:dyDescent="0.2"/>
    <row r="9195" hidden="1" x14ac:dyDescent="0.2"/>
    <row r="9196" hidden="1" x14ac:dyDescent="0.2"/>
    <row r="9197" hidden="1" x14ac:dyDescent="0.2"/>
    <row r="9198" hidden="1" x14ac:dyDescent="0.2"/>
    <row r="9199" hidden="1" x14ac:dyDescent="0.2"/>
    <row r="9200" hidden="1" x14ac:dyDescent="0.2"/>
    <row r="9201" hidden="1" x14ac:dyDescent="0.2"/>
    <row r="9202" hidden="1" x14ac:dyDescent="0.2"/>
    <row r="9203" hidden="1" x14ac:dyDescent="0.2"/>
    <row r="9204" hidden="1" x14ac:dyDescent="0.2"/>
    <row r="9205" hidden="1" x14ac:dyDescent="0.2"/>
    <row r="9206" hidden="1" x14ac:dyDescent="0.2"/>
    <row r="9207" hidden="1" x14ac:dyDescent="0.2"/>
    <row r="9208" hidden="1" x14ac:dyDescent="0.2"/>
    <row r="9209" hidden="1" x14ac:dyDescent="0.2"/>
    <row r="9210" hidden="1" x14ac:dyDescent="0.2"/>
    <row r="9211" hidden="1" x14ac:dyDescent="0.2"/>
    <row r="9212" hidden="1" x14ac:dyDescent="0.2"/>
    <row r="9213" hidden="1" x14ac:dyDescent="0.2"/>
    <row r="9214" hidden="1" x14ac:dyDescent="0.2"/>
    <row r="9215" hidden="1" x14ac:dyDescent="0.2"/>
    <row r="9216" hidden="1" x14ac:dyDescent="0.2"/>
    <row r="9217" hidden="1" x14ac:dyDescent="0.2"/>
    <row r="9218" hidden="1" x14ac:dyDescent="0.2"/>
    <row r="9219" hidden="1" x14ac:dyDescent="0.2"/>
    <row r="9220" hidden="1" x14ac:dyDescent="0.2"/>
    <row r="9221" hidden="1" x14ac:dyDescent="0.2"/>
    <row r="9222" hidden="1" x14ac:dyDescent="0.2"/>
    <row r="9223" hidden="1" x14ac:dyDescent="0.2"/>
    <row r="9224" hidden="1" x14ac:dyDescent="0.2"/>
    <row r="9225" hidden="1" x14ac:dyDescent="0.2"/>
    <row r="9226" hidden="1" x14ac:dyDescent="0.2"/>
    <row r="9227" hidden="1" x14ac:dyDescent="0.2"/>
    <row r="9228" hidden="1" x14ac:dyDescent="0.2"/>
    <row r="9229" hidden="1" x14ac:dyDescent="0.2"/>
    <row r="9230" hidden="1" x14ac:dyDescent="0.2"/>
    <row r="9231" hidden="1" x14ac:dyDescent="0.2"/>
    <row r="9232" hidden="1" x14ac:dyDescent="0.2"/>
    <row r="9233" hidden="1" x14ac:dyDescent="0.2"/>
    <row r="9234" hidden="1" x14ac:dyDescent="0.2"/>
    <row r="9235" hidden="1" x14ac:dyDescent="0.2"/>
    <row r="9236" hidden="1" x14ac:dyDescent="0.2"/>
    <row r="9237" hidden="1" x14ac:dyDescent="0.2"/>
    <row r="9238" hidden="1" x14ac:dyDescent="0.2"/>
    <row r="9239" hidden="1" x14ac:dyDescent="0.2"/>
    <row r="9240" hidden="1" x14ac:dyDescent="0.2"/>
    <row r="9241" hidden="1" x14ac:dyDescent="0.2"/>
    <row r="9242" hidden="1" x14ac:dyDescent="0.2"/>
    <row r="9243" hidden="1" x14ac:dyDescent="0.2"/>
    <row r="9244" hidden="1" x14ac:dyDescent="0.2"/>
    <row r="9245" hidden="1" x14ac:dyDescent="0.2"/>
    <row r="9246" hidden="1" x14ac:dyDescent="0.2"/>
    <row r="9247" hidden="1" x14ac:dyDescent="0.2"/>
    <row r="9248" hidden="1" x14ac:dyDescent="0.2"/>
    <row r="9249" hidden="1" x14ac:dyDescent="0.2"/>
    <row r="9250" hidden="1" x14ac:dyDescent="0.2"/>
    <row r="9251" hidden="1" x14ac:dyDescent="0.2"/>
    <row r="9252" hidden="1" x14ac:dyDescent="0.2"/>
    <row r="9253" hidden="1" x14ac:dyDescent="0.2"/>
    <row r="9254" hidden="1" x14ac:dyDescent="0.2"/>
    <row r="9255" hidden="1" x14ac:dyDescent="0.2"/>
    <row r="9256" hidden="1" x14ac:dyDescent="0.2"/>
    <row r="9257" hidden="1" x14ac:dyDescent="0.2"/>
    <row r="9258" hidden="1" x14ac:dyDescent="0.2"/>
    <row r="9259" hidden="1" x14ac:dyDescent="0.2"/>
    <row r="9260" hidden="1" x14ac:dyDescent="0.2"/>
    <row r="9261" hidden="1" x14ac:dyDescent="0.2"/>
    <row r="9262" hidden="1" x14ac:dyDescent="0.2"/>
    <row r="9263" hidden="1" x14ac:dyDescent="0.2"/>
    <row r="9264" hidden="1" x14ac:dyDescent="0.2"/>
    <row r="9265" hidden="1" x14ac:dyDescent="0.2"/>
    <row r="9266" hidden="1" x14ac:dyDescent="0.2"/>
    <row r="9267" hidden="1" x14ac:dyDescent="0.2"/>
    <row r="9268" hidden="1" x14ac:dyDescent="0.2"/>
    <row r="9269" hidden="1" x14ac:dyDescent="0.2"/>
    <row r="9270" hidden="1" x14ac:dyDescent="0.2"/>
    <row r="9271" hidden="1" x14ac:dyDescent="0.2"/>
    <row r="9272" hidden="1" x14ac:dyDescent="0.2"/>
    <row r="9273" hidden="1" x14ac:dyDescent="0.2"/>
    <row r="9274" hidden="1" x14ac:dyDescent="0.2"/>
    <row r="9275" hidden="1" x14ac:dyDescent="0.2"/>
    <row r="9276" hidden="1" x14ac:dyDescent="0.2"/>
    <row r="9277" hidden="1" x14ac:dyDescent="0.2"/>
    <row r="9278" hidden="1" x14ac:dyDescent="0.2"/>
    <row r="9279" hidden="1" x14ac:dyDescent="0.2"/>
    <row r="9280" hidden="1" x14ac:dyDescent="0.2"/>
    <row r="9281" hidden="1" x14ac:dyDescent="0.2"/>
    <row r="9282" hidden="1" x14ac:dyDescent="0.2"/>
    <row r="9283" hidden="1" x14ac:dyDescent="0.2"/>
    <row r="9284" hidden="1" x14ac:dyDescent="0.2"/>
    <row r="9285" hidden="1" x14ac:dyDescent="0.2"/>
    <row r="9286" hidden="1" x14ac:dyDescent="0.2"/>
    <row r="9287" hidden="1" x14ac:dyDescent="0.2"/>
    <row r="9288" hidden="1" x14ac:dyDescent="0.2"/>
    <row r="9289" hidden="1" x14ac:dyDescent="0.2"/>
    <row r="9290" hidden="1" x14ac:dyDescent="0.2"/>
    <row r="9291" hidden="1" x14ac:dyDescent="0.2"/>
    <row r="9292" hidden="1" x14ac:dyDescent="0.2"/>
    <row r="9293" hidden="1" x14ac:dyDescent="0.2"/>
    <row r="9294" hidden="1" x14ac:dyDescent="0.2"/>
    <row r="9295" hidden="1" x14ac:dyDescent="0.2"/>
    <row r="9296" hidden="1" x14ac:dyDescent="0.2"/>
    <row r="9297" hidden="1" x14ac:dyDescent="0.2"/>
    <row r="9298" hidden="1" x14ac:dyDescent="0.2"/>
    <row r="9299" hidden="1" x14ac:dyDescent="0.2"/>
    <row r="9300" hidden="1" x14ac:dyDescent="0.2"/>
    <row r="9301" hidden="1" x14ac:dyDescent="0.2"/>
    <row r="9302" hidden="1" x14ac:dyDescent="0.2"/>
    <row r="9303" hidden="1" x14ac:dyDescent="0.2"/>
    <row r="9304" hidden="1" x14ac:dyDescent="0.2"/>
    <row r="9305" hidden="1" x14ac:dyDescent="0.2"/>
    <row r="9306" hidden="1" x14ac:dyDescent="0.2"/>
    <row r="9307" hidden="1" x14ac:dyDescent="0.2"/>
    <row r="9308" hidden="1" x14ac:dyDescent="0.2"/>
    <row r="9309" hidden="1" x14ac:dyDescent="0.2"/>
    <row r="9310" hidden="1" x14ac:dyDescent="0.2"/>
    <row r="9311" hidden="1" x14ac:dyDescent="0.2"/>
    <row r="9312" hidden="1" x14ac:dyDescent="0.2"/>
    <row r="9313" hidden="1" x14ac:dyDescent="0.2"/>
    <row r="9314" hidden="1" x14ac:dyDescent="0.2"/>
    <row r="9315" hidden="1" x14ac:dyDescent="0.2"/>
    <row r="9316" hidden="1" x14ac:dyDescent="0.2"/>
    <row r="9317" hidden="1" x14ac:dyDescent="0.2"/>
    <row r="9318" hidden="1" x14ac:dyDescent="0.2"/>
    <row r="9319" hidden="1" x14ac:dyDescent="0.2"/>
    <row r="9320" hidden="1" x14ac:dyDescent="0.2"/>
    <row r="9321" hidden="1" x14ac:dyDescent="0.2"/>
    <row r="9322" hidden="1" x14ac:dyDescent="0.2"/>
    <row r="9323" hidden="1" x14ac:dyDescent="0.2"/>
    <row r="9324" hidden="1" x14ac:dyDescent="0.2"/>
    <row r="9325" hidden="1" x14ac:dyDescent="0.2"/>
    <row r="9326" hidden="1" x14ac:dyDescent="0.2"/>
    <row r="9327" hidden="1" x14ac:dyDescent="0.2"/>
    <row r="9328" hidden="1" x14ac:dyDescent="0.2"/>
    <row r="9329" hidden="1" x14ac:dyDescent="0.2"/>
    <row r="9330" hidden="1" x14ac:dyDescent="0.2"/>
    <row r="9331" hidden="1" x14ac:dyDescent="0.2"/>
    <row r="9332" hidden="1" x14ac:dyDescent="0.2"/>
    <row r="9333" hidden="1" x14ac:dyDescent="0.2"/>
    <row r="9334" hidden="1" x14ac:dyDescent="0.2"/>
    <row r="9335" hidden="1" x14ac:dyDescent="0.2"/>
    <row r="9336" hidden="1" x14ac:dyDescent="0.2"/>
    <row r="9337" hidden="1" x14ac:dyDescent="0.2"/>
    <row r="9338" hidden="1" x14ac:dyDescent="0.2"/>
    <row r="9339" hidden="1" x14ac:dyDescent="0.2"/>
    <row r="9340" hidden="1" x14ac:dyDescent="0.2"/>
    <row r="9341" hidden="1" x14ac:dyDescent="0.2"/>
    <row r="9342" hidden="1" x14ac:dyDescent="0.2"/>
    <row r="9343" hidden="1" x14ac:dyDescent="0.2"/>
    <row r="9344" hidden="1" x14ac:dyDescent="0.2"/>
    <row r="9345" hidden="1" x14ac:dyDescent="0.2"/>
    <row r="9346" hidden="1" x14ac:dyDescent="0.2"/>
    <row r="9347" hidden="1" x14ac:dyDescent="0.2"/>
    <row r="9348" hidden="1" x14ac:dyDescent="0.2"/>
    <row r="9349" hidden="1" x14ac:dyDescent="0.2"/>
    <row r="9350" hidden="1" x14ac:dyDescent="0.2"/>
    <row r="9351" hidden="1" x14ac:dyDescent="0.2"/>
    <row r="9352" hidden="1" x14ac:dyDescent="0.2"/>
    <row r="9353" hidden="1" x14ac:dyDescent="0.2"/>
    <row r="9354" hidden="1" x14ac:dyDescent="0.2"/>
    <row r="9355" hidden="1" x14ac:dyDescent="0.2"/>
    <row r="9356" hidden="1" x14ac:dyDescent="0.2"/>
    <row r="9357" hidden="1" x14ac:dyDescent="0.2"/>
    <row r="9358" hidden="1" x14ac:dyDescent="0.2"/>
    <row r="9359" hidden="1" x14ac:dyDescent="0.2"/>
    <row r="9360" hidden="1" x14ac:dyDescent="0.2"/>
    <row r="9361" hidden="1" x14ac:dyDescent="0.2"/>
    <row r="9362" hidden="1" x14ac:dyDescent="0.2"/>
    <row r="9363" hidden="1" x14ac:dyDescent="0.2"/>
    <row r="9364" hidden="1" x14ac:dyDescent="0.2"/>
    <row r="9365" hidden="1" x14ac:dyDescent="0.2"/>
    <row r="9366" hidden="1" x14ac:dyDescent="0.2"/>
    <row r="9367" hidden="1" x14ac:dyDescent="0.2"/>
    <row r="9368" hidden="1" x14ac:dyDescent="0.2"/>
    <row r="9369" hidden="1" x14ac:dyDescent="0.2"/>
    <row r="9370" hidden="1" x14ac:dyDescent="0.2"/>
    <row r="9371" hidden="1" x14ac:dyDescent="0.2"/>
    <row r="9372" hidden="1" x14ac:dyDescent="0.2"/>
    <row r="9373" hidden="1" x14ac:dyDescent="0.2"/>
    <row r="9374" hidden="1" x14ac:dyDescent="0.2"/>
    <row r="9375" hidden="1" x14ac:dyDescent="0.2"/>
    <row r="9376" hidden="1" x14ac:dyDescent="0.2"/>
    <row r="9377" hidden="1" x14ac:dyDescent="0.2"/>
    <row r="9378" hidden="1" x14ac:dyDescent="0.2"/>
    <row r="9379" hidden="1" x14ac:dyDescent="0.2"/>
    <row r="9380" hidden="1" x14ac:dyDescent="0.2"/>
    <row r="9381" hidden="1" x14ac:dyDescent="0.2"/>
    <row r="9382" hidden="1" x14ac:dyDescent="0.2"/>
    <row r="9383" hidden="1" x14ac:dyDescent="0.2"/>
    <row r="9384" hidden="1" x14ac:dyDescent="0.2"/>
    <row r="9385" hidden="1" x14ac:dyDescent="0.2"/>
    <row r="9386" hidden="1" x14ac:dyDescent="0.2"/>
    <row r="9387" hidden="1" x14ac:dyDescent="0.2"/>
    <row r="9388" hidden="1" x14ac:dyDescent="0.2"/>
    <row r="9389" hidden="1" x14ac:dyDescent="0.2"/>
    <row r="9390" hidden="1" x14ac:dyDescent="0.2"/>
    <row r="9391" hidden="1" x14ac:dyDescent="0.2"/>
    <row r="9392" hidden="1" x14ac:dyDescent="0.2"/>
    <row r="9393" hidden="1" x14ac:dyDescent="0.2"/>
    <row r="9394" hidden="1" x14ac:dyDescent="0.2"/>
    <row r="9395" hidden="1" x14ac:dyDescent="0.2"/>
    <row r="9396" hidden="1" x14ac:dyDescent="0.2"/>
    <row r="9397" hidden="1" x14ac:dyDescent="0.2"/>
    <row r="9398" hidden="1" x14ac:dyDescent="0.2"/>
    <row r="9399" hidden="1" x14ac:dyDescent="0.2"/>
    <row r="9400" hidden="1" x14ac:dyDescent="0.2"/>
    <row r="9401" hidden="1" x14ac:dyDescent="0.2"/>
    <row r="9402" hidden="1" x14ac:dyDescent="0.2"/>
    <row r="9403" hidden="1" x14ac:dyDescent="0.2"/>
    <row r="9404" hidden="1" x14ac:dyDescent="0.2"/>
    <row r="9405" hidden="1" x14ac:dyDescent="0.2"/>
    <row r="9406" hidden="1" x14ac:dyDescent="0.2"/>
    <row r="9407" hidden="1" x14ac:dyDescent="0.2"/>
    <row r="9408" hidden="1" x14ac:dyDescent="0.2"/>
    <row r="9409" hidden="1" x14ac:dyDescent="0.2"/>
    <row r="9410" hidden="1" x14ac:dyDescent="0.2"/>
    <row r="9411" hidden="1" x14ac:dyDescent="0.2"/>
    <row r="9412" hidden="1" x14ac:dyDescent="0.2"/>
    <row r="9413" hidden="1" x14ac:dyDescent="0.2"/>
    <row r="9414" hidden="1" x14ac:dyDescent="0.2"/>
    <row r="9415" hidden="1" x14ac:dyDescent="0.2"/>
    <row r="9416" hidden="1" x14ac:dyDescent="0.2"/>
    <row r="9417" hidden="1" x14ac:dyDescent="0.2"/>
    <row r="9418" hidden="1" x14ac:dyDescent="0.2"/>
    <row r="9419" hidden="1" x14ac:dyDescent="0.2"/>
    <row r="9420" hidden="1" x14ac:dyDescent="0.2"/>
    <row r="9421" hidden="1" x14ac:dyDescent="0.2"/>
    <row r="9422" hidden="1" x14ac:dyDescent="0.2"/>
    <row r="9423" hidden="1" x14ac:dyDescent="0.2"/>
    <row r="9424" hidden="1" x14ac:dyDescent="0.2"/>
    <row r="9425" hidden="1" x14ac:dyDescent="0.2"/>
    <row r="9426" hidden="1" x14ac:dyDescent="0.2"/>
    <row r="9427" hidden="1" x14ac:dyDescent="0.2"/>
    <row r="9428" hidden="1" x14ac:dyDescent="0.2"/>
    <row r="9429" hidden="1" x14ac:dyDescent="0.2"/>
    <row r="9430" hidden="1" x14ac:dyDescent="0.2"/>
    <row r="9431" hidden="1" x14ac:dyDescent="0.2"/>
    <row r="9432" hidden="1" x14ac:dyDescent="0.2"/>
    <row r="9433" hidden="1" x14ac:dyDescent="0.2"/>
    <row r="9434" hidden="1" x14ac:dyDescent="0.2"/>
    <row r="9435" hidden="1" x14ac:dyDescent="0.2"/>
    <row r="9436" hidden="1" x14ac:dyDescent="0.2"/>
    <row r="9437" hidden="1" x14ac:dyDescent="0.2"/>
    <row r="9438" hidden="1" x14ac:dyDescent="0.2"/>
    <row r="9439" hidden="1" x14ac:dyDescent="0.2"/>
    <row r="9440" hidden="1" x14ac:dyDescent="0.2"/>
    <row r="9441" hidden="1" x14ac:dyDescent="0.2"/>
    <row r="9442" hidden="1" x14ac:dyDescent="0.2"/>
    <row r="9443" hidden="1" x14ac:dyDescent="0.2"/>
    <row r="9444" hidden="1" x14ac:dyDescent="0.2"/>
    <row r="9445" hidden="1" x14ac:dyDescent="0.2"/>
    <row r="9446" hidden="1" x14ac:dyDescent="0.2"/>
    <row r="9447" hidden="1" x14ac:dyDescent="0.2"/>
    <row r="9448" hidden="1" x14ac:dyDescent="0.2"/>
    <row r="9449" hidden="1" x14ac:dyDescent="0.2"/>
    <row r="9450" hidden="1" x14ac:dyDescent="0.2"/>
    <row r="9451" hidden="1" x14ac:dyDescent="0.2"/>
    <row r="9452" hidden="1" x14ac:dyDescent="0.2"/>
    <row r="9453" hidden="1" x14ac:dyDescent="0.2"/>
    <row r="9454" hidden="1" x14ac:dyDescent="0.2"/>
    <row r="9455" hidden="1" x14ac:dyDescent="0.2"/>
    <row r="9456" hidden="1" x14ac:dyDescent="0.2"/>
    <row r="9457" hidden="1" x14ac:dyDescent="0.2"/>
    <row r="9458" hidden="1" x14ac:dyDescent="0.2"/>
    <row r="9459" hidden="1" x14ac:dyDescent="0.2"/>
    <row r="9460" hidden="1" x14ac:dyDescent="0.2"/>
    <row r="9461" hidden="1" x14ac:dyDescent="0.2"/>
    <row r="9462" hidden="1" x14ac:dyDescent="0.2"/>
    <row r="9463" hidden="1" x14ac:dyDescent="0.2"/>
    <row r="9464" hidden="1" x14ac:dyDescent="0.2"/>
    <row r="9465" hidden="1" x14ac:dyDescent="0.2"/>
    <row r="9466" hidden="1" x14ac:dyDescent="0.2"/>
    <row r="9467" hidden="1" x14ac:dyDescent="0.2"/>
    <row r="9468" hidden="1" x14ac:dyDescent="0.2"/>
    <row r="9469" hidden="1" x14ac:dyDescent="0.2"/>
    <row r="9470" hidden="1" x14ac:dyDescent="0.2"/>
    <row r="9471" hidden="1" x14ac:dyDescent="0.2"/>
    <row r="9472" hidden="1" x14ac:dyDescent="0.2"/>
    <row r="9473" hidden="1" x14ac:dyDescent="0.2"/>
    <row r="9474" hidden="1" x14ac:dyDescent="0.2"/>
    <row r="9475" hidden="1" x14ac:dyDescent="0.2"/>
    <row r="9476" hidden="1" x14ac:dyDescent="0.2"/>
    <row r="9477" hidden="1" x14ac:dyDescent="0.2"/>
    <row r="9478" hidden="1" x14ac:dyDescent="0.2"/>
    <row r="9479" hidden="1" x14ac:dyDescent="0.2"/>
    <row r="9480" hidden="1" x14ac:dyDescent="0.2"/>
    <row r="9481" hidden="1" x14ac:dyDescent="0.2"/>
    <row r="9482" hidden="1" x14ac:dyDescent="0.2"/>
    <row r="9483" hidden="1" x14ac:dyDescent="0.2"/>
    <row r="9484" hidden="1" x14ac:dyDescent="0.2"/>
    <row r="9485" hidden="1" x14ac:dyDescent="0.2"/>
    <row r="9486" hidden="1" x14ac:dyDescent="0.2"/>
    <row r="9487" hidden="1" x14ac:dyDescent="0.2"/>
    <row r="9488" hidden="1" x14ac:dyDescent="0.2"/>
    <row r="9489" hidden="1" x14ac:dyDescent="0.2"/>
    <row r="9490" hidden="1" x14ac:dyDescent="0.2"/>
    <row r="9491" hidden="1" x14ac:dyDescent="0.2"/>
    <row r="9492" hidden="1" x14ac:dyDescent="0.2"/>
    <row r="9493" hidden="1" x14ac:dyDescent="0.2"/>
    <row r="9494" hidden="1" x14ac:dyDescent="0.2"/>
    <row r="9495" hidden="1" x14ac:dyDescent="0.2"/>
    <row r="9496" hidden="1" x14ac:dyDescent="0.2"/>
    <row r="9497" hidden="1" x14ac:dyDescent="0.2"/>
    <row r="9498" hidden="1" x14ac:dyDescent="0.2"/>
    <row r="9499" hidden="1" x14ac:dyDescent="0.2"/>
    <row r="9500" hidden="1" x14ac:dyDescent="0.2"/>
    <row r="9501" hidden="1" x14ac:dyDescent="0.2"/>
    <row r="9502" hidden="1" x14ac:dyDescent="0.2"/>
    <row r="9503" hidden="1" x14ac:dyDescent="0.2"/>
    <row r="9504" hidden="1" x14ac:dyDescent="0.2"/>
    <row r="9505" hidden="1" x14ac:dyDescent="0.2"/>
    <row r="9506" hidden="1" x14ac:dyDescent="0.2"/>
    <row r="9507" hidden="1" x14ac:dyDescent="0.2"/>
    <row r="9508" hidden="1" x14ac:dyDescent="0.2"/>
    <row r="9509" hidden="1" x14ac:dyDescent="0.2"/>
    <row r="9510" hidden="1" x14ac:dyDescent="0.2"/>
    <row r="9511" hidden="1" x14ac:dyDescent="0.2"/>
    <row r="9512" hidden="1" x14ac:dyDescent="0.2"/>
    <row r="9513" hidden="1" x14ac:dyDescent="0.2"/>
    <row r="9514" hidden="1" x14ac:dyDescent="0.2"/>
    <row r="9515" hidden="1" x14ac:dyDescent="0.2"/>
    <row r="9516" hidden="1" x14ac:dyDescent="0.2"/>
    <row r="9517" hidden="1" x14ac:dyDescent="0.2"/>
    <row r="9518" hidden="1" x14ac:dyDescent="0.2"/>
    <row r="9519" hidden="1" x14ac:dyDescent="0.2"/>
    <row r="9520" hidden="1" x14ac:dyDescent="0.2"/>
    <row r="9521" hidden="1" x14ac:dyDescent="0.2"/>
    <row r="9522" hidden="1" x14ac:dyDescent="0.2"/>
    <row r="9523" hidden="1" x14ac:dyDescent="0.2"/>
    <row r="9524" hidden="1" x14ac:dyDescent="0.2"/>
    <row r="9525" hidden="1" x14ac:dyDescent="0.2"/>
    <row r="9526" hidden="1" x14ac:dyDescent="0.2"/>
    <row r="9527" hidden="1" x14ac:dyDescent="0.2"/>
    <row r="9528" hidden="1" x14ac:dyDescent="0.2"/>
    <row r="9529" hidden="1" x14ac:dyDescent="0.2"/>
    <row r="9530" hidden="1" x14ac:dyDescent="0.2"/>
    <row r="9531" hidden="1" x14ac:dyDescent="0.2"/>
    <row r="9532" hidden="1" x14ac:dyDescent="0.2"/>
    <row r="9533" hidden="1" x14ac:dyDescent="0.2"/>
    <row r="9534" hidden="1" x14ac:dyDescent="0.2"/>
    <row r="9535" hidden="1" x14ac:dyDescent="0.2"/>
    <row r="9536" hidden="1" x14ac:dyDescent="0.2"/>
    <row r="9537" hidden="1" x14ac:dyDescent="0.2"/>
    <row r="9538" hidden="1" x14ac:dyDescent="0.2"/>
    <row r="9539" hidden="1" x14ac:dyDescent="0.2"/>
    <row r="9540" hidden="1" x14ac:dyDescent="0.2"/>
    <row r="9541" hidden="1" x14ac:dyDescent="0.2"/>
    <row r="9542" hidden="1" x14ac:dyDescent="0.2"/>
    <row r="9543" hidden="1" x14ac:dyDescent="0.2"/>
    <row r="9544" hidden="1" x14ac:dyDescent="0.2"/>
    <row r="9545" hidden="1" x14ac:dyDescent="0.2"/>
    <row r="9546" hidden="1" x14ac:dyDescent="0.2"/>
    <row r="9547" hidden="1" x14ac:dyDescent="0.2"/>
    <row r="9548" hidden="1" x14ac:dyDescent="0.2"/>
    <row r="9549" hidden="1" x14ac:dyDescent="0.2"/>
    <row r="9550" hidden="1" x14ac:dyDescent="0.2"/>
    <row r="9551" hidden="1" x14ac:dyDescent="0.2"/>
    <row r="9552" hidden="1" x14ac:dyDescent="0.2"/>
    <row r="9553" hidden="1" x14ac:dyDescent="0.2"/>
    <row r="9554" hidden="1" x14ac:dyDescent="0.2"/>
    <row r="9555" hidden="1" x14ac:dyDescent="0.2"/>
    <row r="9556" hidden="1" x14ac:dyDescent="0.2"/>
    <row r="9557" hidden="1" x14ac:dyDescent="0.2"/>
    <row r="9558" hidden="1" x14ac:dyDescent="0.2"/>
    <row r="9559" hidden="1" x14ac:dyDescent="0.2"/>
    <row r="9560" hidden="1" x14ac:dyDescent="0.2"/>
    <row r="9561" hidden="1" x14ac:dyDescent="0.2"/>
    <row r="9562" hidden="1" x14ac:dyDescent="0.2"/>
    <row r="9563" hidden="1" x14ac:dyDescent="0.2"/>
    <row r="9564" hidden="1" x14ac:dyDescent="0.2"/>
    <row r="9565" hidden="1" x14ac:dyDescent="0.2"/>
    <row r="9566" hidden="1" x14ac:dyDescent="0.2"/>
    <row r="9567" hidden="1" x14ac:dyDescent="0.2"/>
    <row r="9568" hidden="1" x14ac:dyDescent="0.2"/>
    <row r="9569" hidden="1" x14ac:dyDescent="0.2"/>
    <row r="9570" hidden="1" x14ac:dyDescent="0.2"/>
    <row r="9571" hidden="1" x14ac:dyDescent="0.2"/>
    <row r="9572" hidden="1" x14ac:dyDescent="0.2"/>
    <row r="9573" hidden="1" x14ac:dyDescent="0.2"/>
    <row r="9574" hidden="1" x14ac:dyDescent="0.2"/>
    <row r="9575" hidden="1" x14ac:dyDescent="0.2"/>
    <row r="9576" hidden="1" x14ac:dyDescent="0.2"/>
    <row r="9577" hidden="1" x14ac:dyDescent="0.2"/>
    <row r="9578" hidden="1" x14ac:dyDescent="0.2"/>
    <row r="9579" hidden="1" x14ac:dyDescent="0.2"/>
    <row r="9580" hidden="1" x14ac:dyDescent="0.2"/>
    <row r="9581" hidden="1" x14ac:dyDescent="0.2"/>
    <row r="9582" hidden="1" x14ac:dyDescent="0.2"/>
    <row r="9583" hidden="1" x14ac:dyDescent="0.2"/>
    <row r="9584" hidden="1" x14ac:dyDescent="0.2"/>
    <row r="9585" hidden="1" x14ac:dyDescent="0.2"/>
    <row r="9586" hidden="1" x14ac:dyDescent="0.2"/>
    <row r="9587" hidden="1" x14ac:dyDescent="0.2"/>
    <row r="9588" hidden="1" x14ac:dyDescent="0.2"/>
    <row r="9589" hidden="1" x14ac:dyDescent="0.2"/>
    <row r="9590" hidden="1" x14ac:dyDescent="0.2"/>
    <row r="9591" hidden="1" x14ac:dyDescent="0.2"/>
    <row r="9592" hidden="1" x14ac:dyDescent="0.2"/>
    <row r="9593" hidden="1" x14ac:dyDescent="0.2"/>
    <row r="9594" hidden="1" x14ac:dyDescent="0.2"/>
    <row r="9595" hidden="1" x14ac:dyDescent="0.2"/>
    <row r="9596" hidden="1" x14ac:dyDescent="0.2"/>
    <row r="9597" hidden="1" x14ac:dyDescent="0.2"/>
    <row r="9598" hidden="1" x14ac:dyDescent="0.2"/>
    <row r="9599" hidden="1" x14ac:dyDescent="0.2"/>
    <row r="9600" hidden="1" x14ac:dyDescent="0.2"/>
    <row r="9601" hidden="1" x14ac:dyDescent="0.2"/>
    <row r="9602" hidden="1" x14ac:dyDescent="0.2"/>
    <row r="9603" hidden="1" x14ac:dyDescent="0.2"/>
    <row r="9604" hidden="1" x14ac:dyDescent="0.2"/>
    <row r="9605" hidden="1" x14ac:dyDescent="0.2"/>
    <row r="9606" hidden="1" x14ac:dyDescent="0.2"/>
    <row r="9607" hidden="1" x14ac:dyDescent="0.2"/>
    <row r="9608" hidden="1" x14ac:dyDescent="0.2"/>
    <row r="9609" hidden="1" x14ac:dyDescent="0.2"/>
    <row r="9610" hidden="1" x14ac:dyDescent="0.2"/>
    <row r="9611" hidden="1" x14ac:dyDescent="0.2"/>
    <row r="9612" hidden="1" x14ac:dyDescent="0.2"/>
    <row r="9613" hidden="1" x14ac:dyDescent="0.2"/>
    <row r="9614" hidden="1" x14ac:dyDescent="0.2"/>
    <row r="9615" hidden="1" x14ac:dyDescent="0.2"/>
    <row r="9616" hidden="1" x14ac:dyDescent="0.2"/>
    <row r="9617" hidden="1" x14ac:dyDescent="0.2"/>
    <row r="9618" hidden="1" x14ac:dyDescent="0.2"/>
    <row r="9619" hidden="1" x14ac:dyDescent="0.2"/>
    <row r="9620" hidden="1" x14ac:dyDescent="0.2"/>
    <row r="9621" hidden="1" x14ac:dyDescent="0.2"/>
    <row r="9622" hidden="1" x14ac:dyDescent="0.2"/>
    <row r="9623" hidden="1" x14ac:dyDescent="0.2"/>
    <row r="9624" hidden="1" x14ac:dyDescent="0.2"/>
    <row r="9625" hidden="1" x14ac:dyDescent="0.2"/>
    <row r="9626" hidden="1" x14ac:dyDescent="0.2"/>
    <row r="9627" hidden="1" x14ac:dyDescent="0.2"/>
    <row r="9628" hidden="1" x14ac:dyDescent="0.2"/>
    <row r="9629" hidden="1" x14ac:dyDescent="0.2"/>
    <row r="9630" hidden="1" x14ac:dyDescent="0.2"/>
    <row r="9631" hidden="1" x14ac:dyDescent="0.2"/>
    <row r="9632" hidden="1" x14ac:dyDescent="0.2"/>
    <row r="9633" hidden="1" x14ac:dyDescent="0.2"/>
    <row r="9634" hidden="1" x14ac:dyDescent="0.2"/>
    <row r="9635" hidden="1" x14ac:dyDescent="0.2"/>
    <row r="9636" hidden="1" x14ac:dyDescent="0.2"/>
    <row r="9637" hidden="1" x14ac:dyDescent="0.2"/>
    <row r="9638" hidden="1" x14ac:dyDescent="0.2"/>
    <row r="9639" hidden="1" x14ac:dyDescent="0.2"/>
    <row r="9640" hidden="1" x14ac:dyDescent="0.2"/>
    <row r="9641" hidden="1" x14ac:dyDescent="0.2"/>
    <row r="9642" hidden="1" x14ac:dyDescent="0.2"/>
    <row r="9643" hidden="1" x14ac:dyDescent="0.2"/>
    <row r="9644" hidden="1" x14ac:dyDescent="0.2"/>
    <row r="9645" hidden="1" x14ac:dyDescent="0.2"/>
    <row r="9646" hidden="1" x14ac:dyDescent="0.2"/>
    <row r="9647" hidden="1" x14ac:dyDescent="0.2"/>
    <row r="9648" hidden="1" x14ac:dyDescent="0.2"/>
    <row r="9649" hidden="1" x14ac:dyDescent="0.2"/>
    <row r="9650" hidden="1" x14ac:dyDescent="0.2"/>
    <row r="9651" hidden="1" x14ac:dyDescent="0.2"/>
    <row r="9652" hidden="1" x14ac:dyDescent="0.2"/>
    <row r="9653" hidden="1" x14ac:dyDescent="0.2"/>
    <row r="9654" hidden="1" x14ac:dyDescent="0.2"/>
    <row r="9655" hidden="1" x14ac:dyDescent="0.2"/>
    <row r="9656" hidden="1" x14ac:dyDescent="0.2"/>
    <row r="9657" hidden="1" x14ac:dyDescent="0.2"/>
    <row r="9658" hidden="1" x14ac:dyDescent="0.2"/>
    <row r="9659" hidden="1" x14ac:dyDescent="0.2"/>
    <row r="9660" hidden="1" x14ac:dyDescent="0.2"/>
    <row r="9661" hidden="1" x14ac:dyDescent="0.2"/>
    <row r="9662" hidden="1" x14ac:dyDescent="0.2"/>
    <row r="9663" hidden="1" x14ac:dyDescent="0.2"/>
    <row r="9664" hidden="1" x14ac:dyDescent="0.2"/>
    <row r="9665" hidden="1" x14ac:dyDescent="0.2"/>
    <row r="9666" hidden="1" x14ac:dyDescent="0.2"/>
    <row r="9667" hidden="1" x14ac:dyDescent="0.2"/>
    <row r="9668" hidden="1" x14ac:dyDescent="0.2"/>
    <row r="9669" hidden="1" x14ac:dyDescent="0.2"/>
    <row r="9670" hidden="1" x14ac:dyDescent="0.2"/>
    <row r="9671" hidden="1" x14ac:dyDescent="0.2"/>
    <row r="9672" hidden="1" x14ac:dyDescent="0.2"/>
    <row r="9673" hidden="1" x14ac:dyDescent="0.2"/>
    <row r="9674" hidden="1" x14ac:dyDescent="0.2"/>
    <row r="9675" hidden="1" x14ac:dyDescent="0.2"/>
    <row r="9676" hidden="1" x14ac:dyDescent="0.2"/>
    <row r="9677" hidden="1" x14ac:dyDescent="0.2"/>
    <row r="9678" hidden="1" x14ac:dyDescent="0.2"/>
    <row r="9679" hidden="1" x14ac:dyDescent="0.2"/>
    <row r="9680" hidden="1" x14ac:dyDescent="0.2"/>
    <row r="9681" hidden="1" x14ac:dyDescent="0.2"/>
    <row r="9682" hidden="1" x14ac:dyDescent="0.2"/>
    <row r="9683" hidden="1" x14ac:dyDescent="0.2"/>
    <row r="9684" hidden="1" x14ac:dyDescent="0.2"/>
    <row r="9685" hidden="1" x14ac:dyDescent="0.2"/>
    <row r="9686" hidden="1" x14ac:dyDescent="0.2"/>
    <row r="9687" hidden="1" x14ac:dyDescent="0.2"/>
    <row r="9688" hidden="1" x14ac:dyDescent="0.2"/>
    <row r="9689" hidden="1" x14ac:dyDescent="0.2"/>
    <row r="9690" hidden="1" x14ac:dyDescent="0.2"/>
    <row r="9691" hidden="1" x14ac:dyDescent="0.2"/>
    <row r="9692" hidden="1" x14ac:dyDescent="0.2"/>
    <row r="9693" hidden="1" x14ac:dyDescent="0.2"/>
    <row r="9694" hidden="1" x14ac:dyDescent="0.2"/>
    <row r="9695" hidden="1" x14ac:dyDescent="0.2"/>
    <row r="9696" hidden="1" x14ac:dyDescent="0.2"/>
    <row r="9697" hidden="1" x14ac:dyDescent="0.2"/>
    <row r="9698" hidden="1" x14ac:dyDescent="0.2"/>
    <row r="9699" hidden="1" x14ac:dyDescent="0.2"/>
    <row r="9700" hidden="1" x14ac:dyDescent="0.2"/>
    <row r="9701" hidden="1" x14ac:dyDescent="0.2"/>
    <row r="9702" hidden="1" x14ac:dyDescent="0.2"/>
    <row r="9703" hidden="1" x14ac:dyDescent="0.2"/>
    <row r="9704" hidden="1" x14ac:dyDescent="0.2"/>
    <row r="9705" hidden="1" x14ac:dyDescent="0.2"/>
    <row r="9706" hidden="1" x14ac:dyDescent="0.2"/>
    <row r="9707" hidden="1" x14ac:dyDescent="0.2"/>
    <row r="9708" hidden="1" x14ac:dyDescent="0.2"/>
    <row r="9709" hidden="1" x14ac:dyDescent="0.2"/>
    <row r="9710" hidden="1" x14ac:dyDescent="0.2"/>
    <row r="9711" hidden="1" x14ac:dyDescent="0.2"/>
    <row r="9712" hidden="1" x14ac:dyDescent="0.2"/>
    <row r="9713" hidden="1" x14ac:dyDescent="0.2"/>
    <row r="9714" hidden="1" x14ac:dyDescent="0.2"/>
    <row r="9715" hidden="1" x14ac:dyDescent="0.2"/>
    <row r="9716" hidden="1" x14ac:dyDescent="0.2"/>
    <row r="9717" hidden="1" x14ac:dyDescent="0.2"/>
    <row r="9718" hidden="1" x14ac:dyDescent="0.2"/>
    <row r="9719" hidden="1" x14ac:dyDescent="0.2"/>
    <row r="9720" hidden="1" x14ac:dyDescent="0.2"/>
    <row r="9721" hidden="1" x14ac:dyDescent="0.2"/>
    <row r="9722" hidden="1" x14ac:dyDescent="0.2"/>
    <row r="9723" hidden="1" x14ac:dyDescent="0.2"/>
    <row r="9724" hidden="1" x14ac:dyDescent="0.2"/>
    <row r="9725" hidden="1" x14ac:dyDescent="0.2"/>
    <row r="9726" hidden="1" x14ac:dyDescent="0.2"/>
    <row r="9727" hidden="1" x14ac:dyDescent="0.2"/>
    <row r="9728" hidden="1" x14ac:dyDescent="0.2"/>
    <row r="9729" hidden="1" x14ac:dyDescent="0.2"/>
    <row r="9730" hidden="1" x14ac:dyDescent="0.2"/>
    <row r="9731" hidden="1" x14ac:dyDescent="0.2"/>
    <row r="9732" hidden="1" x14ac:dyDescent="0.2"/>
    <row r="9733" hidden="1" x14ac:dyDescent="0.2"/>
    <row r="9734" hidden="1" x14ac:dyDescent="0.2"/>
    <row r="9735" hidden="1" x14ac:dyDescent="0.2"/>
    <row r="9736" hidden="1" x14ac:dyDescent="0.2"/>
    <row r="9737" hidden="1" x14ac:dyDescent="0.2"/>
    <row r="9738" hidden="1" x14ac:dyDescent="0.2"/>
    <row r="9739" hidden="1" x14ac:dyDescent="0.2"/>
    <row r="9740" hidden="1" x14ac:dyDescent="0.2"/>
    <row r="9741" hidden="1" x14ac:dyDescent="0.2"/>
    <row r="9742" hidden="1" x14ac:dyDescent="0.2"/>
    <row r="9743" hidden="1" x14ac:dyDescent="0.2"/>
    <row r="9744" hidden="1" x14ac:dyDescent="0.2"/>
    <row r="9745" hidden="1" x14ac:dyDescent="0.2"/>
    <row r="9746" hidden="1" x14ac:dyDescent="0.2"/>
    <row r="9747" hidden="1" x14ac:dyDescent="0.2"/>
    <row r="9748" hidden="1" x14ac:dyDescent="0.2"/>
    <row r="9749" hidden="1" x14ac:dyDescent="0.2"/>
    <row r="9750" hidden="1" x14ac:dyDescent="0.2"/>
    <row r="9751" hidden="1" x14ac:dyDescent="0.2"/>
    <row r="9752" hidden="1" x14ac:dyDescent="0.2"/>
    <row r="9753" hidden="1" x14ac:dyDescent="0.2"/>
    <row r="9754" hidden="1" x14ac:dyDescent="0.2"/>
    <row r="9755" hidden="1" x14ac:dyDescent="0.2"/>
    <row r="9756" hidden="1" x14ac:dyDescent="0.2"/>
    <row r="9757" hidden="1" x14ac:dyDescent="0.2"/>
    <row r="9758" hidden="1" x14ac:dyDescent="0.2"/>
    <row r="9759" hidden="1" x14ac:dyDescent="0.2"/>
    <row r="9760" hidden="1" x14ac:dyDescent="0.2"/>
    <row r="9761" hidden="1" x14ac:dyDescent="0.2"/>
    <row r="9762" hidden="1" x14ac:dyDescent="0.2"/>
    <row r="9763" hidden="1" x14ac:dyDescent="0.2"/>
    <row r="9764" hidden="1" x14ac:dyDescent="0.2"/>
    <row r="9765" hidden="1" x14ac:dyDescent="0.2"/>
    <row r="9766" hidden="1" x14ac:dyDescent="0.2"/>
    <row r="9767" hidden="1" x14ac:dyDescent="0.2"/>
    <row r="9768" hidden="1" x14ac:dyDescent="0.2"/>
    <row r="9769" hidden="1" x14ac:dyDescent="0.2"/>
    <row r="9770" hidden="1" x14ac:dyDescent="0.2"/>
    <row r="9771" hidden="1" x14ac:dyDescent="0.2"/>
    <row r="9772" hidden="1" x14ac:dyDescent="0.2"/>
    <row r="9773" hidden="1" x14ac:dyDescent="0.2"/>
    <row r="9774" hidden="1" x14ac:dyDescent="0.2"/>
    <row r="9775" hidden="1" x14ac:dyDescent="0.2"/>
    <row r="9776" hidden="1" x14ac:dyDescent="0.2"/>
    <row r="9777" hidden="1" x14ac:dyDescent="0.2"/>
    <row r="9778" hidden="1" x14ac:dyDescent="0.2"/>
    <row r="9779" hidden="1" x14ac:dyDescent="0.2"/>
    <row r="9780" hidden="1" x14ac:dyDescent="0.2"/>
    <row r="9781" hidden="1" x14ac:dyDescent="0.2"/>
    <row r="9782" hidden="1" x14ac:dyDescent="0.2"/>
    <row r="9783" hidden="1" x14ac:dyDescent="0.2"/>
    <row r="9784" hidden="1" x14ac:dyDescent="0.2"/>
    <row r="9785" hidden="1" x14ac:dyDescent="0.2"/>
    <row r="9786" hidden="1" x14ac:dyDescent="0.2"/>
    <row r="9787" hidden="1" x14ac:dyDescent="0.2"/>
    <row r="9788" hidden="1" x14ac:dyDescent="0.2"/>
    <row r="9789" hidden="1" x14ac:dyDescent="0.2"/>
    <row r="9790" hidden="1" x14ac:dyDescent="0.2"/>
    <row r="9791" hidden="1" x14ac:dyDescent="0.2"/>
    <row r="9792" hidden="1" x14ac:dyDescent="0.2"/>
    <row r="9793" hidden="1" x14ac:dyDescent="0.2"/>
    <row r="9794" hidden="1" x14ac:dyDescent="0.2"/>
    <row r="9795" hidden="1" x14ac:dyDescent="0.2"/>
    <row r="9796" hidden="1" x14ac:dyDescent="0.2"/>
    <row r="9797" hidden="1" x14ac:dyDescent="0.2"/>
    <row r="9798" hidden="1" x14ac:dyDescent="0.2"/>
    <row r="9799" hidden="1" x14ac:dyDescent="0.2"/>
    <row r="9800" hidden="1" x14ac:dyDescent="0.2"/>
    <row r="9801" hidden="1" x14ac:dyDescent="0.2"/>
    <row r="9802" hidden="1" x14ac:dyDescent="0.2"/>
    <row r="9803" hidden="1" x14ac:dyDescent="0.2"/>
    <row r="9804" hidden="1" x14ac:dyDescent="0.2"/>
    <row r="9805" hidden="1" x14ac:dyDescent="0.2"/>
    <row r="9806" hidden="1" x14ac:dyDescent="0.2"/>
    <row r="9807" hidden="1" x14ac:dyDescent="0.2"/>
    <row r="9808" hidden="1" x14ac:dyDescent="0.2"/>
    <row r="9809" hidden="1" x14ac:dyDescent="0.2"/>
    <row r="9810" hidden="1" x14ac:dyDescent="0.2"/>
    <row r="9811" hidden="1" x14ac:dyDescent="0.2"/>
    <row r="9812" hidden="1" x14ac:dyDescent="0.2"/>
    <row r="9813" hidden="1" x14ac:dyDescent="0.2"/>
    <row r="9814" hidden="1" x14ac:dyDescent="0.2"/>
    <row r="9815" hidden="1" x14ac:dyDescent="0.2"/>
    <row r="9816" hidden="1" x14ac:dyDescent="0.2"/>
    <row r="9817" hidden="1" x14ac:dyDescent="0.2"/>
    <row r="9818" hidden="1" x14ac:dyDescent="0.2"/>
    <row r="9819" hidden="1" x14ac:dyDescent="0.2"/>
    <row r="9820" hidden="1" x14ac:dyDescent="0.2"/>
    <row r="9821" hidden="1" x14ac:dyDescent="0.2"/>
    <row r="9822" hidden="1" x14ac:dyDescent="0.2"/>
    <row r="9823" hidden="1" x14ac:dyDescent="0.2"/>
    <row r="9824" hidden="1" x14ac:dyDescent="0.2"/>
    <row r="9825" hidden="1" x14ac:dyDescent="0.2"/>
    <row r="9826" hidden="1" x14ac:dyDescent="0.2"/>
    <row r="9827" hidden="1" x14ac:dyDescent="0.2"/>
    <row r="9828" hidden="1" x14ac:dyDescent="0.2"/>
    <row r="9829" hidden="1" x14ac:dyDescent="0.2"/>
    <row r="9830" hidden="1" x14ac:dyDescent="0.2"/>
    <row r="9831" hidden="1" x14ac:dyDescent="0.2"/>
    <row r="9832" hidden="1" x14ac:dyDescent="0.2"/>
    <row r="9833" hidden="1" x14ac:dyDescent="0.2"/>
    <row r="9834" hidden="1" x14ac:dyDescent="0.2"/>
    <row r="9835" hidden="1" x14ac:dyDescent="0.2"/>
    <row r="9836" hidden="1" x14ac:dyDescent="0.2"/>
    <row r="9837" hidden="1" x14ac:dyDescent="0.2"/>
    <row r="9838" hidden="1" x14ac:dyDescent="0.2"/>
    <row r="9839" hidden="1" x14ac:dyDescent="0.2"/>
    <row r="9840" hidden="1" x14ac:dyDescent="0.2"/>
    <row r="9841" hidden="1" x14ac:dyDescent="0.2"/>
    <row r="9842" hidden="1" x14ac:dyDescent="0.2"/>
    <row r="9843" hidden="1" x14ac:dyDescent="0.2"/>
    <row r="9844" hidden="1" x14ac:dyDescent="0.2"/>
    <row r="9845" hidden="1" x14ac:dyDescent="0.2"/>
    <row r="9846" hidden="1" x14ac:dyDescent="0.2"/>
    <row r="9847" hidden="1" x14ac:dyDescent="0.2"/>
    <row r="9848" hidden="1" x14ac:dyDescent="0.2"/>
    <row r="9849" hidden="1" x14ac:dyDescent="0.2"/>
    <row r="9850" hidden="1" x14ac:dyDescent="0.2"/>
    <row r="9851" hidden="1" x14ac:dyDescent="0.2"/>
    <row r="9852" hidden="1" x14ac:dyDescent="0.2"/>
    <row r="9853" hidden="1" x14ac:dyDescent="0.2"/>
    <row r="9854" hidden="1" x14ac:dyDescent="0.2"/>
    <row r="9855" hidden="1" x14ac:dyDescent="0.2"/>
    <row r="9856" hidden="1" x14ac:dyDescent="0.2"/>
    <row r="9857" hidden="1" x14ac:dyDescent="0.2"/>
    <row r="9858" hidden="1" x14ac:dyDescent="0.2"/>
    <row r="9859" hidden="1" x14ac:dyDescent="0.2"/>
    <row r="9860" hidden="1" x14ac:dyDescent="0.2"/>
    <row r="9861" hidden="1" x14ac:dyDescent="0.2"/>
    <row r="9862" hidden="1" x14ac:dyDescent="0.2"/>
    <row r="9863" hidden="1" x14ac:dyDescent="0.2"/>
    <row r="9864" hidden="1" x14ac:dyDescent="0.2"/>
    <row r="9865" hidden="1" x14ac:dyDescent="0.2"/>
    <row r="9866" hidden="1" x14ac:dyDescent="0.2"/>
    <row r="9867" hidden="1" x14ac:dyDescent="0.2"/>
    <row r="9868" hidden="1" x14ac:dyDescent="0.2"/>
    <row r="9869" hidden="1" x14ac:dyDescent="0.2"/>
    <row r="9870" hidden="1" x14ac:dyDescent="0.2"/>
    <row r="9871" hidden="1" x14ac:dyDescent="0.2"/>
    <row r="9872" hidden="1" x14ac:dyDescent="0.2"/>
    <row r="9873" hidden="1" x14ac:dyDescent="0.2"/>
    <row r="9874" hidden="1" x14ac:dyDescent="0.2"/>
    <row r="9875" hidden="1" x14ac:dyDescent="0.2"/>
    <row r="9876" hidden="1" x14ac:dyDescent="0.2"/>
    <row r="9877" hidden="1" x14ac:dyDescent="0.2"/>
    <row r="9878" hidden="1" x14ac:dyDescent="0.2"/>
    <row r="9879" hidden="1" x14ac:dyDescent="0.2"/>
    <row r="9880" hidden="1" x14ac:dyDescent="0.2"/>
    <row r="9881" hidden="1" x14ac:dyDescent="0.2"/>
    <row r="9882" hidden="1" x14ac:dyDescent="0.2"/>
    <row r="9883" hidden="1" x14ac:dyDescent="0.2"/>
    <row r="9884" hidden="1" x14ac:dyDescent="0.2"/>
    <row r="9885" hidden="1" x14ac:dyDescent="0.2"/>
    <row r="9886" hidden="1" x14ac:dyDescent="0.2"/>
    <row r="9887" hidden="1" x14ac:dyDescent="0.2"/>
    <row r="9888" hidden="1" x14ac:dyDescent="0.2"/>
    <row r="9889" hidden="1" x14ac:dyDescent="0.2"/>
    <row r="9890" hidden="1" x14ac:dyDescent="0.2"/>
    <row r="9891" hidden="1" x14ac:dyDescent="0.2"/>
    <row r="9892" hidden="1" x14ac:dyDescent="0.2"/>
    <row r="9893" hidden="1" x14ac:dyDescent="0.2"/>
    <row r="9894" hidden="1" x14ac:dyDescent="0.2"/>
    <row r="9895" hidden="1" x14ac:dyDescent="0.2"/>
    <row r="9896" hidden="1" x14ac:dyDescent="0.2"/>
    <row r="9897" hidden="1" x14ac:dyDescent="0.2"/>
    <row r="9898" hidden="1" x14ac:dyDescent="0.2"/>
    <row r="9899" hidden="1" x14ac:dyDescent="0.2"/>
    <row r="9900" hidden="1" x14ac:dyDescent="0.2"/>
    <row r="9901" hidden="1" x14ac:dyDescent="0.2"/>
    <row r="9902" hidden="1" x14ac:dyDescent="0.2"/>
    <row r="9903" hidden="1" x14ac:dyDescent="0.2"/>
    <row r="9904" hidden="1" x14ac:dyDescent="0.2"/>
    <row r="9905" hidden="1" x14ac:dyDescent="0.2"/>
    <row r="9906" hidden="1" x14ac:dyDescent="0.2"/>
    <row r="9907" hidden="1" x14ac:dyDescent="0.2"/>
    <row r="9908" hidden="1" x14ac:dyDescent="0.2"/>
    <row r="9909" hidden="1" x14ac:dyDescent="0.2"/>
    <row r="9910" hidden="1" x14ac:dyDescent="0.2"/>
    <row r="9911" hidden="1" x14ac:dyDescent="0.2"/>
    <row r="9912" hidden="1" x14ac:dyDescent="0.2"/>
    <row r="9913" hidden="1" x14ac:dyDescent="0.2"/>
    <row r="9914" hidden="1" x14ac:dyDescent="0.2"/>
    <row r="9915" hidden="1" x14ac:dyDescent="0.2"/>
    <row r="9916" hidden="1" x14ac:dyDescent="0.2"/>
    <row r="9917" hidden="1" x14ac:dyDescent="0.2"/>
    <row r="9918" hidden="1" x14ac:dyDescent="0.2"/>
    <row r="9919" hidden="1" x14ac:dyDescent="0.2"/>
    <row r="9920" hidden="1" x14ac:dyDescent="0.2"/>
    <row r="9921" hidden="1" x14ac:dyDescent="0.2"/>
    <row r="9922" hidden="1" x14ac:dyDescent="0.2"/>
    <row r="9923" hidden="1" x14ac:dyDescent="0.2"/>
    <row r="9924" hidden="1" x14ac:dyDescent="0.2"/>
    <row r="9925" hidden="1" x14ac:dyDescent="0.2"/>
    <row r="9926" hidden="1" x14ac:dyDescent="0.2"/>
    <row r="9927" hidden="1" x14ac:dyDescent="0.2"/>
    <row r="9928" hidden="1" x14ac:dyDescent="0.2"/>
    <row r="9929" hidden="1" x14ac:dyDescent="0.2"/>
    <row r="9930" hidden="1" x14ac:dyDescent="0.2"/>
    <row r="9931" hidden="1" x14ac:dyDescent="0.2"/>
    <row r="9932" hidden="1" x14ac:dyDescent="0.2"/>
    <row r="9933" hidden="1" x14ac:dyDescent="0.2"/>
    <row r="9934" hidden="1" x14ac:dyDescent="0.2"/>
    <row r="9935" hidden="1" x14ac:dyDescent="0.2"/>
    <row r="9936" hidden="1" x14ac:dyDescent="0.2"/>
    <row r="9937" hidden="1" x14ac:dyDescent="0.2"/>
    <row r="9938" hidden="1" x14ac:dyDescent="0.2"/>
    <row r="9939" hidden="1" x14ac:dyDescent="0.2"/>
    <row r="9940" hidden="1" x14ac:dyDescent="0.2"/>
    <row r="9941" hidden="1" x14ac:dyDescent="0.2"/>
    <row r="9942" hidden="1" x14ac:dyDescent="0.2"/>
    <row r="9943" hidden="1" x14ac:dyDescent="0.2"/>
    <row r="9944" hidden="1" x14ac:dyDescent="0.2"/>
    <row r="9945" hidden="1" x14ac:dyDescent="0.2"/>
    <row r="9946" hidden="1" x14ac:dyDescent="0.2"/>
    <row r="9947" hidden="1" x14ac:dyDescent="0.2"/>
    <row r="9948" hidden="1" x14ac:dyDescent="0.2"/>
    <row r="9949" hidden="1" x14ac:dyDescent="0.2"/>
    <row r="9950" hidden="1" x14ac:dyDescent="0.2"/>
    <row r="9951" hidden="1" x14ac:dyDescent="0.2"/>
    <row r="9952" hidden="1" x14ac:dyDescent="0.2"/>
    <row r="9953" hidden="1" x14ac:dyDescent="0.2"/>
    <row r="9954" hidden="1" x14ac:dyDescent="0.2"/>
    <row r="9955" hidden="1" x14ac:dyDescent="0.2"/>
    <row r="9956" hidden="1" x14ac:dyDescent="0.2"/>
    <row r="9957" hidden="1" x14ac:dyDescent="0.2"/>
    <row r="9958" hidden="1" x14ac:dyDescent="0.2"/>
    <row r="9959" hidden="1" x14ac:dyDescent="0.2"/>
    <row r="9960" hidden="1" x14ac:dyDescent="0.2"/>
    <row r="9961" hidden="1" x14ac:dyDescent="0.2"/>
    <row r="9962" hidden="1" x14ac:dyDescent="0.2"/>
    <row r="9963" hidden="1" x14ac:dyDescent="0.2"/>
    <row r="9964" hidden="1" x14ac:dyDescent="0.2"/>
    <row r="9965" hidden="1" x14ac:dyDescent="0.2"/>
    <row r="9966" hidden="1" x14ac:dyDescent="0.2"/>
    <row r="9967" hidden="1" x14ac:dyDescent="0.2"/>
    <row r="9968" hidden="1" x14ac:dyDescent="0.2"/>
    <row r="9969" hidden="1" x14ac:dyDescent="0.2"/>
    <row r="9970" hidden="1" x14ac:dyDescent="0.2"/>
    <row r="9971" hidden="1" x14ac:dyDescent="0.2"/>
    <row r="9972" hidden="1" x14ac:dyDescent="0.2"/>
    <row r="9973" hidden="1" x14ac:dyDescent="0.2"/>
    <row r="9974" hidden="1" x14ac:dyDescent="0.2"/>
    <row r="9975" hidden="1" x14ac:dyDescent="0.2"/>
    <row r="9976" hidden="1" x14ac:dyDescent="0.2"/>
    <row r="9977" hidden="1" x14ac:dyDescent="0.2"/>
    <row r="9978" hidden="1" x14ac:dyDescent="0.2"/>
    <row r="9979" hidden="1" x14ac:dyDescent="0.2"/>
    <row r="9980" hidden="1" x14ac:dyDescent="0.2"/>
    <row r="9981" hidden="1" x14ac:dyDescent="0.2"/>
    <row r="9982" hidden="1" x14ac:dyDescent="0.2"/>
    <row r="9983" hidden="1" x14ac:dyDescent="0.2"/>
    <row r="9984" hidden="1" x14ac:dyDescent="0.2"/>
    <row r="9985" hidden="1" x14ac:dyDescent="0.2"/>
    <row r="9986" hidden="1" x14ac:dyDescent="0.2"/>
    <row r="9987" hidden="1" x14ac:dyDescent="0.2"/>
    <row r="9988" hidden="1" x14ac:dyDescent="0.2"/>
    <row r="9989" hidden="1" x14ac:dyDescent="0.2"/>
    <row r="9990" hidden="1" x14ac:dyDescent="0.2"/>
    <row r="9991" hidden="1" x14ac:dyDescent="0.2"/>
    <row r="9992" hidden="1" x14ac:dyDescent="0.2"/>
    <row r="9993" hidden="1" x14ac:dyDescent="0.2"/>
    <row r="9994" hidden="1" x14ac:dyDescent="0.2"/>
    <row r="9995" hidden="1" x14ac:dyDescent="0.2"/>
    <row r="9996" hidden="1" x14ac:dyDescent="0.2"/>
    <row r="9997" hidden="1" x14ac:dyDescent="0.2"/>
    <row r="9998" hidden="1" x14ac:dyDescent="0.2"/>
    <row r="9999" hidden="1" x14ac:dyDescent="0.2"/>
    <row r="10000" hidden="1" x14ac:dyDescent="0.2"/>
    <row r="10001" hidden="1" x14ac:dyDescent="0.2"/>
    <row r="10002" hidden="1" x14ac:dyDescent="0.2"/>
    <row r="10003" hidden="1" x14ac:dyDescent="0.2"/>
    <row r="10004" hidden="1" x14ac:dyDescent="0.2"/>
    <row r="10005" hidden="1" x14ac:dyDescent="0.2"/>
    <row r="10006" hidden="1" x14ac:dyDescent="0.2"/>
    <row r="10007" hidden="1" x14ac:dyDescent="0.2"/>
    <row r="10008" hidden="1" x14ac:dyDescent="0.2"/>
    <row r="10009" hidden="1" x14ac:dyDescent="0.2"/>
    <row r="10010" hidden="1" x14ac:dyDescent="0.2"/>
    <row r="10011" hidden="1" x14ac:dyDescent="0.2"/>
    <row r="10012" hidden="1" x14ac:dyDescent="0.2"/>
    <row r="10013" hidden="1" x14ac:dyDescent="0.2"/>
    <row r="10014" hidden="1" x14ac:dyDescent="0.2"/>
    <row r="10015" hidden="1" x14ac:dyDescent="0.2"/>
    <row r="10016" hidden="1" x14ac:dyDescent="0.2"/>
    <row r="10017" hidden="1" x14ac:dyDescent="0.2"/>
    <row r="10018" hidden="1" x14ac:dyDescent="0.2"/>
    <row r="10019" hidden="1" x14ac:dyDescent="0.2"/>
    <row r="10020" hidden="1" x14ac:dyDescent="0.2"/>
    <row r="10021" hidden="1" x14ac:dyDescent="0.2"/>
  </sheetData>
  <pageMargins left="0.7" right="0.7" top="0.75" bottom="0.75" header="0.3" footer="0.3"/>
  <pageSetup paperSize="17" scale="38" orientation="landscape" r:id="rId1"/>
  <drawing r:id="rId2"/>
  <legacy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6" baseType="variant">
      <vt:variant>
        <vt:lpstr>Worksheets</vt:lpstr>
      </vt:variant>
      <vt:variant>
        <vt:i4>2</vt:i4>
      </vt:variant>
      <vt:variant>
        <vt:lpstr>Charts</vt:lpstr>
      </vt:variant>
      <vt:variant>
        <vt:i4>8</vt:i4>
      </vt:variant>
      <vt:variant>
        <vt:lpstr>Named Ranges</vt:lpstr>
      </vt:variant>
      <vt:variant>
        <vt:i4>2</vt:i4>
      </vt:variant>
    </vt:vector>
  </HeadingPairs>
  <TitlesOfParts>
    <vt:vector size="12" baseType="lpstr">
      <vt:lpstr>Substitution</vt:lpstr>
      <vt:lpstr>WillMartinModel</vt:lpstr>
      <vt:lpstr>SubstitutionCurve</vt:lpstr>
      <vt:lpstr>SolarLCOEChart</vt:lpstr>
      <vt:lpstr>GasolinePrice</vt:lpstr>
      <vt:lpstr>SolarVsGas</vt:lpstr>
      <vt:lpstr>Battery Cost</vt:lpstr>
      <vt:lpstr>NissanVersaNoteTCO</vt:lpstr>
      <vt:lpstr>NissanLeafTCO</vt:lpstr>
      <vt:lpstr>TCO</vt:lpstr>
      <vt:lpstr>Substitution!Print_Area</vt:lpstr>
      <vt:lpstr>WillMartinModel!Print_Area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 Martin</dc:creator>
  <cp:lastModifiedBy>Windows</cp:lastModifiedBy>
  <cp:lastPrinted>2014-12-03T18:04:33Z</cp:lastPrinted>
  <dcterms:created xsi:type="dcterms:W3CDTF">2014-10-30T22:23:20Z</dcterms:created>
  <dcterms:modified xsi:type="dcterms:W3CDTF">2014-12-30T16:24:45Z</dcterms:modified>
</cp:coreProperties>
</file>